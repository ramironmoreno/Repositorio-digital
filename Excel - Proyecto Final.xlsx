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Rami\Desktop\Coderhouse\"/>
    </mc:Choice>
  </mc:AlternateContent>
  <xr:revisionPtr revIDLastSave="0" documentId="13_ncr:1_{B74B2DE0-DE32-44AC-B33A-41EC85B4FC3F}" xr6:coauthVersionLast="47" xr6:coauthVersionMax="47" xr10:uidLastSave="{00000000-0000-0000-0000-000000000000}"/>
  <bookViews>
    <workbookView xWindow="-120" yWindow="-120" windowWidth="29040" windowHeight="15720" activeTab="1" xr2:uid="{00000000-000D-0000-FFFF-FFFF00000000}"/>
  </bookViews>
  <sheets>
    <sheet name="Dashboard" sheetId="5" r:id="rId1"/>
    <sheet name="Documentación" sheetId="10" r:id="rId2"/>
    <sheet name="Storytelling" sheetId="9" r:id="rId3"/>
    <sheet name="Preguntas + formulas" sheetId="6" r:id="rId4"/>
    <sheet name="Dataset - Casos covid 19" sheetId="1" r:id="rId5"/>
    <sheet name="Tablas dinamicas" sheetId="4" r:id="rId6"/>
    <sheet name="Dataset original" sheetId="7" r:id="rId7"/>
    <sheet name="Hoja aux - validacion de datos" sheetId="8" r:id="rId8"/>
  </sheets>
  <definedNames>
    <definedName name="NativeTimeline_Fecha_clasificacion">#N/A</definedName>
    <definedName name="SegmentaciónDeDatos_Clasificacion">#N/A</definedName>
    <definedName name="SegmentaciónDeDatos_Fallecido">#N/A</definedName>
    <definedName name="SegmentaciónDeDatos_Genero">#N/A</definedName>
    <definedName name="SegmentaciónDeDatos_Provincia">#N/A</definedName>
    <definedName name="SegmentaciónDeDatos_Tipo_de_contagio">#N/A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6" l="1"/>
  <c r="J18" i="6"/>
  <c r="J17" i="6"/>
  <c r="J16" i="6"/>
  <c r="J15" i="6"/>
  <c r="J14" i="6"/>
  <c r="J13" i="6"/>
  <c r="J12" i="6"/>
  <c r="J11" i="6"/>
  <c r="J10" i="6"/>
  <c r="J9" i="6"/>
  <c r="J8" i="6"/>
  <c r="J7" i="6"/>
  <c r="J25" i="6"/>
  <c r="J22" i="6"/>
  <c r="J6" i="6"/>
  <c r="E4" i="6"/>
  <c r="J5" i="6"/>
  <c r="J4" i="6"/>
  <c r="F46" i="6"/>
  <c r="F45" i="6"/>
  <c r="F44" i="6"/>
  <c r="F43" i="6"/>
  <c r="F42" i="6"/>
  <c r="F41" i="6"/>
  <c r="F40" i="6"/>
  <c r="F39" i="6"/>
  <c r="F38" i="6"/>
  <c r="F37" i="6"/>
  <c r="F36" i="6"/>
  <c r="F35" i="6"/>
  <c r="F34" i="6"/>
  <c r="F33" i="6"/>
  <c r="F32" i="6"/>
  <c r="F31" i="6"/>
  <c r="F30" i="6"/>
  <c r="E40" i="6"/>
  <c r="E38" i="6"/>
  <c r="E39" i="6"/>
  <c r="E37" i="6"/>
  <c r="E46" i="6"/>
  <c r="E45" i="6"/>
  <c r="E44" i="6"/>
  <c r="E43" i="6"/>
  <c r="E42" i="6"/>
  <c r="E41" i="6"/>
  <c r="E36" i="6"/>
  <c r="E35" i="6"/>
  <c r="E34" i="6"/>
  <c r="E33" i="6"/>
  <c r="E32" i="6"/>
  <c r="E31" i="6"/>
  <c r="E30" i="6"/>
  <c r="F18" i="6"/>
  <c r="F17" i="6"/>
  <c r="F16" i="6"/>
  <c r="F15" i="6"/>
  <c r="F14" i="6"/>
  <c r="F13" i="6"/>
  <c r="F12" i="6"/>
  <c r="F11" i="6"/>
  <c r="F10" i="6"/>
  <c r="F9" i="6"/>
  <c r="F8" i="6"/>
  <c r="F7" i="6"/>
  <c r="F6" i="6"/>
  <c r="F5" i="6"/>
  <c r="F4" i="6"/>
  <c r="F3" i="6"/>
  <c r="L24" i="4"/>
  <c r="M24" i="4"/>
  <c r="N24" i="4" l="1"/>
  <c r="G18" i="6"/>
  <c r="H18" i="6"/>
  <c r="I18" i="6" s="1"/>
  <c r="E18" i="6"/>
  <c r="G17" i="6"/>
  <c r="H17" i="6"/>
  <c r="I17" i="6" s="1"/>
  <c r="E17" i="6"/>
  <c r="G16" i="6"/>
  <c r="H16" i="6"/>
  <c r="I16" i="6" s="1"/>
  <c r="E16" i="6"/>
  <c r="G15" i="6"/>
  <c r="H15" i="6"/>
  <c r="I15" i="6" s="1"/>
  <c r="E15" i="6"/>
  <c r="G14" i="6"/>
  <c r="H14" i="6"/>
  <c r="I14" i="6" s="1"/>
  <c r="E14" i="6"/>
  <c r="G13" i="6"/>
  <c r="H13" i="6"/>
  <c r="I13" i="6" s="1"/>
  <c r="E13" i="6"/>
  <c r="G12" i="6"/>
  <c r="H12" i="6"/>
  <c r="I12" i="6" s="1"/>
  <c r="E12" i="6"/>
  <c r="G11" i="6"/>
  <c r="H11" i="6"/>
  <c r="E11" i="6"/>
  <c r="G10" i="6"/>
  <c r="H10" i="6"/>
  <c r="I10" i="6" s="1"/>
  <c r="E10" i="6"/>
  <c r="G9" i="6"/>
  <c r="H9" i="6"/>
  <c r="I9" i="6" s="1"/>
  <c r="E9" i="6"/>
  <c r="G8" i="6"/>
  <c r="H8" i="6"/>
  <c r="I8" i="6" s="1"/>
  <c r="E8" i="6"/>
  <c r="G7" i="6"/>
  <c r="H7" i="6"/>
  <c r="I7" i="6" s="1"/>
  <c r="E7" i="6"/>
  <c r="G6" i="6"/>
  <c r="H6" i="6"/>
  <c r="I6" i="6" s="1"/>
  <c r="E6" i="6"/>
  <c r="G5" i="6"/>
  <c r="H5" i="6"/>
  <c r="I5" i="6" s="1"/>
  <c r="E5" i="6"/>
  <c r="G4" i="6"/>
  <c r="H4" i="6"/>
  <c r="G3" i="6"/>
  <c r="H3" i="6"/>
  <c r="E3" i="6"/>
  <c r="H4" i="4"/>
  <c r="H2" i="4"/>
  <c r="H3" i="4"/>
  <c r="I3" i="6" l="1"/>
  <c r="I4" i="6"/>
  <c r="I11" i="6"/>
  <c r="G22" i="6"/>
  <c r="E26" i="6"/>
  <c r="D26" i="6" s="1"/>
  <c r="G26" i="6"/>
  <c r="E22" i="6"/>
  <c r="D22" i="6"/>
</calcChain>
</file>

<file path=xl/sharedStrings.xml><?xml version="1.0" encoding="utf-8"?>
<sst xmlns="http://schemas.openxmlformats.org/spreadsheetml/2006/main" count="13900" uniqueCount="2235">
  <si>
    <t>CABA</t>
  </si>
  <si>
    <t>femenino</t>
  </si>
  <si>
    <t>confirmado</t>
  </si>
  <si>
    <t>si</t>
  </si>
  <si>
    <t>Comunitario</t>
  </si>
  <si>
    <t>Buenos Aires</t>
  </si>
  <si>
    <t>masculino</t>
  </si>
  <si>
    <t>BALVANERA</t>
  </si>
  <si>
    <t>FLORES</t>
  </si>
  <si>
    <t>Contacto</t>
  </si>
  <si>
    <t>ALMAGRO</t>
  </si>
  <si>
    <t>CABALLITO</t>
  </si>
  <si>
    <t>MONSERRAT</t>
  </si>
  <si>
    <t>RECOLETA</t>
  </si>
  <si>
    <t>PALERMO</t>
  </si>
  <si>
    <t>descartado</t>
  </si>
  <si>
    <t>VILLA CRESPO</t>
  </si>
  <si>
    <t>CONSTITUCION</t>
  </si>
  <si>
    <t>VILLA LUGANO</t>
  </si>
  <si>
    <t>AGRONOMIA</t>
  </si>
  <si>
    <t>En Investigación</t>
  </si>
  <si>
    <t>sospechoso</t>
  </si>
  <si>
    <t>Trabajador de la Salud</t>
  </si>
  <si>
    <t>VERSALLES</t>
  </si>
  <si>
    <t>PARQUE AVELLANEDA</t>
  </si>
  <si>
    <t>COLEGIALES</t>
  </si>
  <si>
    <t>PARQUE PATRICIOS</t>
  </si>
  <si>
    <t>BOCA</t>
  </si>
  <si>
    <t>VILLA DEVOTO</t>
  </si>
  <si>
    <t>SAAVEDRA</t>
  </si>
  <si>
    <t>PARQUE CHAS</t>
  </si>
  <si>
    <t>VILLA LURO</t>
  </si>
  <si>
    <t>VILLA REAL</t>
  </si>
  <si>
    <t>BELGRANO</t>
  </si>
  <si>
    <t>MATADEROS</t>
  </si>
  <si>
    <t>SAN CRISTOBAL</t>
  </si>
  <si>
    <t>RETIRO</t>
  </si>
  <si>
    <t>NUÑEZ</t>
  </si>
  <si>
    <t>VILLA URQUIZA</t>
  </si>
  <si>
    <t>VILLA SOLDATI</t>
  </si>
  <si>
    <t>SAN NICOLAS</t>
  </si>
  <si>
    <t>NUEVA POMPEYA</t>
  </si>
  <si>
    <t>VILLA DEL PARQUE</t>
  </si>
  <si>
    <t>VELEZ SARSFIELD</t>
  </si>
  <si>
    <t>LINIERS</t>
  </si>
  <si>
    <t>BARRACAS</t>
  </si>
  <si>
    <t>BOEDO</t>
  </si>
  <si>
    <t>VILLA PUEYRREDON</t>
  </si>
  <si>
    <t>MONTE CASTRO</t>
  </si>
  <si>
    <t>Córdoba</t>
  </si>
  <si>
    <t>SAN TELMO</t>
  </si>
  <si>
    <t>PATERNAL</t>
  </si>
  <si>
    <t>VILLA GRAL. MITRE</t>
  </si>
  <si>
    <t>VILLA SANTA RITA</t>
  </si>
  <si>
    <t>PARQUE CHACABUCO</t>
  </si>
  <si>
    <t>CHACARITA</t>
  </si>
  <si>
    <t>FLORESTA</t>
  </si>
  <si>
    <t>La Rioja</t>
  </si>
  <si>
    <t>VILLA RIACHUELO</t>
  </si>
  <si>
    <t>Misiones</t>
  </si>
  <si>
    <t>Jujuy</t>
  </si>
  <si>
    <t>COGHLAN</t>
  </si>
  <si>
    <t>Chubut</t>
  </si>
  <si>
    <t>Corrientes</t>
  </si>
  <si>
    <t>Mendoza</t>
  </si>
  <si>
    <t>San Luis</t>
  </si>
  <si>
    <t>Formosa</t>
  </si>
  <si>
    <t>Tucumán</t>
  </si>
  <si>
    <t>Salta</t>
  </si>
  <si>
    <t>PUERTO MADERO</t>
  </si>
  <si>
    <t>San Juan</t>
  </si>
  <si>
    <t>Río Negro</t>
  </si>
  <si>
    <t>Chaco</t>
  </si>
  <si>
    <t>BERAZATEGUI</t>
  </si>
  <si>
    <t>CAMPANA</t>
  </si>
  <si>
    <t>LANUS</t>
  </si>
  <si>
    <t>LOMAS DE ZAMORA</t>
  </si>
  <si>
    <t>LA PLATA</t>
  </si>
  <si>
    <t>LUJAN</t>
  </si>
  <si>
    <t>MALVINAS ARGENTINAS</t>
  </si>
  <si>
    <t>SAN MIGUEL</t>
  </si>
  <si>
    <t>TIGRE</t>
  </si>
  <si>
    <t>VICENTE LOPEZ</t>
  </si>
  <si>
    <t>ENSENADA</t>
  </si>
  <si>
    <t>ESTEBAN ECHEVERRIA</t>
  </si>
  <si>
    <t>FLORENCIO VARELA</t>
  </si>
  <si>
    <t>ITUZAINGO</t>
  </si>
  <si>
    <t>MARCOS PAZ</t>
  </si>
  <si>
    <t>MORENO</t>
  </si>
  <si>
    <t>MERLO</t>
  </si>
  <si>
    <t>PILAR</t>
  </si>
  <si>
    <t>QUILMES</t>
  </si>
  <si>
    <t>SAN MARTIN</t>
  </si>
  <si>
    <t>SAN FERNANDO</t>
  </si>
  <si>
    <t>SAN VICENTE</t>
  </si>
  <si>
    <t>AVELLANEDA</t>
  </si>
  <si>
    <t>HURLINGHAM</t>
  </si>
  <si>
    <t>MORON</t>
  </si>
  <si>
    <t>SAN ISIDRO</t>
  </si>
  <si>
    <t>TRES DE FEBRERO</t>
  </si>
  <si>
    <t>ZARATE</t>
  </si>
  <si>
    <t>BERISSO</t>
  </si>
  <si>
    <t>ALMIRANTE BROWN</t>
  </si>
  <si>
    <t>RIO CUARTO</t>
  </si>
  <si>
    <t>LA RIOJA</t>
  </si>
  <si>
    <t>POSADAS</t>
  </si>
  <si>
    <t>TILCARA</t>
  </si>
  <si>
    <t>COMODORO RIVADAVIA</t>
  </si>
  <si>
    <t>MERCEDES</t>
  </si>
  <si>
    <t>VILLA CARLOS PAZ</t>
  </si>
  <si>
    <t>CORDOBA</t>
  </si>
  <si>
    <t>SAN RAFAEL</t>
  </si>
  <si>
    <t>SAN LUIS</t>
  </si>
  <si>
    <t>FORMOSA</t>
  </si>
  <si>
    <t>SAN MIGUEL DE TUCUMAN</t>
  </si>
  <si>
    <t>SALTA</t>
  </si>
  <si>
    <t>SAN JUAN</t>
  </si>
  <si>
    <t>CORRIENTES</t>
  </si>
  <si>
    <t>VIEDMA</t>
  </si>
  <si>
    <t>RESISTENCIA</t>
  </si>
  <si>
    <t>SAN SALVADOR DE JUJUY</t>
  </si>
  <si>
    <t>no</t>
  </si>
  <si>
    <t>VILLA ORTUZAR</t>
  </si>
  <si>
    <t>A)</t>
  </si>
  <si>
    <t>B)</t>
  </si>
  <si>
    <t>C)</t>
  </si>
  <si>
    <t>Provincia</t>
  </si>
  <si>
    <t>Numero de caso</t>
  </si>
  <si>
    <t>Barrio</t>
  </si>
  <si>
    <t>Comuna</t>
  </si>
  <si>
    <t>Genero</t>
  </si>
  <si>
    <t>Edad</t>
  </si>
  <si>
    <t>Clasificacion</t>
  </si>
  <si>
    <t>Fecha de fallecimiento</t>
  </si>
  <si>
    <t>Fallecido</t>
  </si>
  <si>
    <t>Fecha de alta</t>
  </si>
  <si>
    <t>Tipo de contagio</t>
  </si>
  <si>
    <t>Fecha toma muestra</t>
  </si>
  <si>
    <t>Fecha clasificacion</t>
  </si>
  <si>
    <t>Total general</t>
  </si>
  <si>
    <t>Preguntas</t>
  </si>
  <si>
    <t>Numero de caso,"Fecha toma muestra","Fecha clasificacion","Provincia","Barrio","Comuna","Genero","Edad","Clasificacion","Fecha de fallecimiento","Fallecido","Fecha de alta","Tipo de contagio"</t>
  </si>
  <si>
    <t>1723045,"8/5/2020","8/6/2020","CABA","CHACARITA","15","femenino","60","confirmado","9/10/2020","si","","Comunitario"</t>
  </si>
  <si>
    <t>2399359,"9/6/2020","9/6/2020","Buenos Aires","BERAZATEGUI","","masculino","78","confirmado","9/13/2020","si","","Comunitario"</t>
  </si>
  <si>
    <t>1060680,"6/11/2020","6/11/2020","CABA","BALVANERA","3","masculino","59","confirmado","8/7/2020","si","","Comunitario"</t>
  </si>
  <si>
    <t>2145842,"8/26/2020","8/27/2020","CABA","COLEGIALES","13","masculino","63","confirmado","9/12/2020","si","","Comunitario"</t>
  </si>
  <si>
    <t>1194644,"7/10/2020","7/10/2020","CABA","FLORES","7","masculino","83","confirmado","7/12/2020","si","","Comunitario"</t>
  </si>
  <si>
    <t>1054863,"6/10/2020","6/11/2020","CABA","FLORES","7","femenino","83","confirmado","6/18/2020","si","","Contacto"</t>
  </si>
  <si>
    <t>2546740,"9/11/2020","9/12/2020","Buenos Aires","CAMPANA","","masculino","65","confirmado","9/21/2020","si","","Comunitario"</t>
  </si>
  <si>
    <t>1516977,"7/24/2020","7/24/2020","CABA","ALMAGRO","5","femenino","85","confirmado","7/25/2020","si","","Comunitario"</t>
  </si>
  <si>
    <t>2146461,"9/4/2020","9/9/2020","CABA","CABALLITO","6","femenino","77","confirmado","9/18/2020","si","","Comunitario"</t>
  </si>
  <si>
    <t>1780895,"8/9/2020","8/10/2020","CABA","MONSERRAT","1","masculino","79","confirmado","10/5/2020","si","","Comunitario"</t>
  </si>
  <si>
    <t>1326323,"7/11/2020","7/11/2020","Buenos Aires","LANUS","","masculino","84","confirmado","7/20/2020","si","","Comunitario"</t>
  </si>
  <si>
    <t>1084184,"6/15/2020","6/15/2020","CABA","RECOLETA","2","femenino","91","confirmado","6/18/2020","si","","Comunitario"</t>
  </si>
  <si>
    <t>2150392,"8/20/2020","8/20/2020","CABA","PALERMO","14","masculino","66","confirmado","9/22/2020","si","","Comunitario"</t>
  </si>
  <si>
    <t>4995210,"11/11/2020","11/12/2020","Buenos Aires","LOMAS DE ZAMORA","","femenino","64","confirmado","11/26/2020","si","","Comunitario"</t>
  </si>
  <si>
    <t>976322,"5/10/2020","5/10/2020","CABA","CABALLITO","6","femenino","92","descartado","","no","",""</t>
  </si>
  <si>
    <t>2800578,"9/22/2020","9/22/2020","Buenos Aires","LA PLATA","","masculino","86","confirmado","10/6/2020","si","","Comunitario"</t>
  </si>
  <si>
    <t>3860158,"11/25/2020","11/26/2020","CABA","VILLA CRESPO","15","femenino","84","confirmado","12/10/2020","si","","Contacto"</t>
  </si>
  <si>
    <t>1451243,"7/20/2020","7/21/2020","CABA","RECOLETA","2","masculino","82","confirmado","7/25/2020","si","","Comunitario"</t>
  </si>
  <si>
    <t>1381824,"7/15/2020","7/17/2020","CABA","PALERMO","14","masculino","82","confirmado","8/1/2020","si","","Comunitario"</t>
  </si>
  <si>
    <t>1349872,"7/13/2020","7/14/2020","CABA","RECOLETA","2","masculino","67","confirmado","7/13/2020","si","","Comunitario"</t>
  </si>
  <si>
    <t>935654,"5/18/2020","5/18/2020","CABA","BALVANERA","3","masculino","84","descartado","","no","",""</t>
  </si>
  <si>
    <t>1632320,"7/28/2020","7/29/2020","CABA","CONSTITUCION","1","femenino","95","confirmado","8/13/2020","si","","Contacto"</t>
  </si>
  <si>
    <t>2981190,"9/28/2020","9/29/2020","Buenos Aires","ALMIRANTE BROWN","","femenino","53","confirmado","10/20/2020","si","","Comunitario"</t>
  </si>
  <si>
    <t>1793396,"8/10/2020","8/11/2020","CABA","FLORES","7","femenino","74","confirmado","8/14/2020","si","","Comunitario"</t>
  </si>
  <si>
    <t>2478476,"9/8/2020","9/9/2020","CABA","PALERMO","14","masculino","70","confirmado","9/29/2020","si","","Comunitario"</t>
  </si>
  <si>
    <t>900942,"7/10/2020","7/10/2020","CABA","VILLA LUGANO","8","masculino","66","confirmado","8/17/2020","si","","Comunitario"</t>
  </si>
  <si>
    <t>4404251,"11/13/2020","11/14/2020","CABA","AGRONOMIA","15","femenino","84","confirmado","11/20/2020","si","","Comunitario"</t>
  </si>
  <si>
    <t>2525060,"9/16/2020","9/16/2020","Buenos Aires","MALVINAS ARGENTINAS","","femenino","73","confirmado","9/18/2020","si","","En InvestigaciÃ³n"</t>
  </si>
  <si>
    <t>5131042,"12/11/2020","12/11/2020","Buenos Aires","SAN MIGUEL","","femenino","84","sospechoso","","no","","En InvestigaciÃ³n"</t>
  </si>
  <si>
    <t>870294,"4/28/2020","4/29/2020","Buenos Aires","TIGRE","","femenino","88","confirmado","4/26/2020","si","","Comunitario"</t>
  </si>
  <si>
    <t>3196861,"10/7/2020","10/7/2020","CABA","BALVANERA","3","masculino","91","confirmado","10/10/2020","si","","Comunitario"</t>
  </si>
  <si>
    <t>1150538,"6/22/2020","6/23/2020","CABA","CABALLITO","6","femenino","80","confirmado","7/7/2020","si","","Trabajador de la Salud"</t>
  </si>
  <si>
    <t>1772044,"8/3/2020","8/4/2020","CABA","VERSALLES","10","masculino","80","confirmado","8/7/2020","si","","Comunitario"</t>
  </si>
  <si>
    <t>1103204,"6/17/2020","6/17/2020","CABA","PARQUE AVELLANEDA","9","femenino","56","descartado","","no","",""</t>
  </si>
  <si>
    <t>3086141,"10/1/2020","10/4/2020","CABA","PARQUE AVELLANEDA","9","masculino","71","confirmado","10/22/2020","si","","Comunitario"</t>
  </si>
  <si>
    <t>2073770,"8/19/2020","8/19/2020","CABA","COLEGIALES","13","masculino","63","confirmado","9/21/2020","si","","Comunitario"</t>
  </si>
  <si>
    <t>2361706,"9/3/2020","9/5/2020","CABA","PARQUE PATRICIOS","4","masculino","62","confirmado","9/29/2020","si","","En InvestigaciÃ³n"</t>
  </si>
  <si>
    <t>1054950,"6/24/2020","6/26/2020","CABA","BALVANERA","3","femenino","88","confirmado","7/26/2020","si","","Comunitario"</t>
  </si>
  <si>
    <t>833697,"4/18/2020","4/23/2020","CABA","FLORES","7","femenino","94","confirmado","5/1/2020","si","","Contacto"</t>
  </si>
  <si>
    <t>1508961,"7/24/2020","7/24/2020","CABA","BOCA","4","femenino","87","confirmado","8/7/2020","si","","Comunitario"</t>
  </si>
  <si>
    <t>5134348,"12/11/2020","12/12/2020","CABA","VILLA DEVOTO","11","femenino","80","confirmado","12/17/2020","si","","Comunitario"</t>
  </si>
  <si>
    <t>2055066,"8/22/2020","8/24/2020","CABA","SAAVEDRA","12","masculino","81","confirmado","9/24/2020","si","","Comunitario"</t>
  </si>
  <si>
    <t>2416399,"9/7/2020","9/7/2020","CABA","ALMAGRO","5","femenino","86","confirmado","9/20/2020","si","","Comunitario"</t>
  </si>
  <si>
    <t>1305813,"7/9/2020","7/9/2020","CABA","PARQUE CHAS","15","femenino","72","descartado","","no","",""</t>
  </si>
  <si>
    <t>1239087,"7/1/2020","7/2/2020","Buenos Aires","VICENTE LOPEZ","","femenino","73","confirmado","7/5/2020","si","","Contacto"</t>
  </si>
  <si>
    <t>1179129,"6/16/2020","6/17/2020","Buenos Aires","ENSENADA","","masculino","33","descartado","","no","",""</t>
  </si>
  <si>
    <t>2302328,"9/14/2020","9/14/2020","CABA","VILLA CRESPO","15","masculino","44","confirmado","9/30/2020","si","","En InvestigaciÃ³n"</t>
  </si>
  <si>
    <t>1213903,"6/29/2020","7/1/2020","CABA","VILLA LURO","10","femenino","88","confirmado","7/25/2020","si","","Contacto"</t>
  </si>
  <si>
    <t>805612,"4/9/2020","4/9/2020","CABA","VILLA REAL","10","masculino","94","descartado","","no","",""</t>
  </si>
  <si>
    <t>2307156,"9/2/2020","9/2/2020","CABA","FLORES","7","femenino","91","confirmado","9/20/2020","si","","Contacto"</t>
  </si>
  <si>
    <t>4580876,"11/20/2020","11/20/2020","Buenos Aires","ESTEBAN ECHEVERRIA","","femenino","67","confirmado","12/12/2020","si","","Comunitario"</t>
  </si>
  <si>
    <t>2993167,"9/27/2020","9/28/2020","CABA","FLORES","7","femenino","76","descartado","","no","",""</t>
  </si>
  <si>
    <t>1321395,"7/11/2020","7/11/2020","CABA","BELGRANO","13","femenino","82","descartado","","no","",""</t>
  </si>
  <si>
    <t>1362683,"7/14/2020","7/17/2020","CABA","MATADEROS","9","femenino","92","confirmado","8/9/2020","si","","Contacto"</t>
  </si>
  <si>
    <t>1054123,"6/10/2020","6/10/2020","Buenos Aires","ALMIRANTE BROWN","","femenino","86","descartado","","no","",""</t>
  </si>
  <si>
    <t>1618127,"8/1/2020","8/4/2020","CABA","PALERMO","14","masculino","72","confirmado","8/6/2020","si","","Comunitario"</t>
  </si>
  <si>
    <t>913656,"5/13/2020","5/14/2020","CABA","SAN CRISTOBAL","3","femenino","97","confirmado","5/26/2020","si","","Comunitario"</t>
  </si>
  <si>
    <t>2873215,"9/23/2020","9/23/2020","Buenos Aires","CAMPANA","","femenino","71","confirmado","10/1/2020","si","","Contacto"</t>
  </si>
  <si>
    <t>1218256,"6/30/2020","7/1/2020","CABA","RETIRO","1","masculino","72","confirmado","7/19/2020","si","","Comunitario"</t>
  </si>
  <si>
    <t>1667386,"8/4/2020","8/4/2020","CABA","MATADEROS","9","masculino","77","confirmado","8/4/2020","si","","Comunitario"</t>
  </si>
  <si>
    <t>1059629,"6/11/2020","6/11/2020","CABA","SAN CRISTOBAL","3","masculino","56","confirmado","6/15/2020","si","","Contacto"</t>
  </si>
  <si>
    <t>2051753,"8/23/2020","8/23/2020","CABA","FLORES","7","masculino","77","confirmado","9/3/2020","si","","En InvestigaciÃ³n"</t>
  </si>
  <si>
    <t>3565757,"10/19/2020","10/20/2020","CABA","VILLA CRESPO","15","femenino","85","confirmado","10/22/2020","si","","Comunitario"</t>
  </si>
  <si>
    <t>1634473,"8/1/2020","8/1/2020","CABA","NUÃ‘EZ","13","femenino","92","confirmado","8/1/2020","si","","Comunitario"</t>
  </si>
  <si>
    <t>1782949,"8/9/2020","8/9/2020","CABA","FLORES","7","femenino","48","confirmado","9/1/2020","si","","Comunitario"</t>
  </si>
  <si>
    <t>1446416,"7/21/2020","7/23/2020","CABA","PARQUE AVELLANEDA","9","masculino","70","confirmado","7/29/2020","si","","Comunitario"</t>
  </si>
  <si>
    <t>1917162,"8/16/2020","8/16/2020","CABA","ALMAGRO","5","femenino","102","confirmado","9/8/2020","si","","Comunitario"</t>
  </si>
  <si>
    <t>3507924,"10/14/2020","10/15/2020","Buenos Aires","LANUS","","masculino","86","confirmado","10/16/2020","si","","Comunitario"</t>
  </si>
  <si>
    <t>1319138,"7/10/2020","7/10/2020","CABA","VILLA URQUIZA","12","masculino","92","confirmado","7/13/2020","si","","Comunitario"</t>
  </si>
  <si>
    <t>2428469,"9/7/2020","9/7/2020","CABA","PARQUE PATRICIOS","4","masculino","76","confirmado","9/8/2020","si","","Comunitario"</t>
  </si>
  <si>
    <t>1729302,"8/6/2020","8/6/2020","CABA","PARQUE CHAS","15","masculino","75","confirmado","8/13/2020","si","","En InvestigaciÃ³n"</t>
  </si>
  <si>
    <t>1307282,"7/9/2020","7/10/2020","CABA","BALVANERA","3","femenino","82","descartado","","no","",""</t>
  </si>
  <si>
    <t>4854952,"12/1/2020","12/1/2020","Buenos Aires","TIGRE","","masculino","33","descartado","","no","",""</t>
  </si>
  <si>
    <t>2316211,"9/1/2020","9/1/2020","CABA","SAAVEDRA","12","femenino","90","confirmado","9/7/2020","si","","Comunitario"</t>
  </si>
  <si>
    <t>1013431,"6/2/2020","6/3/2020","Buenos Aires","LOMAS DE ZAMORA","","masculino","86","confirmado","6/6/2020","si","","Contacto"</t>
  </si>
  <si>
    <t>1619130,"7/31/2020","7/31/2020","CABA","VILLA SOLDATI","8","femenino","52","confirmado","8/22/2020","si","","Comunitario"</t>
  </si>
  <si>
    <t>1028316,"6/5/2020","6/6/2020","CABA","RETIRO","1","masculino","80","confirmado","6/5/2020","si","","Comunitario"</t>
  </si>
  <si>
    <t>1469528,"7/17/2020","7/18/2020","CABA","PALERMO","14","femenino","87","confirmado","7/28/2020","si","","Comunitario"</t>
  </si>
  <si>
    <t>3255203,"10/6/2020","10/8/2020","Buenos Aires","SAN MIGUEL","","masculino","81","confirmado","10/14/2020","si","","Comunitario"</t>
  </si>
  <si>
    <t>2216091,"8/30/2020","8/30/2020","CABA","BOCA","4","masculino","82","descartado","","no","",""</t>
  </si>
  <si>
    <t>1667935,"8/3/2020","8/4/2020","CABA","SAN NICOLAS","1","femenino","48","confirmado","8/5/2020","si","","En InvestigaciÃ³n"</t>
  </si>
  <si>
    <t>2729339,"9/18/2020","9/20/2020","CABA","MATADEROS","9","femenino","75","confirmado","10/9/2020","si","","Comunitario"</t>
  </si>
  <si>
    <t>1391778,"7/16/2020","7/16/2020","CABA","ALMAGRO","5","masculino","74","confirmado","8/25/2020","si","","Comunitario"</t>
  </si>
  <si>
    <t>1376585,"7/15/2020","7/15/2020","Buenos Aires","ALMIRANTE BROWN","","masculino","96","confirmado","7/27/2020","si","","Comunitario"</t>
  </si>
  <si>
    <t>1389983,"7/16/2020","7/16/2020","Buenos Aires","LANUS","","femenino","83","confirmado","8/2/2020","si","","Contacto"</t>
  </si>
  <si>
    <t>1470319,"7/22/2020","7/22/2020","Buenos Aires","LOMAS DE ZAMORA","","femenino","55","confirmado","8/16/2020","si","","Contacto"</t>
  </si>
  <si>
    <t>1281167,"7/7/2020","7/8/2020","CABA","BALVANERA","3","masculino","67","confirmado","7/13/2020","si","","En InvestigaciÃ³n"</t>
  </si>
  <si>
    <t>1272585,"7/6/2020","7/8/2020","CABA","VILLA CRESPO","15","masculino","97","confirmado","7/13/2020","si","","Comunitario"</t>
  </si>
  <si>
    <t>4461551,"11/17/2020","11/18/2020","CABA","VILLA CRESPO","15","masculino","84","confirmado","11/24/2020","si","","Comunitario"</t>
  </si>
  <si>
    <t>3247222,"10/15/2020","10/16/2020","Buenos Aires","VICENTE LOPEZ","","femenino","76","confirmado","11/4/2020","si","","Comunitario"</t>
  </si>
  <si>
    <t>1000567,"5/31/2020","6/1/2020","CABA","RECOLETA","2","masculino","97","confirmado","6/9/2020","si","","Contacto"</t>
  </si>
  <si>
    <t>3171496,"10/21/2020","10/22/2020","Buenos Aires","LOMAS DE ZAMORA","","masculino","69","confirmado","10/30/2020","si","","Comunitario"</t>
  </si>
  <si>
    <t>4715719,"11/24/2020","11/25/2020","CABA","COLEGIALES","13","masculino","88","descartado","","no","",""</t>
  </si>
  <si>
    <t>5142919,"12/20/2020","1/4/2021","Buenos Aires","LOMAS DE ZAMORA","","masculino","60","confirmado","1/1/2021","si","","En InvestigaciÃ³n"</t>
  </si>
  <si>
    <t>5154153,"12/10/2020","12/10/2020","CABA","NUEVA POMPEYA","4","masculino","71","confirmado","12/12/2020","si","","Comunitario"</t>
  </si>
  <si>
    <t>1313225,"7/10/2020","7/10/2020","CABA","NUÃ‘EZ","13","femenino","85","confirmado","7/22/2020","si","","Comunitario"</t>
  </si>
  <si>
    <t>4514356,"11/26/2020","11/26/2020","CABA","BOCA","4","masculino","32","confirmado","12/27/2020","si","","Contacto"</t>
  </si>
  <si>
    <t>1084220,"7/10/2020","7/10/2020","CABA","CABALLITO","6","masculino","79","confirmado","7/11/2020","si","","Comunitario"</t>
  </si>
  <si>
    <t>785145,"4/1/2020","4/5/2020","CABA","VILLA URQUIZA","12","femenino","85","descartado","","no","",""</t>
  </si>
  <si>
    <t>1447653,"7/21/2020","7/21/2020","CABA","COLEGIALES","13","femenino","60","confirmado","8/7/2020","si","","Contacto"</t>
  </si>
  <si>
    <t>1352161,"7/14/2020","7/27/2020","CABA","VILLA DEL PARQUE","11","femenino","91","confirmado","8/7/2020","si","","Contacto"</t>
  </si>
  <si>
    <t>4459941,"11/17/2020","12/6/2020","Buenos Aires","LANUS","","masculino","70","confirmado","12/10/2020","si","","Comunitario"</t>
  </si>
  <si>
    <t>1934440,"8/31/2020","8/31/2020","CABA","FLORES","7","masculino","64","confirmado","8/31/2020","si","","Comunitario"</t>
  </si>
  <si>
    <t>2163903,"8/27/2020","8/27/2020","CABA","VILLA DEL PARQUE","11","femenino","92","descartado","","no","",""</t>
  </si>
  <si>
    <t>1256774,"7/5/2020","7/5/2020","CABA","NUEVA POMPEYA","4","femenino","82","confirmado","7/13/2020","si","","Comunitario"</t>
  </si>
  <si>
    <t>2665666,"9/16/2020","9/16/2020","CABA","CABALLITO","6","femenino","89","confirmado","9/19/2020","si","","Contacto"</t>
  </si>
  <si>
    <t>781310,"3/31/2020","4/3/2020","Buenos Aires","CAMPANA","","masculino","85","confirmado","4/6/2020","si","","Comunitario"</t>
  </si>
  <si>
    <t>956298,"5/21/2020","5/21/2020","CABA","FLORES","7","masculino","75","descartado","","no","",""</t>
  </si>
  <si>
    <t>1063745,"6/11/2020","6/13/2020","Buenos Aires","ALMIRANTE BROWN","","masculino","62","confirmado","6/23/2020","si","","Trabajador de la Salud"</t>
  </si>
  <si>
    <t>794846,"3/31/2020","3/31/2020","CABA","PALERMO","14","masculino","81","confirmado","4/24/2020","si","","Comunitario"</t>
  </si>
  <si>
    <t>956780,"5/22/2020","5/22/2020","CABA","FLORES","7","femenino","72","confirmado","5/30/2020","si","","Comunitario"</t>
  </si>
  <si>
    <t>3810173,"10/26/2020","10/28/2020","Buenos Aires","TIGRE","","femenino","79","confirmado","11/7/2020","si","","Comunitario"</t>
  </si>
  <si>
    <t>1728435,"8/4/2020","8/5/2020","Buenos Aires","ALMIRANTE BROWN","","femenino","88","confirmado","8/18/2020","si","","Comunitario"</t>
  </si>
  <si>
    <t>1040507,"6/7/2020","7/15/2020","CABA","VELEZ SARSFIELD","10","masculino","91","confirmado","7/16/2020","si","","Contacto"</t>
  </si>
  <si>
    <t>1627226,"8/1/2020","8/1/2020","CABA","LINIERS","9","femenino","66","confirmado","9/15/2020","si","","En InvestigaciÃ³n"</t>
  </si>
  <si>
    <t>2149542,"9/7/2020","9/8/2020","CABA","RECOLETA","2","femenino","94","confirmado","9/20/2020","si","","Comunitario"</t>
  </si>
  <si>
    <t>2229335,"8/30/2020","8/30/2020","CABA","BARRACAS","4","masculino","64","descartado","","no","",""</t>
  </si>
  <si>
    <t>2778428,"9/5/2020","9/5/2020","CABA","VILLA CRESPO","15","masculino","67","confirmado","9/28/2020","si","","Comunitario"</t>
  </si>
  <si>
    <t>3997716,"11/1/2020","11/3/2020","CABA","VILLA CRESPO","15","masculino","86","confirmado","11/26/2020","si","","En InvestigaciÃ³n"</t>
  </si>
  <si>
    <t>5791831,"12/23/2020","12/23/2020","CABA","FLORES","7","masculino","75","confirmado","12/31/2020","si","","Contacto"</t>
  </si>
  <si>
    <t>2590712,"8/20/2020","8/20/2020","CABA","ALMAGRO","5","femenino","87","confirmado","9/12/2020","si","","Comunitario"</t>
  </si>
  <si>
    <t>1190370,"6/27/2020","6/28/2020","CABA","SAN CRISTOBAL","3","femenino","71","confirmado","7/1/2020","si","","En InvestigaciÃ³n"</t>
  </si>
  <si>
    <t>876331,"4/23/2020","4/23/2020","CABA","PARQUE AVELLANEDA","9","masculino","87","confirmado","5/15/2020","si","","Contacto"</t>
  </si>
  <si>
    <t>1258391,"7/3/2020","7/3/2020","CABA","SAAVEDRA","12","femenino","92","confirmado","7/19/2020","si","","Comunitario"</t>
  </si>
  <si>
    <t>996779,"5/30/2020","6/18/2020","CABA","RECOLETA","2","masculino","88","confirmado","6/13/2020","si","","Comunitario"</t>
  </si>
  <si>
    <t>2143137,"8/26/2020","8/26/2020","Buenos Aires","ALMIRANTE BROWN","","masculino","70","confirmado","8/27/2020","si","","Comunitario"</t>
  </si>
  <si>
    <t>5773597,"12/30/2020","12/30/2020","Buenos Aires","SAN VICENTE","","femenino","77","confirmado","1/11/2021","si","","Comunitario"</t>
  </si>
  <si>
    <t>1728760,"8/4/2020","8/5/2020","Buenos Aires","LANUS","","femenino","83","confirmado","8/11/2020","si","","Comunitario"</t>
  </si>
  <si>
    <t>984193,"5/28/2020","5/29/2020","CABA","BOEDO","5","masculino","34","confirmado","6/6/2020","si","","Contacto"</t>
  </si>
  <si>
    <t>4666846,"11/23/2020","11/23/2020","CABA","VILLA LURO","10","femenino","80","confirmado","11/23/2020","si","","Comunitario"</t>
  </si>
  <si>
    <t>1095229,"6/16/2020","6/16/2020","CABA","LINIERS","9","masculino","80","confirmado","7/14/2020","si","","Comunitario"</t>
  </si>
  <si>
    <t>1453916,"7/18/2020","7/18/2020","CABA","VILLA PUEYRREDON","12","femenino","79","descartado","","no","",""</t>
  </si>
  <si>
    <t>911390,"5/11/2020","5/11/2020","CABA","FLORES","7","masculino","89","descartado","","no","",""</t>
  </si>
  <si>
    <t>786695,"4/2/2020","4/4/2020","CABA","CONSTITUCION","1","masculino","72","descartado","","no","",""</t>
  </si>
  <si>
    <t>1290137,"7/8/2020","7/8/2020","CABA","PARQUE AVELLANEDA","9","femenino","97","confirmado","8/5/2020","si","","Comunitario"</t>
  </si>
  <si>
    <t>2513126,"9/10/2020","9/10/2020","Buenos Aires","HURLINGHAM","","femenino","90","confirmado","9/14/2020","si","","Contacto"</t>
  </si>
  <si>
    <t>3236202,"10/8/2020","10/8/2020","Buenos Aires","FLORENCIO VARELA","","masculino","84","confirmado","1/5/2021","si","","En InvestigaciÃ³n"</t>
  </si>
  <si>
    <t>5588139,"12/26/2020","12/27/2020","CABA","VILLA DEL PARQUE","11","femenino","72","confirmado","1/11/2021","si","","Comunitario"</t>
  </si>
  <si>
    <t>3382686,"10/11/2020","10/14/2020","CABA","PALERMO","14","masculino","94","confirmado","10/14/2020","si","","En InvestigaciÃ³n"</t>
  </si>
  <si>
    <t>1698579,"8/5/2020","8/6/2020","CABA","PALERMO","14","femenino","65","confirmado","8/5/2020","si","","Comunitario"</t>
  </si>
  <si>
    <t>1369639,"7/14/2020","7/16/2020","Buenos Aires","LOMAS DE ZAMORA","","femenino","51","confirmado","7/22/2020","si","","Comunitario"</t>
  </si>
  <si>
    <t>3034788,"10/11/2020","10/11/2020","CABA","PARQUE PATRICIOS","4","femenino","90","confirmado","10/12/2020","si","","Comunitario"</t>
  </si>
  <si>
    <t>2074730,"8/23/2020","8/24/2020","CABA","PALERMO","14","femenino","88","confirmado","9/10/2020","si","","Comunitario"</t>
  </si>
  <si>
    <t>3633461,"10/20/2020","10/21/2020","Buenos Aires","SAN ISIDRO","","masculino","71","confirmado","11/20/2020","si","","Comunitario"</t>
  </si>
  <si>
    <t>1465134,"7/21/2020","7/22/2020","Buenos Aires","ENSENADA","","femenino","70","confirmado","7/26/2020","si","","Comunitario"</t>
  </si>
  <si>
    <t>3215135,"10/7/2020","10/8/2020","CABA","CABALLITO","6","femenino","82","confirmado","10/17/2020","si","","Comunitario"</t>
  </si>
  <si>
    <t>1029412,"6/6/2020","6/6/2020","CABA","BARRACAS","4","femenino","85","confirmado","6/15/2020","si","","Comunitario"</t>
  </si>
  <si>
    <t>1956369,"8/18/2020","8/18/2020","CABA","LINIERS","9","femenino","86","confirmado","8/25/2020","si","","Comunitario"</t>
  </si>
  <si>
    <t>1358214,"7/11/2020","7/14/2020","CABA","NUÃ‘EZ","13","femenino","88","confirmado","7/11/2020","si","","Comunitario"</t>
  </si>
  <si>
    <t>2700235,"9/17/2020","9/17/2020","Buenos Aires","MARCOS PAZ","","femenino","51","confirmado","10/3/2020","si","","En InvestigaciÃ³n"</t>
  </si>
  <si>
    <t>2286811,"9/1/2020","9/2/2020","Buenos Aires","LANUS","","femenino","67","confirmado","9/6/2020","si","","Contacto"</t>
  </si>
  <si>
    <t>2057220,"8/23/2020","8/23/2020","CABA","MONTE CASTRO","10","masculino","83","confirmado","9/8/2020","si","","Comunitario"</t>
  </si>
  <si>
    <t>2570667,"9/12/2020","9/12/2020","CABA","BELGRANO","13","femenino","72","confirmado","9/21/2020","si","","Contacto"</t>
  </si>
  <si>
    <t>995603,"5/30/2020","5/31/2020","Buenos Aires","SAN ISIDRO","","femenino","99","descartado","","no","",""</t>
  </si>
  <si>
    <t>1414938,"7/18/2020","7/18/2020","Buenos Aires","SAN ISIDRO","","femenino","66","confirmado","9/13/2020","si","","Comunitario"</t>
  </si>
  <si>
    <t>5020322,"12/5/2020","12/5/2020","CABA","BALVANERA","3","masculino","86","confirmado","12/18/2020","si","","Comunitario"</t>
  </si>
  <si>
    <t>1281067,"7/7/2020","7/16/2020","Buenos Aires","ALMIRANTE BROWN","","femenino","36","descartado","","no","",""</t>
  </si>
  <si>
    <t>3818501,"10/27/2020","10/27/2020","CABA","BALVANERA","3","masculino","73","descartado","","no","",""</t>
  </si>
  <si>
    <t>5151255,"12/22/2020","1/21/2021","CABA","VILLA REAL","10","masculino","62","confirmado","1/29/2021","si","","En InvestigaciÃ³n"</t>
  </si>
  <si>
    <t>916084,"5/12/2020","5/13/2020","Buenos Aires","CAMPANA","","masculino","62","confirmado","5/18/2020","si","","Comunitario"</t>
  </si>
  <si>
    <t>1256705,"7/3/2020","7/3/2020","CABA","SAN CRISTOBAL","3","masculino","63","confirmado","8/4/2020","si","","Comunitario"</t>
  </si>
  <si>
    <t>3345584,"10/12/2020","11/21/2020","CABA","BALVANERA","3","masculino","69","confirmado","11/16/2020","si","","Comunitario"</t>
  </si>
  <si>
    <t>763742,"3/21/2020","3/22/2020","Buenos Aires","MALVINAS ARGENTINAS","","masculino","81","descartado","","no","",""</t>
  </si>
  <si>
    <t>2030105,"8/21/2020","8/22/2020","Buenos Aires","MALVINAS ARGENTINAS","","femenino","73","confirmado","9/17/2020","si","","Comunitario"</t>
  </si>
  <si>
    <t>775931,"3/29/2020","4/1/2020","Buenos Aires","TRES DE FEBRERO","","masculino","71","descartado","","no","",""</t>
  </si>
  <si>
    <t>1222038,"7/1/2020","7/2/2020","CABA","PALERMO","14","femenino","87","confirmado","7/19/2020","si","","Comunitario"</t>
  </si>
  <si>
    <t>1272902,"7/5/2020","7/6/2020","CABA","FLORES","7","femenino","71","confirmado","7/19/2020","si","","Comunitario"</t>
  </si>
  <si>
    <t>936433,"5/14/2020","5/14/2020","CABA","VILLA DEVOTO","11","masculino","93","descartado","","no","",""</t>
  </si>
  <si>
    <t>832463,"4/18/2020","4/19/2020","CABA","VILLA CRESPO","15","femenino","86","confirmado","5/1/2020","si","","Contacto"</t>
  </si>
  <si>
    <t>1441703,"7/20/2020","7/20/2020","CABA","VELEZ SARSFIELD","10","femenino","80","confirmado","8/4/2020","si","","Comunitario"</t>
  </si>
  <si>
    <t>2648678,"9/15/2020","9/16/2020","CÃ³rdoba","RIO CUARTO","","femenino","20","descartado","","no","",""</t>
  </si>
  <si>
    <t>5448673,"12/20/2020","12/21/2020","CABA","CABALLITO","6","femenino","70","confirmado","2/9/2021","si","","Comunitario"</t>
  </si>
  <si>
    <t>1254154,"7/10/2020","7/10/2020","CABA","BALVANERA","3","femenino","26","confirmado","8/7/2020","si","","Comunitario"</t>
  </si>
  <si>
    <t>1692007,"8/10/2020","8/13/2020","CABA","PARQUE PATRICIOS","4","femenino","85","confirmado","8/12/2020","si","","Comunitario"</t>
  </si>
  <si>
    <t>1114736,"7/1/2020","7/1/2020","CABA","FLORES","7","masculino","87","confirmado","7/1/2020","si","","Comunitario"</t>
  </si>
  <si>
    <t>925772,"5/15/2020","5/15/2020","CABA","BALVANERA","3","masculino","95","confirmado","5/24/2020","si","","Comunitario"</t>
  </si>
  <si>
    <t>1528422,"7/25/2020","7/26/2020","CABA","SAN TELMO","1","masculino","90","confirmado","8/7/2020","si","","Comunitario"</t>
  </si>
  <si>
    <t>5311665,"12/16/2020","12/16/2020","CABA","AGRONOMIA","15","masculino","78","confirmado","12/30/2020","si","","Comunitario"</t>
  </si>
  <si>
    <t>1283454,"7/20/2020","7/21/2020","Buenos Aires","LANUS","","masculino","56","confirmado","7/26/2020","si","","Contacto"</t>
  </si>
  <si>
    <t>5583820,"12/25/2020","12/26/2020","CABA","RETIRO","1","femenino","94","confirmado","12/27/2020","si","","Comunitario"</t>
  </si>
  <si>
    <t>1412347,"7/18/2020","7/18/2020","CABA","FLORES","7","femenino","75","confirmado","7/24/2020","si","","Comunitario"</t>
  </si>
  <si>
    <t>1526293,"7/26/2020","7/26/2020","CABA","PATERNAL","15","masculino","99","confirmado","7/29/2020","si","","Comunitario"</t>
  </si>
  <si>
    <t>4865552,"11/30/2020","11/30/2020","Buenos Aires","HURLINGHAM","","femenino","39","confirmado","12/17/2020","si","","Comunitario"</t>
  </si>
  <si>
    <t>2105531,"9/2/2020","9/3/2020","CABA","BARRACAS","4","masculino","91","confirmado","9/18/2020","si","","En InvestigaciÃ³n"</t>
  </si>
  <si>
    <t>2341844,"9/4/2020","9/5/2020","CABA","BALVANERA","3","masculino","86","descartado","","no","",""</t>
  </si>
  <si>
    <t>3158996,"10/2/2020","10/6/2020","CABA","PARQUE PATRICIOS","4","masculino","95","confirmado","10/9/2020","si","","En InvestigaciÃ³n"</t>
  </si>
  <si>
    <t>1937989,"8/5/2020","8/5/2020","CABA","PALERMO","14","masculino","78","confirmado","8/17/2020","si","","Comunitario"</t>
  </si>
  <si>
    <t>1443470,"7/20/2020","7/21/2020","CABA","BELGRANO","13","masculino","85","confirmado","7/21/2020","si","","Comunitario"</t>
  </si>
  <si>
    <t>5282415,"12/14/2020","12/14/2020","CABA","VILLA PUEYRREDON","12","masculino","74","descartado","","no","",""</t>
  </si>
  <si>
    <t>2121646,"8/25/2020","8/25/2020","CABA","BALVANERA","3","masculino","74","confirmado","9/18/2020","si","","Comunitario"</t>
  </si>
  <si>
    <t>833970,"4/20/2020","4/20/2020","CABA","VILLA DEVOTO","11","masculino","74","descartado","","no","",""</t>
  </si>
  <si>
    <t>1377472,"7/9/2020","7/10/2020","CABA","BELGRANO","13","femenino","90","descartado","","no","",""</t>
  </si>
  <si>
    <t>1057655,"6/11/2020","6/11/2020","CABA","BELGRANO","13","masculino","87","descartado","","no","",""</t>
  </si>
  <si>
    <t>858118,"4/26/2020","4/27/2020","CABA","BELGRANO","13","femenino","72","descartado","","no","",""</t>
  </si>
  <si>
    <t>5575412,"12/23/2020","12/24/2020","Buenos Aires","MARCOS PAZ","","femenino","94","confirmado","1/5/2021","si","","Contacto"</t>
  </si>
  <si>
    <t>1010455,"6/2/2020","6/2/2020","CABA","CONSTITUCION","1","masculino","98","confirmado","6/9/2020","si","","Comunitario"</t>
  </si>
  <si>
    <t>3249172,"10/8/2020","10/8/2020","CABA","VILLA CRESPO","15","masculino","94","confirmado","10/9/2020","si","","Comunitario"</t>
  </si>
  <si>
    <t>1674891,"8/17/2020","8/17/2020","CABA","ALMAGRO","5","femenino","58","confirmado","8/22/2020","si","","Contacto"</t>
  </si>
  <si>
    <t>3474269,"10/15/2020","10/15/2020","Buenos Aires","LANUS","","femenino","82","confirmado","11/10/2020","si","","Comunitario"</t>
  </si>
  <si>
    <t>1423406,"7/19/2020","7/19/2020","CABA","CABALLITO","6","femenino","83","confirmado","7/30/2020","si","","Comunitario"</t>
  </si>
  <si>
    <t>1300187,"7/8/2020","7/8/2020","CABA","VILLA GRAL. MITRE","11","femenino","83","confirmado","7/18/2020","si","","Comunitario"</t>
  </si>
  <si>
    <t>1810448,"8/10/2020","8/12/2020","CABA","PARQUE AVELLANEDA","9","masculino","81","confirmado","8/19/2020","si","","Contacto"</t>
  </si>
  <si>
    <t>5604108,"12/26/2020","12/26/2020","CABA","COLEGIALES","13","masculino","78","confirmado","1/14/2021","si","","Comunitario"</t>
  </si>
  <si>
    <t>911888,"5/10/2020","5/10/2020","CABA","VILLA SANTA RITA","11","femenino","93","descartado","","no","",""</t>
  </si>
  <si>
    <t>2553298,"9/8/2020","9/9/2020","Buenos Aires","TIGRE","","masculino","88","confirmado","9/12/2020","si","","Comunitario"</t>
  </si>
  <si>
    <t>2626282,"9/15/2020","9/16/2020","Buenos Aires","ENSENADA","","femenino","51","confirmado","9/17/2020","si","","Comunitario"</t>
  </si>
  <si>
    <t>5031810,"12/5/2020","12/5/2020","CABA","CABALLITO","6","masculino","83","confirmado","12/11/2020","si","","Contacto"</t>
  </si>
  <si>
    <t>1894945,"8/14/2020","8/16/2020","Buenos Aires","FLORENCIO VARELA","","masculino","73","confirmado","8/20/2020","si","","Comunitario"</t>
  </si>
  <si>
    <t>826698,"4/17/2020","4/19/2020","CABA","RECOLETA","2","masculino","94","descartado","","no","",""</t>
  </si>
  <si>
    <t>1278589,"7/1/2020","7/1/2020","Buenos Aires","TRES DE FEBRERO","","masculino","89","confirmado","7/7/2020","si","","En InvestigaciÃ³n"</t>
  </si>
  <si>
    <t>1774266,"8/9/2020","8/9/2020","CABA","BARRACAS","4","masculino","90","confirmado","8/14/2020","si","","Comunitario"</t>
  </si>
  <si>
    <t>1850028,"8/12/2020","8/16/2020","CABA","NUEVA POMPEYA","4","masculino","47","confirmado","8/16/2020","si","","Comunitario"</t>
  </si>
  <si>
    <t>1613992,"7/31/2020","7/31/2020","CABA","CABALLITO","6","femenino","82","confirmado","8/20/2020","si","","Comunitario"</t>
  </si>
  <si>
    <t>1446683,"7/20/2020","7/20/2020","CABA","NUEVA POMPEYA","4","masculino","57","confirmado","8/16/2020","si","","Comunitario"</t>
  </si>
  <si>
    <t>940259,"5/19/2020","5/19/2020","CABA","SAN CRISTOBAL","3","masculino","45","confirmado","5/27/2020","si","","Comunitario"</t>
  </si>
  <si>
    <t>1844964,"8/11/2020","8/11/2020","CABA","VILLA DEL PARQUE","11","femenino","90","confirmado","8/17/2020","si","","Comunitario"</t>
  </si>
  <si>
    <t>2992338,"9/27/2020","9/27/2020","CABA","COLEGIALES","13","masculino","85","confirmado","10/7/2020","si","","Comunitario"</t>
  </si>
  <si>
    <t>1420137,"7/26/2020","7/27/2020","CABA","MONSERRAT","1","masculino","81","confirmado","8/13/2020","si","","Comunitario"</t>
  </si>
  <si>
    <t>3592970,"10/20/2020","10/21/2020","CABA","SAN NICOLAS","1","femenino","99","descartado","","no","",""</t>
  </si>
  <si>
    <t>2119592,"8/26/2020","8/27/2020","Buenos Aires","LANUS","","femenino","92","descartado","","no","",""</t>
  </si>
  <si>
    <t>2529705,"9/21/2020","9/21/2020","CABA","VILLA DEVOTO","11","femenino","92","confirmado","10/1/2020","si","","Comunitario"</t>
  </si>
  <si>
    <t>2543581,"9/10/2020","9/11/2020","CABA","MATADEROS","9","femenino","94","confirmado","9/14/2020","si","","Comunitario"</t>
  </si>
  <si>
    <t>3835242,"10/27/2020","10/28/2020","Buenos Aires","SAN ISIDRO","","femenino","89","confirmado","11/3/2020","si","","En InvestigaciÃ³n"</t>
  </si>
  <si>
    <t>1695354,"8/4/2020","8/8/2020","Buenos Aires","LOMAS DE ZAMORA","","femenino","74","confirmado","8/7/2020","si","","Comunitario"</t>
  </si>
  <si>
    <t>1279161,"7/6/2020","7/6/2020","Buenos Aires","VICENTE LOPEZ","","femenino","81","descartado","","no","",""</t>
  </si>
  <si>
    <t>1120593,"6/20/2020","6/22/2020","CABA","FLORES","7","masculino","57","confirmado","7/27/2020","si","","Contacto"</t>
  </si>
  <si>
    <t>2223924,"8/30/2020","8/31/2020","Buenos Aires","LOMAS DE ZAMORA","","masculino","88","confirmado","9/13/2020","si","","Comunitario"</t>
  </si>
  <si>
    <t>1220621,"7/1/2020","7/1/2020","CABA","LINIERS","9","femenino","100","confirmado","7/14/2020","si","","Comunitario"</t>
  </si>
  <si>
    <t>2477434,"9/26/2020","9/26/2020","CABA","FLORES","7","masculino","85","descartado","","no","",""</t>
  </si>
  <si>
    <t>1337878,"7/13/2020","7/30/2020","Buenos Aires","AVELLANEDA","","masculino","85","confirmado","9/28/2020","si","","Comunitario"</t>
  </si>
  <si>
    <t>2031077,"8/21/2020","8/21/2020","CABA","COLEGIALES","13","masculino","70","confirmado","9/15/2020","si","","Contacto"</t>
  </si>
  <si>
    <t>2329773,"9/2/2020","9/4/2020","Buenos Aires","QUILMES","","femenino","97","descartado","","no","",""</t>
  </si>
  <si>
    <t>1107151,"7/13/2020","7/14/2020","CABA","SAN CRISTOBAL","3","femenino","91","confirmado","7/19/2020","si","","Comunitario"</t>
  </si>
  <si>
    <t>4632411,"11/21/2020","11/22/2020","CABA","BARRACAS","4","masculino","67","descartado","","no","",""</t>
  </si>
  <si>
    <t>1455968,"7/30/2020","7/30/2020","CABA","FLORES","7","femenino","45","confirmado","8/4/2020","si","","Comunitario"</t>
  </si>
  <si>
    <t>5541292,"12/21/2020","12/21/2020","CABA","VILLA PUEYRREDON","12","femenino","92","descartado","","no","",""</t>
  </si>
  <si>
    <t>1714866,"8/5/2020","8/6/2020","CABA","CABALLITO","6","masculino","68","confirmado","9/7/2020","si","","Comunitario"</t>
  </si>
  <si>
    <t>1970278,"8/19/2020","8/19/2020","CABA","SAN NICOLAS","1","masculino","83","confirmado","8/18/2020","si","","Comunitario"</t>
  </si>
  <si>
    <t>2750332,"9/18/2020","9/18/2020","CABA","MATADEROS","9","femenino","85","descartado","","no","",""</t>
  </si>
  <si>
    <t>935398,"6/11/2020","6/12/2020","CABA","NUÃ‘EZ","13","femenino","90","confirmado","6/23/2020","si","","Comunitario"</t>
  </si>
  <si>
    <t>1910438,"8/15/2020","8/16/2020","Buenos Aires","LANUS","","masculino","75","confirmado","9/15/2020","si","","Comunitario"</t>
  </si>
  <si>
    <t>902945,"7/7/2020","7/7/2020","CABA","BELGRANO","13","masculino","90","confirmado","7/14/2020","si","","Contacto"</t>
  </si>
  <si>
    <t>792817,"7/2/2020","7/3/2020","CABA","ALMAGRO","5","masculino","63","confirmado","7/9/2020","si","","Comunitario"</t>
  </si>
  <si>
    <t>1078583,"6/14/2020","6/15/2020","CABA","ALMAGRO","5","femenino","88","confirmado","6/14/2020","si","","Comunitario"</t>
  </si>
  <si>
    <t>1390349,"7/16/2020","7/16/2020","CABA","RECOLETA","2","femenino","98","confirmado","7/24/2020","si","","Contacto"</t>
  </si>
  <si>
    <t>5549398,"12/22/2020","12/23/2020","Buenos Aires","ALMIRANTE BROWN","","masculino","92","confirmado","12/25/2020","si","","Comunitario"</t>
  </si>
  <si>
    <t>4793497,"11/27/2020","11/30/2020","CABA","PARQUE AVELLANEDA","9","femenino","81","confirmado","12/13/2020","si","","Comunitario"</t>
  </si>
  <si>
    <t>2375278,"9/3/2020","9/4/2020","CABA","PALERMO","14","femenino","99","confirmado","9/22/2020","si","","Comunitario"</t>
  </si>
  <si>
    <t>3089009,"10/2/2020","10/2/2020","Buenos Aires","MORENO","","femenino","94","confirmado","10/4/2020","si","","Contacto"</t>
  </si>
  <si>
    <t>4657512,"11/19/2020","11/20/2020","CABA","FLORES","7","femenino","91","descartado","","no","",""</t>
  </si>
  <si>
    <t>2498709,"9/9/2020","9/11/2020","CABA","BELGRANO","13","masculino","96","confirmado","10/2/2020","si","","Comunitario"</t>
  </si>
  <si>
    <t>1542745,"7/27/2020","7/27/2020","Buenos Aires","CAMPANA","","masculino","64","confirmado","7/28/2020","si","","Comunitario"</t>
  </si>
  <si>
    <t>4715799,"11/24/2020","11/25/2020","CABA","PARQUE AVELLANEDA","9","masculino","84","descartado","","no","",""</t>
  </si>
  <si>
    <t>2736514,"9/19/2020","10/16/2020","CABA","PALERMO","14","masculino","69","confirmado","10/21/2020","si","","Comunitario"</t>
  </si>
  <si>
    <t>1682592,"8/4/2020","8/5/2020","CABA","VILLA CRESPO","15","femenino","92","confirmado","8/22/2020","si","","Comunitario"</t>
  </si>
  <si>
    <t>834362,"4/23/2020","4/25/2020","CABA","LINIERS","9","masculino","79","confirmado","4/28/2020","si","","Comunitario"</t>
  </si>
  <si>
    <t>1933129,"8/17/2020","8/17/2020","CABA","BALVANERA","3","femenino","99","confirmado","8/19/2020","si","","En InvestigaciÃ³n"</t>
  </si>
  <si>
    <t>3136269,"10/5/2020","10/6/2020","CABA","FLORES","7","masculino","79","confirmado","10/12/2020","si","","Comunitario"</t>
  </si>
  <si>
    <t>1922608,"8/16/2020","8/16/2020","CABA","PARQUE AVELLANEDA","9","masculino","81","confirmado","8/29/2020","si","","Comunitario"</t>
  </si>
  <si>
    <t>1880999,"8/13/2020","8/14/2020","CABA","RETIRO","1","masculino","86","confirmado","8/19/2020","si","","En InvestigaciÃ³n"</t>
  </si>
  <si>
    <t>1821244,"8/11/2020","8/11/2020","Buenos Aires","LANUS","","femenino","77","confirmado","8/21/2020","si","","En InvestigaciÃ³n"</t>
  </si>
  <si>
    <t>1196727,"6/28/2020","6/28/2020","CABA","VERSALLES","10","femenino","93","sospechoso","","no","","En InvestigaciÃ³n"</t>
  </si>
  <si>
    <t>1902463,"8/14/2020","8/15/2020","Buenos Aires","VICENTE LOPEZ","","masculino","70","confirmado","9/9/2020","si","","En InvestigaciÃ³n"</t>
  </si>
  <si>
    <t>1251964,"6/13/2020","6/14/2020","CABA","BALVANERA","3","masculino","76","descartado","","no","",""</t>
  </si>
  <si>
    <t>1935156,"8/28/2020","8/28/2020","CABA","PARQUE CHAS","15","masculino","72","confirmado","8/31/2020","si","","Comunitario"</t>
  </si>
  <si>
    <t>2423797,"9/7/2020","9/7/2020","CABA","PARQUE CHACABUCO","7","masculino","90","confirmado","9/10/2020","si","","En InvestigaciÃ³n"</t>
  </si>
  <si>
    <t>2751320,"9/18/2020","9/19/2020","CABA","BELGRANO","13","masculino","92","confirmado","10/5/2020","si","","Comunitario"</t>
  </si>
  <si>
    <t>1119577,"6/17/2020","6/19/2020","Buenos Aires","MORON","","femenino","74","confirmado","6/27/2020","si","","Comunitario"</t>
  </si>
  <si>
    <t>2472144,"9/9/2020","9/9/2020","CABA","SAN TELMO","1","masculino","62","confirmado","10/2/2020","si","","Comunitario"</t>
  </si>
  <si>
    <t>1252518,"7/4/2020","7/5/2020","CABA","PARQUE CHACABUCO","7","femenino","87","confirmado","7/5/2020","si","","Comunitario"</t>
  </si>
  <si>
    <t>2016841,"8/21/2020","8/21/2020","CABA","RETIRO","1","femenino","80","confirmado","8/24/2020","si","","Comunitario"</t>
  </si>
  <si>
    <t>1171221,"6/25/2020","6/25/2020","CABA","MONTE CASTRO","10","femenino","84","descartado","","no","",""</t>
  </si>
  <si>
    <t>4231937,"11/10/2020","11/10/2020","CABA","PALERMO","14","masculino","78","sospechoso","","no","","En InvestigaciÃ³n"</t>
  </si>
  <si>
    <t>3342348,"10/20/2020","10/23/2020","CABA","MONSERRAT","1","masculino","83","confirmado","10/27/2020","si","","Comunitario"</t>
  </si>
  <si>
    <t>1399313,"7/17/2020","7/18/2020","CABA","SAAVEDRA","12","femenino","65","confirmado","7/19/2020","si","","Comunitario"</t>
  </si>
  <si>
    <t>1914073,"8/15/2020","8/15/2020","CABA","PATERNAL","15","masculino","78","confirmado","9/4/2020","si","","Contacto"</t>
  </si>
  <si>
    <t>915743,"8/16/2020","8/16/2020","Buenos Aires","VICENTE LOPEZ","","masculino","76","confirmado","8/20/2020","si","","Comunitario"</t>
  </si>
  <si>
    <t>3393159,"10/13/2020","10/13/2020","Buenos Aires","LOMAS DE ZAMORA","","femenino","74","confirmado","10/26/2020","si","","Comunitario"</t>
  </si>
  <si>
    <t>2832206,"10/1/2020","10/1/2020","CABA","BELGRANO","13","femenino","86","confirmado","10/11/2020","si","","Comunitario"</t>
  </si>
  <si>
    <t>1228867,"7/1/2020","7/2/2020","Buenos Aires","CAMPANA","","femenino","68","confirmado","8/6/2020","si","","Comunitario"</t>
  </si>
  <si>
    <t>1200970,"6/29/2020","6/30/2020","CABA","FLORES","7","femenino","86","confirmado","7/14/2020","si","","Comunitario"</t>
  </si>
  <si>
    <t>4650712,"12/16/2020","12/17/2020","Buenos Aires","AVELLANEDA","","masculino","74","confirmado","12/21/2020","si","","Comunitario"</t>
  </si>
  <si>
    <t>1527131,"8/11/2020","8/12/2020","CABA","AGRONOMIA","15","masculino","79","confirmado","8/13/2020","si","","Comunitario"</t>
  </si>
  <si>
    <t>3499986,"10/16/2020","10/16/2020","Buenos Aires","LANUS","","masculino","82","confirmado","10/27/2020","si","","Comunitario"</t>
  </si>
  <si>
    <t>4599220,"11/18/2020","11/19/2020","CABA","CABALLITO","6","masculino","73","confirmado","12/8/2020","si","","Comunitario"</t>
  </si>
  <si>
    <t>3166698,"10/5/2020","10/5/2020","CABA","FLORES","7","masculino","52","confirmado","10/6/2020","si","","Comunitario"</t>
  </si>
  <si>
    <t>1110884,"6/18/2020","6/18/2020","CABA","RECOLETA","2","masculino","88","descartado","","no","",""</t>
  </si>
  <si>
    <t>1229862,"7/2/2020","7/3/2020","CABA","VILLA LUGANO","8","femenino","73","confirmado","7/6/2020","si","","Comunitario"</t>
  </si>
  <si>
    <t>2935010,"9/26/2020","9/26/2020","CABA","BOCA","4","masculino","75","confirmado","10/3/2020","si","","Comunitario"</t>
  </si>
  <si>
    <t>1299916,"7/8/2020","7/9/2020","CABA","COLEGIALES","13","femenino","95","confirmado","7/18/2020","si","","Comunitario"</t>
  </si>
  <si>
    <t>2167657,"8/26/2020","8/26/2020","CABA","VILLA CRESPO","15","femenino","80","confirmado","8/27/2020","si","","En InvestigaciÃ³n"</t>
  </si>
  <si>
    <t>1337973,"7/12/2020","7/13/2020","CABA","PATERNAL","15","masculino","90","confirmado","7/20/2020","si","","Comunitario"</t>
  </si>
  <si>
    <t>2542430,"9/10/2020","9/11/2020","Buenos Aires","SAN MIGUEL","","femenino","82","confirmado","9/28/2020","si","","Comunitario"</t>
  </si>
  <si>
    <t>2850283,"9/23/2020","9/24/2020","CABA","CONSTITUCION","1","femenino","46","confirmado","9/25/2020","si","","Comunitario"</t>
  </si>
  <si>
    <t>2576927,"9/13/2020","9/13/2020","CABA","MATADEROS","9","masculino","75","descartado","","no","",""</t>
  </si>
  <si>
    <t>1171405,"6/24/2020","6/25/2020","CABA","VILLA PUEYRREDON","12","femenino","97","confirmado","7/4/2020","si","","Comunitario"</t>
  </si>
  <si>
    <t>1476838,"7/22/2020","8/12/2020","CABA","FLORES","7","masculino","74","confirmado","8/10/2020","si","","Comunitario"</t>
  </si>
  <si>
    <t>1099743,"6/17/2020","6/17/2020","CABA","PATERNAL","15","femenino","100","confirmado","6/23/2020","si","","Contacto"</t>
  </si>
  <si>
    <t>1900816,"8/15/2020","8/16/2020","CABA","PALERMO","14","masculino","80","confirmado","8/28/2020","si","","Comunitario"</t>
  </si>
  <si>
    <t>1280664,"7/7/2020","7/7/2020","CABA","RECOLETA","2","masculino","60","confirmado","8/9/2020","si","","En InvestigaciÃ³n"</t>
  </si>
  <si>
    <t>1263420,"7/5/2020","7/6/2020","CABA","LINIERS","9","masculino","57","confirmado","8/3/2020","si","","Contacto"</t>
  </si>
  <si>
    <t>1100765,"6/17/2020","6/21/2020","CABA","BOEDO","5","masculino","71","confirmado","7/10/2020","si","","Comunitario"</t>
  </si>
  <si>
    <t>1587634,"7/29/2020","7/30/2020","CABA","BELGRANO","13","masculino","74","descartado","","no","",""</t>
  </si>
  <si>
    <t>4136965,"11/4/2020","11/4/2020","CABA","BOCA","4","femenino","74","confirmado","11/12/2020","si","","Comunitario"</t>
  </si>
  <si>
    <t>1185745,"6/26/2020","6/28/2020","CABA","MATADEROS","9","masculino","64","confirmado","8/2/2020","si","","En InvestigaciÃ³n"</t>
  </si>
  <si>
    <t>4536780,"11/15/2020","11/15/2020","CABA","VILLA DEVOTO","11","femenino","90","confirmado","11/28/2020","si","","Comunitario"</t>
  </si>
  <si>
    <t>1349060,"7/13/2020","7/13/2020","CABA","BELGRANO","13","femenino","86","confirmado","7/21/2020","si","","Comunitario"</t>
  </si>
  <si>
    <t>1286284,"7/7/2020","7/8/2020","CABA","VELEZ SARSFIELD","10","femenino","98","confirmado","7/11/2020","si","","Comunitario"</t>
  </si>
  <si>
    <t>2225008,"8/29/2020","8/29/2020","CABA","VILLA PUEYRREDON","12","femenino","94","descartado","","no","",""</t>
  </si>
  <si>
    <t>1814385,"8/11/2020","8/11/2020","CABA","BELGRANO","13","masculino","102","descartado","","no","",""</t>
  </si>
  <si>
    <t>1061727,"6/19/2020","6/22/2020","Buenos Aires","TIGRE","","femenino","67","confirmado","7/14/2020","si","","En InvestigaciÃ³n"</t>
  </si>
  <si>
    <t>2224785,"8/28/2020","8/29/2020","CABA","VILLA PUEYRREDON","12","femenino","89","descartado","","no","",""</t>
  </si>
  <si>
    <t>1385645,"7/29/2020","7/31/2020","CABA","BALVANERA","3","femenino","54","confirmado","8/15/2020","si","","Comunitario"</t>
  </si>
  <si>
    <t>1067999,"6/12/2020","6/12/2020","CABA","VILLA DEVOTO","11","masculino","80","confirmado","6/18/2020","si","","Comunitario"</t>
  </si>
  <si>
    <t>2482164,"9/9/2020","9/9/2020","Buenos Aires","ALMIRANTE BROWN","","femenino","92","confirmado","10/2/2020","si","","Comunitario"</t>
  </si>
  <si>
    <t>2227655,"8/30/2020","9/1/2020","CABA","CABALLITO","6","femenino","82","confirmado","9/1/2020","si","","Comunitario"</t>
  </si>
  <si>
    <t>986272,"5/28/2020","5/30/2020","CABA","BOEDO","5","femenino","84","confirmado","6/5/2020","si","","Comunitario"</t>
  </si>
  <si>
    <t>1955181,"8/18/2020","8/18/2020","CABA","VILLA LURO","10","femenino","96","confirmado","9/9/2020","si","","Comunitario"</t>
  </si>
  <si>
    <t>1233184,"7/1/2020","7/2/2020","Buenos Aires","SAN MIGUEL","","masculino","94","confirmado","7/30/2020","si","","Comunitario"</t>
  </si>
  <si>
    <t>1779519,"7/31/2020","7/31/2020","CABA","BARRACAS","4","masculino","82","confirmado","8/10/2020","si","","En InvestigaciÃ³n"</t>
  </si>
  <si>
    <t>2804365,"9/22/2020","9/23/2020","CABA","RECOLETA","2","femenino","103","confirmado","10/3/2020","si","","Comunitario"</t>
  </si>
  <si>
    <t>5323743,"12/16/2020","12/17/2020","CABA","BALVANERA","3","femenino","86","confirmado","1/2/2021","si","","Comunitario"</t>
  </si>
  <si>
    <t>1108613,"6/18/2020","6/18/2020","CABA","PALERMO","14","masculino","67","confirmado","7/12/2020","si","","Comunitario"</t>
  </si>
  <si>
    <t>901202,"5/5/2020","5/7/2020","CABA","PARQUE AVELLANEDA","9","masculino","86","confirmado","5/26/2020","si","","Comunitario"</t>
  </si>
  <si>
    <t>1034280,"6/7/2020","6/7/2020","CABA","CHACARITA","15","femenino","85","confirmado","6/24/2020","si","","Comunitario"</t>
  </si>
  <si>
    <t>2333209,"9/3/2020","9/3/2020","Buenos Aires","SAN MIGUEL","","masculino","92","confirmado","9/3/2020","si","","Contacto"</t>
  </si>
  <si>
    <t>2154067,"8/27/2020","8/27/2020","CABA","SAN CRISTOBAL","3","masculino","60","confirmado","9/19/2020","si","","Contacto"</t>
  </si>
  <si>
    <t>2231761,"9/1/2020","9/2/2020","CABA","COLEGIALES","13","masculino","89","confirmado","9/5/2020","si","","Comunitario"</t>
  </si>
  <si>
    <t>1230760,"7/1/2020","7/16/2020","CABA","LINIERS","9","masculino","57","confirmado","7/21/2020","si","","Comunitario"</t>
  </si>
  <si>
    <t>1398005,"8/22/2020","8/24/2020","Buenos Aires","HURLINGHAM","","masculino","80","confirmado","8/23/2020","si","","Contacto"</t>
  </si>
  <si>
    <t>973509,"5/27/2020","5/27/2020","Buenos Aires","VICENTE LOPEZ","","masculino","68","descartado","","no","",""</t>
  </si>
  <si>
    <t>2047362,"8/22/2020","8/22/2020","CABA","ALMAGRO","5","masculino","82","confirmado","9/3/2020","si","","Comunitario"</t>
  </si>
  <si>
    <t>3280126,"10/9/2020","5/18/2021","CABA","VILLA URQUIZA","12","femenino","82","confirmado","10/8/2020","si","","Comunitario"</t>
  </si>
  <si>
    <t>803336,"4/9/2020","4/10/2020","CABA","MATADEROS","9","femenino","62","descartado","","no","",""</t>
  </si>
  <si>
    <t>4121135,"11/4/2020","11/4/2020","CABA","LINIERS","9","masculino","92","confirmado","11/16/2020","si","","Comunitario"</t>
  </si>
  <si>
    <t>2249478,"9/1/2020","9/1/2020","Buenos Aires","TIGRE","","femenino","85","confirmado","9/11/2020","si","","Comunitario"</t>
  </si>
  <si>
    <t>4084693,"11/11/2020","11/11/2020","CABA","RECOLETA","2","femenino","85","confirmado","11/22/2020","si","","Comunitario"</t>
  </si>
  <si>
    <t>1887640,"8/22/2020","8/22/2020","CABA","VILLA SANTA RITA","11","femenino","83","confirmado","8/26/2020","si","","Contacto"</t>
  </si>
  <si>
    <t>1099447,"6/18/2020","6/19/2020","CABA","RETIRO","1","masculino","52","confirmado","6/27/2020","si","","En InvestigaciÃ³n"</t>
  </si>
  <si>
    <t>1423315,"7/19/2020","7/19/2020","Buenos Aires","MARCOS PAZ","","masculino","60","confirmado","7/22/2020","si","","Comunitario"</t>
  </si>
  <si>
    <t>5069751,"12/7/2020","12/7/2020","CABA","VILLA CRESPO","15","femenino","75","confirmado","12/30/2020","si","","En InvestigaciÃ³n"</t>
  </si>
  <si>
    <t>2231152,"8/26/2020","8/27/2020","Buenos Aires","ENSENADA","","femenino","84","confirmado","9/25/2020","si","","Comunitario"</t>
  </si>
  <si>
    <t>831338,"4/17/2020","4/18/2020","CABA","VILLA CRESPO","15","masculino","83","confirmado","4/27/2020","si","","Comunitario"</t>
  </si>
  <si>
    <t>2735511,"9/18/2020","9/19/2020","Buenos Aires","FLORENCIO VARELA","","femenino","61","confirmado","10/2/2020","si","","Comunitario"</t>
  </si>
  <si>
    <t>1211889,"6/30/2020","7/1/2020","CABA","SAN NICOLAS","1","femenino","75","confirmado","7/26/2020","si","","Comunitario"</t>
  </si>
  <si>
    <t>821109,"4/15/2020","4/19/2020","CABA","ALMAGRO","5","masculino","82","descartado","","no","",""</t>
  </si>
  <si>
    <t>864956,"5/3/2021","5/3/2021","CABA","VELEZ SARSFIELD","10","masculino","49","confirmado","5/15/2021","si","","Comunitario"</t>
  </si>
  <si>
    <t>1258455,"7/4/2020","7/4/2020","CABA","MATADEROS","9","femenino","93","confirmado","7/21/2020","si","","Comunitario"</t>
  </si>
  <si>
    <t>917726,"5/14/2020","6/29/2020","CABA","BELGRANO","13","masculino","70","confirmado","8/3/2020","si","","Comunitario"</t>
  </si>
  <si>
    <t>1943179,"8/17/2020","8/18/2020","CABA","BALVANERA","3","masculino","71","confirmado","8/27/2020","si","","En InvestigaciÃ³n"</t>
  </si>
  <si>
    <t>1940381,"8/18/2020","8/19/2020","CABA","VILLA PUEYRREDON","12","masculino","73","confirmado","8/20/2020","si","","Comunitario"</t>
  </si>
  <si>
    <t>1323107,"7/11/2020","7/11/2020","CABA","BALVANERA","3","masculino","72","descartado","","no","",""</t>
  </si>
  <si>
    <t>2010014,"8/20/2020","8/20/2020","CABA","ALMAGRO","5","masculino","90","confirmado","9/11/2020","si","","Comunitario"</t>
  </si>
  <si>
    <t>2740644,"9/16/2020","9/18/2020","CABA","SAN NICOLAS","1","masculino","88","confirmado","9/27/2020","si","","Contacto"</t>
  </si>
  <si>
    <t>2702931,"9/28/2020","9/28/2020","CABA","VILLA URQUIZA","12","femenino","50","confirmado","10/14/2020","si","","Contacto"</t>
  </si>
  <si>
    <t>1348412,"8/4/2020","8/5/2020","CABA","PARQUE AVELLANEDA","9","femenino","94","confirmado","8/15/2020","si","","Comunitario"</t>
  </si>
  <si>
    <t>1467668,"7/19/2020","7/20/2020","CABA","RECOLETA","2","masculino","101","confirmado","7/29/2020","si","","Comunitario"</t>
  </si>
  <si>
    <t>1238397,"7/2/2020","7/3/2020","Buenos Aires","CAMPANA","","masculino","50","confirmado","7/22/2020","si","","Contacto"</t>
  </si>
  <si>
    <t>1736040,"8/7/2020","8/9/2020","Buenos Aires","TRES DE FEBRERO","","femenino","42","confirmado","9/2/2020","si","","Contacto"</t>
  </si>
  <si>
    <t>1104139,"6/18/2020","6/18/2020","CABA","COLEGIALES","13","masculino","94","confirmado","7/1/2020","si","","Contacto"</t>
  </si>
  <si>
    <t>2884036,"9/24/2020","10/13/2020","Buenos Aires","VICENTE LOPEZ","","masculino","76","confirmado","10/25/2020","si","","Comunitario"</t>
  </si>
  <si>
    <t>4796097,"11/28/2020","11/28/2020","CABA","ALMAGRO","5","femenino","78","confirmado","12/27/2020","si","","Comunitario"</t>
  </si>
  <si>
    <t>1774272,"8/9/2020","8/9/2020","CABA","NUEVA POMPEYA","4","femenino","93","descartado","","no","",""</t>
  </si>
  <si>
    <t>3699491,"10/23/2020","10/25/2020","CABA","VILLA URQUIZA","12","femenino","90","confirmado","11/22/2020","si","","Comunitario"</t>
  </si>
  <si>
    <t>2145828,"9/9/2020","9/9/2020","CABA","SAAVEDRA","12","masculino","57","confirmado","9/15/2020","si","","Comunitario"</t>
  </si>
  <si>
    <t>1156273,"6/23/2020","7/15/2020","CABA","PALERMO","14","masculino","78","confirmado","8/26/2020","si","","Comunitario"</t>
  </si>
  <si>
    <t>1192434,"6/28/2020","6/28/2020","CABA","PALERMO","14","femenino","77","confirmado","6/29/2020","si","","En InvestigaciÃ³n"</t>
  </si>
  <si>
    <t>1349609,"7/13/2020","7/15/2020","CABA","AGRONOMIA","15","femenino","84","descartado","","no","",""</t>
  </si>
  <si>
    <t>1509687,"7/25/2020","7/25/2020","CABA","PALERMO","14","femenino","54","confirmado","8/5/2020","si","","Trabajador de la Salud"</t>
  </si>
  <si>
    <t>1098273,"6/15/2020","6/17/2020","Buenos Aires","HURLINGHAM","","masculino","64","descartado","","no","",""</t>
  </si>
  <si>
    <t>1158428,"6/24/2020","6/26/2020","CABA","VILLA URQUIZA","12","femenino","69","confirmado","7/7/2020","si","","Comunitario"</t>
  </si>
  <si>
    <t>1478692,"7/23/2020","7/23/2020","CABA","VELEZ SARSFIELD","10","femenino","91","confirmado","7/28/2020","si","","Comunitario"</t>
  </si>
  <si>
    <t>2113972,"8/28/2020","8/29/2020","CABA","PALERMO","14","masculino","54","confirmado","9/13/2020","si","","Comunitario"</t>
  </si>
  <si>
    <t>2928467,"9/24/2020","9/25/2020","CABA","VILLA LUGANO","8","masculino","92","confirmado","9/24/2020","si","","Comunitario"</t>
  </si>
  <si>
    <t>1264012,"4/17/2021","4/20/2021","Buenos Aires","ENSENADA","","masculino","58","confirmado","4/25/2021","si","","En InvestigaciÃ³n"</t>
  </si>
  <si>
    <t>3213081,"10/7/2020","10/8/2020","CABA","VILLA LUGANO","8","femenino","85","confirmado","10/9/2020","si","","Comunitario"</t>
  </si>
  <si>
    <t>1080515,"6/18/2020","6/18/2020","CABA","VILLA SANTA RITA","11","masculino","73","descartado","","si","",""</t>
  </si>
  <si>
    <t>1949832,"8/17/2020","8/19/2020","CABA","SAN NICOLAS","1","masculino","78","confirmado","8/26/2020","si","","Comunitario"</t>
  </si>
  <si>
    <t>2765934,"9/2/2020","9/3/2020","La Rioja","LA RIOJA","","masculino","77","confirmado","9/25/2020","si","","Comunitario"</t>
  </si>
  <si>
    <t>2292770,"9/1/2020","9/2/2020","CABA","BALVANERA","3","masculino","80","confirmado","9/11/2020","si","","Comunitario"</t>
  </si>
  <si>
    <t>5711744,"12/28/2020","12/28/2020","CABA","ALMAGRO","5","masculino","35","descartado","","no","",""</t>
  </si>
  <si>
    <t>1314036,"6/18/2020","6/18/2020","CABA","ALMAGRO","5","masculino","35","descartado","","no","",""</t>
  </si>
  <si>
    <t>4836447,"11/30/2020","11/30/2020","Buenos Aires","VICENTE LOPEZ","","masculino","60","descartado","","no","",""</t>
  </si>
  <si>
    <t>2404669,"9/7/2020","9/7/2020","Buenos Aires","LOMAS DE ZAMORA","","masculino","58","descartado","","no","",""</t>
  </si>
  <si>
    <t>2076116,"8/22/2020","8/22/2020","Buenos Aires","CAMPANA","","femenino","28","descartado","","no","",""</t>
  </si>
  <si>
    <t>1987944,"10/8/2020","10/9/2020","Buenos Aires","LANUS","","femenino","64","confirmado","4/26/2020","no","","Comunitario"</t>
  </si>
  <si>
    <t>1561780,"7/28/2020","7/29/2020","CABA","ALMAGRO","5","femenino","71","confirmado","5/21/2020","no","8/7/2020","Comunitario"</t>
  </si>
  <si>
    <t>5034807,"12/6/2020","12/9/2020","CABA","ALMAGRO","5","masculino","77","confirmado","1/24/2021","no","","Comunitario"</t>
  </si>
  <si>
    <t>2203444,"8/12/2020","8/13/2020","Buenos Aires","LUJAN","","femenino","22","descartado","","no","",""</t>
  </si>
  <si>
    <t>4464707,"11/13/2020","11/13/2020","Buenos Aires","MALVINAS ARGENTINAS","","masculino","35","descartado","","no","",""</t>
  </si>
  <si>
    <t>2176538,"8/27/2020","8/28/2020","CABA","VILLA LUGANO","8","masculino","55","confirmado","7/18/2020","no","9/10/2020","En InvestigaciÃ³n"</t>
  </si>
  <si>
    <t>1398843,"7/14/2020","7/15/2020","Buenos Aires","ALMIRANTE BROWN","","masculino","36","confirmado","10/15/2020","no","","Comunitario"</t>
  </si>
  <si>
    <t>4108293,"11/3/2020","11/4/2020","CABA","VILLA LUGANO","8","femenino","26","descartado","","no","",""</t>
  </si>
  <si>
    <t>1678692,"8/4/2020","8/5/2020","CABA","PALERMO","14","femenino","50","confirmado","5/1/2020","no","","Comunitario"</t>
  </si>
  <si>
    <t>4585743,"11/20/2020","11/20/2020","Buenos Aires","QUILMES","","femenino","26","descartado","","no","",""</t>
  </si>
  <si>
    <t>5736109,"12/24/2020","12/24/2020","Buenos Aires","SAN MIGUEL","","femenino","48","confirmado","","no","","Comunitario"</t>
  </si>
  <si>
    <t>4108726,"11/5/2020","11/6/2020","CABA","PALERMO","14","femenino","79","descartado","","no","",""</t>
  </si>
  <si>
    <t>5794614,"12/31/2020","12/31/2020","Buenos Aires","QUILMES","","masculino","30","descartado","","no","",""</t>
  </si>
  <si>
    <t>5577531,"12/23/2020","12/23/2020","CABA","BOEDO","5","femenino","27","descartado","","no","",""</t>
  </si>
  <si>
    <t>1131528,"6/13/2020","6/14/2020","CABA","VILLA URQUIZA","12","masculino","54","confirmado","9/18/2020","no","","Comunitario"</t>
  </si>
  <si>
    <t>1430432,"7/20/2020","7/20/2020","CABA","CABALLITO","6","femenino","21","descartado","","no","",""</t>
  </si>
  <si>
    <t>3478630,"10/15/2020","10/16/2020","Buenos Aires","SAN MIGUEL","","masculino","18","descartado","","no","",""</t>
  </si>
  <si>
    <t>2672465,"9/15/2020","9/17/2020","CABA","BOEDO","5","femenino","15","descartado","","no","",""</t>
  </si>
  <si>
    <t>5196138,"12/9/2020","12/13/2020","CABA","CABALLITO","6","masculino","66","descartado","","no","",""</t>
  </si>
  <si>
    <t>5496472,"12/22/2020","12/22/2020","CABA","PALERMO","14","masculino","40","descartado","","no","",""</t>
  </si>
  <si>
    <t>1396935,"7/16/2020","7/17/2020","CABA","PALERMO","14","masculino","83","descartado","","no","",""</t>
  </si>
  <si>
    <t>4840485,"11/30/2020","11/30/2020","CABA","CABALLITO","6","femenino","89","descartado","","no","",""</t>
  </si>
  <si>
    <t>2788661,"9/22/2020","9/22/2020","Buenos Aires","ENSENADA","","femenino","35","sospechoso","","no","","En InvestigaciÃ³n"</t>
  </si>
  <si>
    <t>3196061,"10/6/2020","10/6/2020","Buenos Aires","ESTEBAN ECHEVERRIA","","masculino","39","descartado","","no","",""</t>
  </si>
  <si>
    <t>2030021,"8/21/2020","8/21/2020","CABA","BARRACAS","4","masculino","45","descartado","","no","",""</t>
  </si>
  <si>
    <t>1838686,"8/12/2020","8/19/2020","CABA","COLEGIALES","13","femenino","92","confirmado","7/25/2020","no","","Comunitario"</t>
  </si>
  <si>
    <t>4072645,"11/2/2020","11/3/2020","CABA","PUERTO MADERO","1","masculino","56","confirmado","","no","","Comunitario"</t>
  </si>
  <si>
    <t>796935,"4/6/2020","4/9/2020","Buenos Aires","VICENTE LOPEZ","","femenino","81","descartado","","no","",""</t>
  </si>
  <si>
    <t>1571576,"7/28/2020","7/29/2020","CABA","RECOLETA","2","masculino","37","confirmado","5/28/2020","no","","Comunitario"</t>
  </si>
  <si>
    <t>4676913,"11/22/2020","11/22/2020","Buenos Aires","MALVINAS ARGENTINAS","","femenino","31","confirmado","","no","","Comunitario"</t>
  </si>
  <si>
    <t>5612999,"12/26/2020","12/26/2020","CABA","SAN NICOLAS","1","masculino","25","confirmado","7/9/2020","no","","Comunitario"</t>
  </si>
  <si>
    <t>3519588,"10/17/2020","10/19/2020","CABA","FLORESTA","10","femenino","23","confirmado","","no","","Comunitario"</t>
  </si>
  <si>
    <t>1949909,"8/12/2020","8/12/2020","Buenos Aires","TIGRE","","masculino","42","confirmado","","no","","Comunitario"</t>
  </si>
  <si>
    <t>2184262,"8/25/2020","8/26/2020","Buenos Aires","LANUS","","femenino","40","confirmado","9/17/2020","no","","Comunitario"</t>
  </si>
  <si>
    <t>2077889,"8/7/2020","8/7/2020","CABA","FLORES","7","femenino","47","descartado","","no","",""</t>
  </si>
  <si>
    <t>4819761,"11/28/2020","11/28/2020","Buenos Aires","LA PLATA","","masculino","42","descartado","","no","",""</t>
  </si>
  <si>
    <t>5155331,"12/10/2020","12/10/2020","Buenos Aires","LUJAN","","femenino","68","descartado","","no","",""</t>
  </si>
  <si>
    <t>3873754,"10/27/2020","10/28/2020","Misiones","POSADAS","","femenino","23","descartado","","no","",""</t>
  </si>
  <si>
    <t>1718573,"8/6/2020","8/7/2020","CABA","SAN MIGUEL","1","masculino","25","confirmado","4/6/2020","no","","Comunitario"</t>
  </si>
  <si>
    <t>1801666,"8/10/2020","8/10/2020","CABA","BARRACAS","4","femenino","76","confirmado","","no","","Comunitario"</t>
  </si>
  <si>
    <t>1596120,"7/25/2020","7/30/2020","Buenos Aires","VICENTE LOPEZ","","femenino","36","descartado","","no","",""</t>
  </si>
  <si>
    <t>1550346,"7/27/2020","7/28/2020","Buenos Aires","SAN MIGUEL","","masculino","37","descartado","","no","",""</t>
  </si>
  <si>
    <t>3844360,"10/26/2020","10/27/2020","Buenos Aires","VICENTE LOPEZ","","femenino","74","descartado","","no","",""</t>
  </si>
  <si>
    <t>1366985,"7/14/2020","7/15/2020","Buenos Aires","LANUS","","masculino","49","confirmado","","no","","Contacto"</t>
  </si>
  <si>
    <t>1083872,"6/15/2020","6/17/2020","CABA","PARQUE CHACABUCO","7","masculino","36","confirmado","","no","6/22/2020","Comunitario"</t>
  </si>
  <si>
    <t>2237721,"8/30/2020","8/31/2020","CABA","MONTE CASTRO","10","femenino","56","confirmado","4/4/2020","no","","Comunitario"</t>
  </si>
  <si>
    <t>3998376,"11/2/2020","11/2/2020","Buenos Aires","SAN MIGUEL","","masculino","56","descartado","","no","",""</t>
  </si>
  <si>
    <t>1831493,"8/12/2020","8/12/2020","Buenos Aires","LANUS","","masculino","46","descartado","","no","",""</t>
  </si>
  <si>
    <t>1583055,"7/29/2020","7/30/2020","Buenos Aires","CAMPANA","","femenino","41","descartado","","no","",""</t>
  </si>
  <si>
    <t>1455308,"7/20/2020","7/21/2020","CABA","PALERMO","14","femenino","68","confirmado","","no","","Comunitario"</t>
  </si>
  <si>
    <t>2991128,"9/29/2020","9/29/2020","CABA","LINIERS","9","femenino","34","descartado","","no","",""</t>
  </si>
  <si>
    <t>5112313,"12/10/2020","12/10/2020","Buenos Aires","AVELLANEDA","","masculino","49","confirmado","","no","","Comunitario"</t>
  </si>
  <si>
    <t>1456790,"7/21/2020","7/22/2020","CABA","SAAVEDRA","12","masculino","63","descartado","","no","",""</t>
  </si>
  <si>
    <t>907542,"5/11/2020","6/18/2020","Buenos Aires","ALMIRANTE BROWN","","femenino","34","descartado","","no","",""</t>
  </si>
  <si>
    <t>3903286,"10/28/2020","10/29/2020","Jujuy","TILCARA","","masculino","46","descartado","","no","",""</t>
  </si>
  <si>
    <t>1679896,"8/3/2020","8/3/2020","Buenos Aires","FLORENCIO VARELA","","masculino","12","confirmado","7/22/2020","no","","Contacto"</t>
  </si>
  <si>
    <t>1649432,"8/3/2020","8/3/2020","Buenos Aires","ITUZAINGO","","femenino","49","confirmado","","no","","Trabajador de la Salud"</t>
  </si>
  <si>
    <t>4816178,"11/27/2020","11/28/2020","CABA","RECOLETA","2","masculino","66","descartado","","no","",""</t>
  </si>
  <si>
    <t>1745576,"8/5/2020","8/9/2020","Buenos Aires","TRES DE FEBRERO","","masculino","34","confirmado","","no","","Comunitario"</t>
  </si>
  <si>
    <t>3205514,"10/4/2020","10/5/2020","Buenos Aires","VICENTE LOPEZ","","masculino","39","confirmado","8/7/2020","no","","Comunitario"</t>
  </si>
  <si>
    <t>1511458,"7/24/2020","7/24/2020","Buenos Aires","LOMAS DE ZAMORA","","femenino","12","descartado","","no","",""</t>
  </si>
  <si>
    <t>4853106,"12/1/2020","12/1/2020","CABA","ALMAGRO","5","femenino","37","confirmado","","no","","Comunitario"</t>
  </si>
  <si>
    <t>1907041,"8/15/2020","8/15/2020","Buenos Aires","VICENTE LOPEZ","","masculino","66","confirmado","","no","8/25/2020","Comunitario"</t>
  </si>
  <si>
    <t>2853867,"9/23/2020","9/24/2020","Buenos Aires","LOMAS DE ZAMORA","","femenino","36","descartado","","no","",""</t>
  </si>
  <si>
    <t>877571,"5/2/2020","5/2/2020","Buenos Aires","LANUS","","femenino","101","descartado","","no","",""</t>
  </si>
  <si>
    <t>2182447,"8/28/2020","8/28/2020","Buenos Aires","MORON","","masculino","60","confirmado","","no","","Comunitario"</t>
  </si>
  <si>
    <t>2041024,"8/22/2020","8/22/2020","CABA","NUEVA POMPEYA","4","masculino","55","confirmado","","no","","Comunitario"</t>
  </si>
  <si>
    <t>5605465,"12/25/2020","12/25/2020","CABA","SAN TELMO","1","femenino","83","descartado","","no","",""</t>
  </si>
  <si>
    <t>2604022,"9/14/2020","9/15/2020","CABA","COGHLAN","12","femenino","43","confirmado","","no","","Comunitario"</t>
  </si>
  <si>
    <t>5413193,"7/13/2020","7/13/2020","CABA","BELGRANO","13","femenino","27","descartado","","no","",""</t>
  </si>
  <si>
    <t>5652868,"12/28/2020","12/29/2020","Buenos Aires","LANUS","","masculino","62","descartado","","no","",""</t>
  </si>
  <si>
    <t>5688299,"12/28/2020","12/28/2020","Buenos Aires","LOMAS DE ZAMORA","","masculino","40","descartado","","no","",""</t>
  </si>
  <si>
    <t>3741517,"10/21/2020","10/22/2020","Buenos Aires","LA PLATA","","femenino","60","descartado","","no","",""</t>
  </si>
  <si>
    <t>1949652,"8/20/2020","8/21/2020","Buenos Aires","LUJAN","","masculino","28","descartado","","no","",""</t>
  </si>
  <si>
    <t>5435589,"12/18/2020","12/20/2020","Buenos Aires","MALVINAS ARGENTINAS","","femenino","52","descartado","","no","",""</t>
  </si>
  <si>
    <t>4169419,"11/6/2020","11/7/2020","CABA","SAN MIGUEL","9","femenino","32","confirmado","6/29/2020","no","","Comunitario"</t>
  </si>
  <si>
    <t>2598988,"9/13/2020","11/24/2020","Buenos Aires","TIGRE","","masculino","92","confirmado","","no","9/28/2020","Comunitario"</t>
  </si>
  <si>
    <t>3133013,"10/4/2020","10/4/2020","CABA","SAAVEDRA","12","femenino","87","descartado","","no","",""</t>
  </si>
  <si>
    <t>5508344,"12/22/2020","12/22/2020","CABA","CABALLITO","6","femenino","53","descartado","","no","",""</t>
  </si>
  <si>
    <t>5149828,"12/11/2020","12/11/2020","Buenos Aires","QUILMES","","masculino","27","descartado","","no","",""</t>
  </si>
  <si>
    <t>3568688,"10/19/2020","10/19/2020","Buenos Aires","MORENO","","masculino","57","sospechoso","","no","","En InvestigaciÃ³n"</t>
  </si>
  <si>
    <t>4597814,"11/19/2020","11/20/2020","Chubut","COMODORO RIVADAVIA","","femenino","60","descartado","","no","",""</t>
  </si>
  <si>
    <t>4596329,"11/16/2020","11/16/2020","Buenos Aires","ENSENADA","","femenino","28","descartado","","no","",""</t>
  </si>
  <si>
    <t>889416,"8/18/2020","8/18/2020","Buenos Aires","ESTEBAN ECHEVERRIA","","femenino","35","confirmado","","no","","Comunitario"</t>
  </si>
  <si>
    <t>1690919,"8/7/2020","8/8/2020","Buenos Aires","FLORENCIO VARELA","","femenino","26","confirmado","","no","","Comunitario"</t>
  </si>
  <si>
    <t>1847734,"8/29/2020","8/29/2020","CABA","VILLA LUGANO","8","masculino","71","confirmado","","no","","En InvestigaciÃ³n"</t>
  </si>
  <si>
    <t>1664705,"6/18/2020","6/18/2020","CABA","CONSTITUCION","1","masculino","13","descartado","","no","",""</t>
  </si>
  <si>
    <t>3507513,"10/5/2020","10/5/2020","Buenos Aires","AVELLANEDA","","masculino","47","descartado","","no","",""</t>
  </si>
  <si>
    <t>2225298,"9/5/2020","9/6/2020","CABA","RECOLETA","2","masculino","60","confirmado","","no","","Comunitario"</t>
  </si>
  <si>
    <t>1422222,"7/19/2020","7/21/2020","CABA","BALVANERA","3","masculino","44","confirmado","","no","","Comunitario"</t>
  </si>
  <si>
    <t>2346711,"9/3/2020","9/5/2020","Buenos Aires","QUILMES","","femenino","47","confirmado","","no","","Comunitario"</t>
  </si>
  <si>
    <t>3857489,"5/17/2020","5/17/2020","Corrientes","MERCEDES","","femenino","25","descartado","","no","",""</t>
  </si>
  <si>
    <t>2228679,"8/30/2020","8/30/2020","CABA","BARRACAS","4","masculino","52","descartado","","no","",""</t>
  </si>
  <si>
    <t>2046232,"8/22/2020","8/24/2020","Buenos Aires","FLORENCIO VARELA","","masculino","42","confirmado","","no","","Comunitario"</t>
  </si>
  <si>
    <t>2186228,"8/28/2020","8/29/2020","Buenos Aires","ALMIRANTE BROWN","","masculino","59","confirmado","","no","","Comunitario"</t>
  </si>
  <si>
    <t>2996932,"9/28/2020","9/29/2020","Buenos Aires","TIGRE","","masculino","58","descartado","","no","",""</t>
  </si>
  <si>
    <t>2533206,"7/28/2020","7/28/2020","Buenos Aires","VICENTE LOPEZ","","masculino","54","descartado","","no","",""</t>
  </si>
  <si>
    <t>995449,"5/29/2020","5/31/2020","CABA","PARQUE CHACABUCO","7","femenino","47","confirmado","","no","6/12/2020","Comunitario"</t>
  </si>
  <si>
    <t>3940539,"10/29/2020","10/30/2020","CABA","CONSTITUCION","1","masculino","8","descartado","","no","",""</t>
  </si>
  <si>
    <t>5003389,"12/4/2020","12/4/2020","CABA","MATADEROS","9","femenino","78","descartado","","no","",""</t>
  </si>
  <si>
    <t>3054547,"10/1/2020","10/1/2020","Buenos Aires","MORON","","femenino","33","confirmado","","no","","Comunitario"</t>
  </si>
  <si>
    <t>5245412,"12/14/2020","12/14/2020","CÃ³rdoba","VILLA CARLOS PAZ","","femenino","61","descartado","","no","",""</t>
  </si>
  <si>
    <t>3214363,"10/5/2020","10/6/2020","Buenos Aires","FLORENCIO VARELA","","femenino","56","descartado","","no","",""</t>
  </si>
  <si>
    <t>2025960,"8/21/2020","8/22/2020","CABA","PALERMO","14","masculino","44","confirmado","","no","","Comunitario"</t>
  </si>
  <si>
    <t>5472897,"12/21/2020","12/21/2020","Buenos Aires","SAN VICENTE","","femenino","27","descartado","","no","",""</t>
  </si>
  <si>
    <t>5542492,"12/23/2020","12/23/2020","CÃ³rdoba","CORDOBA","","masculino","46","descartado","","no","",""</t>
  </si>
  <si>
    <t>2889413,"9/22/2020","9/23/2020","CABA","CABALLITO","6","masculino","52","confirmado","","no","","Comunitario"</t>
  </si>
  <si>
    <t>2344085,"8/31/2020","9/1/2020","CABA","PARQUE CHAS","15","masculino","23","confirmado","","no","","Comunitario"</t>
  </si>
  <si>
    <t>1123716,"6/19/2020","6/22/2020","CABA","BARRACAS","4","femenino","23","confirmado","","no","6/27/2020","Contacto"</t>
  </si>
  <si>
    <t>2484621,"9/9/2020","9/9/2020","CABA","PARQUE AVELLANEDA","9","femenino","17","confirmado","","no","9/15/2020","Comunitario"</t>
  </si>
  <si>
    <t>3206936,"10/5/2020","10/30/2020","CABA","CABALLITO","6","femenino","84","confirmado","","no","","Comunitario"</t>
  </si>
  <si>
    <t>4998877,"12/2/2020","12/2/2020","Buenos Aires","QUILMES","","masculino","18","descartado","","no","",""</t>
  </si>
  <si>
    <t>2175523,"8/27/2020","8/27/2020","Buenos Aires","TIGRE","","masculino","71","confirmado","","no","","Comunitario"</t>
  </si>
  <si>
    <t>4797975,"11/26/2020","11/27/2020","CABA","RECOLETA","2","masculino","18","confirmado","","no","","Comunitario"</t>
  </si>
  <si>
    <t>5803251,"12/31/2020","12/31/2020","CABA","VILLA CRESPO","15","femenino","63","sospechoso","","no","","En InvestigaciÃ³n"</t>
  </si>
  <si>
    <t>3629923,"10/19/2020","10/20/2020","Buenos Aires","LANUS","","femenino","29","confirmado","","no","","Comunitario"</t>
  </si>
  <si>
    <t>1870622,"8/13/2020","8/14/2020","CABA","RECOLETA","2","masculino","82","descartado","","no","",""</t>
  </si>
  <si>
    <t>2189424,"8/27/2020","8/28/2020","CABA","VILLA CRESPO","15","femenino","54","confirmado","","no","","Comunitario"</t>
  </si>
  <si>
    <t>814320,"4/13/2020","4/14/2020","Buenos Aires","LUJAN","","masculino","4","descartado","","no","",""</t>
  </si>
  <si>
    <t>2568370,"9/12/2020","9/12/2020","Buenos Aires","MALVINAS ARGENTINAS","","masculino","53","sospechoso","","no","","En InvestigaciÃ³n"</t>
  </si>
  <si>
    <t>4852860,"12/1/2020","12/1/2020","CABA","BELGRANO","13","femenino","39","sospechoso","","no","","En InvestigaciÃ³n"</t>
  </si>
  <si>
    <t>2194305,"8/27/2020","8/27/2020","Buenos Aires","TIGRE","","masculino","58","confirmado","","no","","Comunitario"</t>
  </si>
  <si>
    <t>3152003,"10/5/2020","10/6/2020","CABA","NUÃ‘EZ","13","femenino","63","descartado","","no","",""</t>
  </si>
  <si>
    <t>5345227,"12/16/2020","12/16/2020","CABA","MONSERRAT","1","masculino","36","descartado","","no","",""</t>
  </si>
  <si>
    <t>5551065,"12/23/2020","12/23/2020","CABA","PARQUE CHACABUCO","7","femenino","69","descartado","","no","",""</t>
  </si>
  <si>
    <t>2203524,"8/29/2020","8/30/2020","Buenos Aires","TRES DE FEBRERO","","masculino","25","confirmado","","no","","Comunitario"</t>
  </si>
  <si>
    <t>1396157,"7/16/2020","7/16/2020","Buenos Aires","ENSENADA","","femenino","43","descartado","","no","",""</t>
  </si>
  <si>
    <t>2262000,"8/29/2020","8/30/2020","Buenos Aires","ALMIRANTE BROWN","","masculino","26","confirmado","","no","","Comunitario"</t>
  </si>
  <si>
    <t>5308551,"12/10/2020","12/10/2020","CABA","RETIRO","1","femenino","49","confirmado","","no","","Comunitario"</t>
  </si>
  <si>
    <t>956453,"5/21/2020","5/21/2020","Buenos Aires","SAN MIGUEL","","femenino","50","descartado","","no","",""</t>
  </si>
  <si>
    <t>4785592,"11/27/2020","11/28/2020","CABA","RETIRO","1","masculino","27","descartado","","no","",""</t>
  </si>
  <si>
    <t>3932198,"10/27/2020","10/27/2020","Buenos Aires","ZARATE","","femenino","77","descartado","","no","",""</t>
  </si>
  <si>
    <t>1980236,"8/18/2020","8/18/2020","CABA","FLORESTA","10","femenino","58","confirmado","","no","","Comunitario"</t>
  </si>
  <si>
    <t>3326465,"10/10/2020","10/10/2020","Buenos Aires","FLORENCIO VARELA","","femenino","31","descartado","","no","",""</t>
  </si>
  <si>
    <t>3171657,"10/4/2020","10/6/2020","Buenos Aires","AVELLANEDA","","femenino","53","descartado","","no","",""</t>
  </si>
  <si>
    <t>3275184,"10/8/2020","3/1/2021","Buenos Aires","FLORENCIO VARELA","","masculino","25","confirmado","10/19/2020","no","","Contacto"</t>
  </si>
  <si>
    <t>5552376,"12/20/2020","12/20/2020","Buenos Aires","SAN MIGUEL","","femenino","3","descartado","","no","",""</t>
  </si>
  <si>
    <t>4164278,"11/7/2020","11/7/2020","Buenos Aires","TRES DE FEBRERO","","femenino","43","sospechoso","","no","","En InvestigaciÃ³n"</t>
  </si>
  <si>
    <t>4213753,"11/8/2020","11/8/2020","CABA","CABALLITO","6","masculino","30","confirmado","","no","","Comunitario"</t>
  </si>
  <si>
    <t>4932482,"11/30/2020","12/1/2020","CABA","ALMAGRO","5","masculino","27","descartado","","no","",""</t>
  </si>
  <si>
    <t>4790464,"11/28/2020","11/28/2020","Buenos Aires","FLORENCIO VARELA","","masculino","29","sospechoso","","no","","En InvestigaciÃ³n"</t>
  </si>
  <si>
    <t>5668161,"12/28/2020","12/28/2020","CABA","VILLA URQUIZA","12","femenino","43","descartado","","no","",""</t>
  </si>
  <si>
    <t>5786150,"12/30/2020","12/30/2020","Mendoza","SAN RAFAEL","","masculino","45","descartado","","no","",""</t>
  </si>
  <si>
    <t>937586,"5/19/2020","5/19/2020","Buenos Aires","BERISSO","","masculino","37","descartado","","no","",""</t>
  </si>
  <si>
    <t>4725670,"11/25/2020","11/25/2020","CABA","BALVANERA","3","femenino","29","descartado","","no","",""</t>
  </si>
  <si>
    <t>855372,"4/24/2020","4/25/2020","CABA","COLEGIALES","13","femenino","89","descartado","","no","",""</t>
  </si>
  <si>
    <t>3837745,"10/26/2020","10/27/2020","Misiones","POSADAS","","femenino","43","descartado","","no","",""</t>
  </si>
  <si>
    <t>3441558,"10/14/2020","10/14/2020","Buenos Aires","ALMIRANTE BROWN","","femenino","49","confirmado","","no","","Comunitario"</t>
  </si>
  <si>
    <t>3902225,"10/27/2020","10/28/2020","CABA","RETIRO","1","femenino","10","confirmado","","no","","Comunitario"</t>
  </si>
  <si>
    <t>1222327,"7/1/2020","7/1/2020","Buenos Aires","SAN ISIDRO","","masculino","2","descartado","","no","",""</t>
  </si>
  <si>
    <t>1079426,"6/14/2020","6/14/2020","CABA","MONSERRAT","1","masculino","39","confirmado","","no","","Comunitario"</t>
  </si>
  <si>
    <t>2157655,"8/27/2020","8/27/2020","CABA","ALMAGRO","5","masculino","26","descartado","","no","",""</t>
  </si>
  <si>
    <t>1111859,"6/18/2020","7/18/2020","Buenos Aires","ENSENADA","","femenino","39","confirmado","8/22/2020","no","","Contacto"</t>
  </si>
  <si>
    <t>4426885,"11/16/2020","11/17/2020","Buenos Aires","ESTEBAN ECHEVERRIA","","masculino","64","descartado","","no","",""</t>
  </si>
  <si>
    <t>3114577,"10/4/2020","10/4/2020","CABA","PALERMO","14","masculino","93","descartado","","no","",""</t>
  </si>
  <si>
    <t>2564382,"9/12/2020","9/12/2020","CABA","SAAVEDRA","12","femenino","24","confirmado","","no","9/22/2020","En InvestigaciÃ³n"</t>
  </si>
  <si>
    <t>5575960,"12/24/2020","12/24/2020","Buenos Aires","HURLINGHAM","","femenino","40","descartado","","no","",""</t>
  </si>
  <si>
    <t>4427267,"11/14/2020","11/14/2020","Buenos Aires","TIGRE","","femenino","25","confirmado","","no","","Comunitario"</t>
  </si>
  <si>
    <t>4739510,"11/25/2020","11/26/2020","CABA","FLORES","7","femenino","24","descartado","","no","",""</t>
  </si>
  <si>
    <t>3378312,"10/13/2020","10/14/2020","CABA","PATERNAL","15","femenino","26","confirmado","","no","","Comunitario"</t>
  </si>
  <si>
    <t>1315857,"7/11/2020","7/11/2020","Buenos Aires","LANUS","","masculino","10","descartado","","no","",""</t>
  </si>
  <si>
    <t>4831605,"11/28/2020","11/29/2020","CABA","BALVANERA","3","femenino","66","descartado","","no","",""</t>
  </si>
  <si>
    <t>3963072,"10/31/2020","11/1/2020","Buenos Aires","LA PLATA","","masculino","38","confirmado","","no","","Comunitario"</t>
  </si>
  <si>
    <t>1545809,"7/25/2020","7/27/2020","Buenos Aires","LUJAN","","masculino","5","descartado","","no","",""</t>
  </si>
  <si>
    <t>1563814,"7/25/2020","7/26/2020","Buenos Aires","MALVINAS ARGENTINAS","","masculino","19","confirmado","","no","","Comunitario"</t>
  </si>
  <si>
    <t>1423961,"7/19/2020","7/19/2020","Buenos Aires","SAN MIGUEL","","femenino","42","descartado","","no","",""</t>
  </si>
  <si>
    <t>1454338,"7/21/2020","7/21/2020","CABA","BARRACAS","4","masculino","60","descartado","","no","",""</t>
  </si>
  <si>
    <t>5326844,"12/15/2020","12/15/2020","CABA","CABALLITO","6","femenino","16","descartado","","no","",""</t>
  </si>
  <si>
    <t>4632225,"10/20/2020","10/20/2020","San Luis","SAN LUIS","","femenino","37","confirmado","","no","","Comunitario"</t>
  </si>
  <si>
    <t>3513133,"10/17/2020","10/17/2020","CABA","BELGRANO","13","femenino","34","confirmado","","no","","Comunitario"</t>
  </si>
  <si>
    <t>2724758,"9/18/2020","9/18/2020","Buenos Aires","SAN MIGUEL","","femenino","10","confirmado","8/5/2020","no","","Comunitario"</t>
  </si>
  <si>
    <t>929040,"5/12/2020","5/13/2020","Buenos Aires","TRES DE FEBRERO","","masculino","48","descartado","","no","",""</t>
  </si>
  <si>
    <t>5171085,"12/12/2020","12/12/2020","CABA","ALMAGRO","5","masculino","37","sospechoso","","no","","En InvestigaciÃ³n"</t>
  </si>
  <si>
    <t>2948541,"9/26/2020","9/27/2020","Buenos Aires","MALVINAS ARGENTINAS","","masculino","28","confirmado","","no","","Comunitario"</t>
  </si>
  <si>
    <t>1159108,"6/24/2020","6/25/2020","Buenos Aires","ALMIRANTE BROWN","","femenino","33","confirmado","","no","","Trabajador de la Salud"</t>
  </si>
  <si>
    <t>1423666,"7/13/2020","7/13/2020","Buenos Aires","SAN MIGUEL","","femenino","34","descartado","","no","",""</t>
  </si>
  <si>
    <t>1522458,"7/25/2020","7/26/2020","CABA","BOCA","4","femenino","33","confirmado","","no","8/5/2020","En InvestigaciÃ³n"</t>
  </si>
  <si>
    <t>3391812,"10/12/2020","10/12/2020","CABA","LINIERS","9","femenino","65","descartado","","no","",""</t>
  </si>
  <si>
    <t>3930396,"10/30/2020","10/30/2020","Buenos Aires","TRES DE FEBRERO","","masculino","15","descartado","","no","",""</t>
  </si>
  <si>
    <t>3764949,"10/25/2020","10/26/2020","Buenos Aires","SAN MIGUEL","","femenino","26","confirmado","","no","","Comunitario"</t>
  </si>
  <si>
    <t>1080561,"11/29/2020","11/30/2020","CABA","SAN NICOLAS","1","masculino","43","confirmado","12/15/2020","no","","Comunitario"</t>
  </si>
  <si>
    <t>3460283,"10/15/2020","10/15/2020","CABA","RECOLETA","2","femenino","38","confirmado","","no","","Contacto"</t>
  </si>
  <si>
    <t>1812557,"8/11/2020","8/11/2020","CABA","NUÃ‘EZ","13","masculino","34","confirmado","","no","","Comunitario"</t>
  </si>
  <si>
    <t>2722292,"9/17/2020","9/17/2020","CABA","COLEGIALES","13","masculino","54","descartado","","no","",""</t>
  </si>
  <si>
    <t>4799649,"11/28/2020","11/29/2020","CABA","MATADEROS","9","femenino","40","descartado","","no","",""</t>
  </si>
  <si>
    <t>5559407,"1/9/2021","1/10/2021","Buenos Aires","MORON","","femenino","34","confirmado","","no","","Comunitario"</t>
  </si>
  <si>
    <t>1473741,"7/21/2020","7/22/2020","CABA","FLORES","7","masculino","47","confirmado","","no","","Comunitario"</t>
  </si>
  <si>
    <t>3933029,"10/29/2020","10/30/2020","CABA","VILLA SOLDATI","8","femenino","15","confirmado","","no","","Comunitario"</t>
  </si>
  <si>
    <t>2193764,"8/27/2020","8/27/2020","Buenos Aires","MALVINAS ARGENTINAS","","femenino","35","descartado","","no","",""</t>
  </si>
  <si>
    <t>5562044,"12/24/2020","12/24/2020","CABA","SAN CRISTOBAL","3","femenino","81","descartado","","no","",""</t>
  </si>
  <si>
    <t>4364313,"11/11/2020","11/12/2020","Formosa","FORMOSA","","femenino","31","descartado","","no","",""</t>
  </si>
  <si>
    <t>4429651,"1/10/2022","1/11/2022","Buenos Aires","SAN MIGUEL","","femenino","25","confirmado","","no","","Comunitario"</t>
  </si>
  <si>
    <t>2522213,"9/10/2020","9/10/2020","CABA","CONSTITUCION","1","masculino","27","descartado","","no","",""</t>
  </si>
  <si>
    <t>2752789,"9/20/2020","9/20/2020","CABA","VILLA DEVOTO","11","masculino","41","confirmado","","no","","Comunitario"</t>
  </si>
  <si>
    <t>5288000,"12/15/2020","12/15/2020","TucumÃ¡n","SAN MIGUEL DE TUCUMAN","","femenino","32","confirmado","11/1/2020","no","","Comunitario"</t>
  </si>
  <si>
    <t>887361,"5/5/2020","5/5/2020","CABA","RETIRO","1","femenino","4","confirmado","","no","5/6/2020","Contacto"</t>
  </si>
  <si>
    <t>4457199,"11/14/2020","11/17/2020","CABA","RECOLETA","2","femenino","74","descartado","","no","",""</t>
  </si>
  <si>
    <t>763726,"3/21/2020","3/22/2020","CABA","BALVANERA","3","masculino","22","descartado","","no","3/24/2020",""</t>
  </si>
  <si>
    <t>5304666,"12/15/2020","12/15/2020","Buenos Aires","TIGRE","","masculino","69","descartado","","no","",""</t>
  </si>
  <si>
    <t>3007151,"9/28/2020","9/29/2020","CABA","RECOLETA","2","masculino","62","descartado","","no","",""</t>
  </si>
  <si>
    <t>1709052,"8/5/2020","8/5/2020","CABA","CABALLITO","6","masculino","67","descartado","","no","",""</t>
  </si>
  <si>
    <t>5278594,"12/11/2020","12/11/2020","Buenos Aires","ALMIRANTE BROWN","","masculino","27","descartado","","no","",""</t>
  </si>
  <si>
    <t>1069644,"6/12/2020","6/14/2020","CABA","VILLA SOLDATI","8","masculino","7","descartado","","no","",""</t>
  </si>
  <si>
    <t>5411570,"12/19/2020","12/19/2020","Salta","SALTA","","femenino","62","descartado","","no","",""</t>
  </si>
  <si>
    <t>1032941,"6/6/2020","7/3/2020","Buenos Aires","SAN MIGUEL","","femenino","44","confirmado","","no","6/30/2020","Trabajador de la Salud"</t>
  </si>
  <si>
    <t>5373936,"12/21/2020","12/21/2020","CABA","BOEDO","5","femenino","33","confirmado","","no","","Comunitario"</t>
  </si>
  <si>
    <t>2150031,"8/27/2020","8/27/2020","CABA","VILLA CRESPO","15","masculino","47","confirmado","","no","","Comunitario"</t>
  </si>
  <si>
    <t>4704664,"11/23/2020","11/24/2020","CABA","RETIRO","1","masculino","27","descartado","","no","",""</t>
  </si>
  <si>
    <t>5606791,"12/26/2020","12/26/2020","Buenos Aires","MALVINAS ARGENTINAS","","femenino","25","descartado","","no","",""</t>
  </si>
  <si>
    <t>1346126,"7/13/2020","7/13/2020","CABA","BARRACAS","4","masculino","10","confirmado","","no","7/25/2020","Comunitario"</t>
  </si>
  <si>
    <t>1841461,"8/12/2020","8/14/2020","CABA","PALERMO","14","femenino","33","descartado","","no","",""</t>
  </si>
  <si>
    <t>1630521,"8/2/2020","8/2/2020","Buenos Aires","HURLINGHAM","","masculino","59","confirmado","12/2/2020","no","","En InvestigaciÃ³n"</t>
  </si>
  <si>
    <t>797633,"4/7/2020","4/7/2020","CABA","ALMAGRO","5","femenino","83","descartado","","no","",""</t>
  </si>
  <si>
    <t>5614768,"12/24/2020","12/24/2020","Buenos Aires","MALVINAS ARGENTINAS","","masculino","79","descartado","","no","",""</t>
  </si>
  <si>
    <t>1257992,"7/5/2020","7/5/2020","Buenos Aires","ALMIRANTE BROWN","","masculino","27","confirmado","","no","","Contacto"</t>
  </si>
  <si>
    <t>3051406,"9/30/2020","10/1/2020","Buenos Aires","LANUS","","femenino","59","confirmado","","no","","Comunitario"</t>
  </si>
  <si>
    <t>3009188,"9/30/2020","10/1/2020","CABA","SAAVEDRA","12","masculino","36","confirmado","","no","","Comunitario"</t>
  </si>
  <si>
    <t>3673767,"10/20/2020","10/20/2020","Buenos Aires","LA PLATA","","masculino","19","descartado","","no","",""</t>
  </si>
  <si>
    <t>3570038,"11/1/2020","11/2/2020","Buenos Aires","LUJAN","","femenino","20","descartado","","no","",""</t>
  </si>
  <si>
    <t>1335744,"7/12/2020","7/12/2020","CABA","RECOLETA","2","femenino","95","confirmado","","no","","Comunitario"</t>
  </si>
  <si>
    <t>4954602,"12/3/2020","12/3/2020","CABA","BALVANERA","3","masculino","53","descartado","","no","",""</t>
  </si>
  <si>
    <t>3680728,"10/21/2020","10/21/2020","Buenos Aires","ALMIRANTE BROWN","","masculino","38","confirmado","","no","","Comunitario"</t>
  </si>
  <si>
    <t>5029991,"12/2/2020","12/2/2020","Buenos Aires","LANUS","","masculino","34","descartado","","no","",""</t>
  </si>
  <si>
    <t>4740825,"11/24/2020","11/25/2020","Buenos Aires","LANUS","","femenino","48","descartado","","no","",""</t>
  </si>
  <si>
    <t>3635928,"10/19/2020","10/20/2020","Buenos Aires","TRES DE FEBRERO","","femenino","30","confirmado","","no","","Comunitario"</t>
  </si>
  <si>
    <t>5686267,"12/29/2020","12/29/2020","CABA","SAN TELMO","1","masculino","25","descartado","","no","",""</t>
  </si>
  <si>
    <t>1495861,"7/23/2020","7/24/2020","CABA","BALVANERA","3","masculino","16","confirmado","","no","8/2/2020","Contacto"</t>
  </si>
  <si>
    <t>5055725,"12/8/2020","12/8/2020","CABA","PALERMO","14","masculino","34","confirmado","","no","","Comunitario"</t>
  </si>
  <si>
    <t>2840033,"10/2/2020","10/2/2020","Buenos Aires","LA PLATA","","femenino","54","confirmado","","no","","Trabajador de la Salud"</t>
  </si>
  <si>
    <t>5513051,"12/21/2020","12/21/2020","CABA","VILLA DEL PARQUE","11","masculino","34","confirmado","","no","","Contacto"</t>
  </si>
  <si>
    <t>4041542,"11/4/2020","11/4/2020","CABA","FLORES","7","femenino","57","confirmado","","no","","Comunitario"</t>
  </si>
  <si>
    <t>5353239,"12/17/2020","12/17/2020","CABA","RETIRO","1","masculino","25","descartado","","no","",""</t>
  </si>
  <si>
    <t>2398828,"9/6/2020","9/6/2020","CABA","VILLA PUEYRREDON","12","masculino","34","confirmado","","no","","Comunitario"</t>
  </si>
  <si>
    <t>1459255,"7/21/2020","7/21/2020","Buenos Aires","ALMIRANTE BROWN","","femenino","50","descartado","","no","",""</t>
  </si>
  <si>
    <t>5568250,"12/24/2020","12/24/2020","CABA","VILLA RIACHUELO","8","masculino","31","descartado","","no","",""</t>
  </si>
  <si>
    <t>959422,"5/20/2020","9/13/2020","Buenos Aires","MORON","","masculino","41","confirmado","","no","","Comunitario"</t>
  </si>
  <si>
    <t>2938388,"9/27/2020","9/27/2020","CABA","NUEVA POMPEYA","4","femenino","11","confirmado","","no","","Comunitario"</t>
  </si>
  <si>
    <t>5616506,"12/24/2020","12/24/2020","CABA","VILLA LUGANO","8","femenino","3","descartado","","no","",""</t>
  </si>
  <si>
    <t>3254507,"10/6/2020","10/7/2020","Buenos Aires","LA PLATA","","masculino","31","confirmado","","no","","Comunitario"</t>
  </si>
  <si>
    <t>4506627,"11/16/2020","11/16/2020","Buenos Aires","MALVINAS ARGENTINAS","","masculino","22","descartado","","no","",""</t>
  </si>
  <si>
    <t>1244863,"7/3/2020","7/3/2020","Buenos Aires","LA PLATA","","masculino","27","descartado","","no","",""</t>
  </si>
  <si>
    <t>3056891,"10/1/2020","10/2/2020","Buenos Aires","ALMIRANTE BROWN","","masculino","29","descartado","","no","",""</t>
  </si>
  <si>
    <t>4868908,"11/27/2020","11/27/2020","CABA","VELEZ SARSFIELD","10","femenino","37","descartado","","no","",""</t>
  </si>
  <si>
    <t>2590989,"9/14/2020","9/15/2020","CABA","NUÃ‘EZ","13","masculino","33","confirmado","","no","","Comunitario"</t>
  </si>
  <si>
    <t>3046280,"10/1/2020","10/1/2020","CABA","RECOLETA","2","femenino","28","confirmado","","no","","Comunitario"</t>
  </si>
  <si>
    <t>1839146,"8/12/2020","8/12/2020","CABA","VILLA URQUIZA","12","femenino","38","confirmado","","no","8/19/2020","Contacto"</t>
  </si>
  <si>
    <t>2994262,"9/27/2020","9/28/2020","Buenos Aires","LANUS","","masculino","30","descartado","","no","",""</t>
  </si>
  <si>
    <t>3592967,"10/20/2020","10/19/2020","Buenos Aires","LANUS","","masculino","42","confirmado","","no","","Comunitario"</t>
  </si>
  <si>
    <t>1950076,"8/18/2020","8/19/2020","CABA","SAN CRISTOBAL","3","masculino","73","confirmado","","no","","Comunitario"</t>
  </si>
  <si>
    <t>3340172,"10/11/2020","10/12/2020","CABA","LINIERS","9","masculino","46","confirmado","","no","","En InvestigaciÃ³n"</t>
  </si>
  <si>
    <t>1335675,"7/12/2020","7/12/2020","Buenos Aires","ENSENADA","","femenino","93","confirmado","","no","","Comunitario"</t>
  </si>
  <si>
    <t>4213452,"11/7/2020","11/8/2020","Buenos Aires","ESTEBAN ECHEVERRIA","","femenino","35","descartado","","no","",""</t>
  </si>
  <si>
    <t>4611925,"11/19/2020","11/20/2020","Buenos Aires","FLORENCIO VARELA","","masculino","57","descartado","","no","",""</t>
  </si>
  <si>
    <t>2477320,"9/7/2020","9/8/2020","Buenos Aires","SAN ISIDRO","","masculino","51","confirmado","","no","","Comunitario"</t>
  </si>
  <si>
    <t>5599268,"12/26/2020","12/26/2020","Buenos Aires","QUILMES","","masculino","54","descartado","","no","",""</t>
  </si>
  <si>
    <t>1224152,"6/25/2020","6/25/2020","CABA","VILLA DEVOTO","11","femenino","87","descartado","","no","",""</t>
  </si>
  <si>
    <t>2287409,"9/1/2020","9/1/2020","Buenos Aires","ALMIRANTE BROWN","","masculino","7","descartado","","no","",""</t>
  </si>
  <si>
    <t>3744823,"10/24/2020","10/25/2020","Buenos Aires","HURLINGHAM","","femenino","86","descartado","","no","",""</t>
  </si>
  <si>
    <t>3427172,"10/14/2020","10/15/2020","CABA","SAAVEDRA","12","masculino","55","confirmado","","no","","Comunitario"</t>
  </si>
  <si>
    <t>4050708,"11/2/2020","11/3/2020","CABA","PUERTO MADERO","1","femenino","25","descartado","","no","",""</t>
  </si>
  <si>
    <t>1161198,"6/22/2020","6/22/2020","CABA","PUERTO MADERO","1","femenino","28","confirmado","","no","7/2/2020","Contacto"</t>
  </si>
  <si>
    <t>2793807,"9/22/2020","9/22/2020","CABA","PALERMO","14","femenino","30","descartado","","no","",""</t>
  </si>
  <si>
    <t>3361515,"10/10/2020","10/10/2020","CABA","PARQUE CHAS","15","femenino","78","confirmado","","no","","Contacto"</t>
  </si>
  <si>
    <t>1008654,"6/2/2020","6/3/2020","CABA","CABALLITO","6","femenino","54","confirmado","","no","6/9/2020","Comunitario"</t>
  </si>
  <si>
    <t>2228442,"8/28/2020","8/29/2020","Buenos Aires","MALVINAS ARGENTINAS","","masculino","44","descartado","","no","",""</t>
  </si>
  <si>
    <t>2819407,"9/23/2020","9/23/2020","Buenos Aires","ALMIRANTE BROWN","","femenino","56","descartado","","no","",""</t>
  </si>
  <si>
    <t>864580,"4/26/2020","6/19/2020","CABA","BARRACAS","4","masculino","47","confirmado","","no","","Comunitario"</t>
  </si>
  <si>
    <t>5390806,"12/19/2020","12/19/2020","Buenos Aires","QUILMES","","femenino","34","sospechoso","","no","","En InvestigaciÃ³n"</t>
  </si>
  <si>
    <t>1640100,"8/2/2020","8/2/2020","CABA","VILLA LUGANO","8","masculino","5","confirmado","","no","8/8/2020","Comunitario"</t>
  </si>
  <si>
    <t>2724154,"10/17/2020","10/17/2020","Buenos Aires","MORON","","femenino","50","confirmado","","no","","Comunitario"</t>
  </si>
  <si>
    <t>3372127,"10/12/2020","10/12/2020","Buenos Aires","ALMIRANTE BROWN","","masculino","26","descartado","","no","",""</t>
  </si>
  <si>
    <t>2293561,"9/2/2020","9/2/2020","CABA","CABALLITO","6","masculino","69","descartado","","no","",""</t>
  </si>
  <si>
    <t>937062,"5/18/2020","5/19/2020","Buenos Aires","AVELLANEDA","","femenino","31","confirmado","","no","5/29/2020","Comunitario"</t>
  </si>
  <si>
    <t>3723994,"10/23/2020","10/24/2020","CABA","ALMAGRO","5","masculino","10","descartado","","no","",""</t>
  </si>
  <si>
    <t>4647143,"11/20/2020","11/21/2020","Buenos Aires","LOMAS DE ZAMORA","","femenino","44","descartado","","no","",""</t>
  </si>
  <si>
    <t>2140998,"8/25/2020","8/25/2020","CABA","BALVANERA","3","femenino","30","confirmado","","no","","Comunitario"</t>
  </si>
  <si>
    <t>5483479,"12/22/2020","12/22/2020","Salta","SALTA","","femenino","42","descartado","","no","",""</t>
  </si>
  <si>
    <t>1516617,"7/21/2020","7/21/2020","Buenos Aires","ALMIRANTE BROWN","","masculino","31","confirmado","","no","","Comunitario"</t>
  </si>
  <si>
    <t>5537989,"12/21/2020","12/21/2020","CABA","PALERMO","14","femenino","24","descartado","","no","",""</t>
  </si>
  <si>
    <t>1011548,"6/1/2020","6/20/2020","CABA","BELGRANO","13","masculino","32","confirmado","","no","","Comunitario"</t>
  </si>
  <si>
    <t>2070444,"8/14/2020","8/14/2020","CABA","VILLA CRESPO","15","masculino","57","confirmado","","no","","Comunitario"</t>
  </si>
  <si>
    <t>3885557,"10/20/2020","10/20/2020","CABA","ALMAGRO","5","masculino","68","descartado","","no","",""</t>
  </si>
  <si>
    <t>5350438,"12/17/2020","12/17/2020","Buenos Aires","LA PLATA","","masculino","40","descartado","","no","",""</t>
  </si>
  <si>
    <t>3500145,"10/16/2020","10/17/2020","CABA","BOEDO","5","femenino","77","descartado","","no","",""</t>
  </si>
  <si>
    <t>1237367,"7/2/2020","7/2/2020","CABA","VILLA SOLDATI","8","femenino","55","confirmado","","no","7/13/2020","Contacto"</t>
  </si>
  <si>
    <t>4160749,"10/21/2020","10/21/2020","CABA","VILLA LUGANO","8","femenino","83","descartado","","no","",""</t>
  </si>
  <si>
    <t>1910196,"8/15/2020","8/15/2020","CABA","PALERMO","14","femenino","32","confirmado","9/3/2020","no","","Contacto"</t>
  </si>
  <si>
    <t>3481191,"10/15/2020","10/16/2020","Buenos Aires","LA PLATA","","femenino","24","descartado","","no","",""</t>
  </si>
  <si>
    <t>5181834,"12/12/2020","12/12/2020","CABA","FLORES","7","masculino","31","confirmado","","no","","Comunitario"</t>
  </si>
  <si>
    <t>1740862,"8/6/2020","8/6/2020","CABA","VILLA GRAL. MITRE","11","femenino","52","descartado","","no","",""</t>
  </si>
  <si>
    <t>1250151,"7/2/2020","7/4/2020","CABA","LINIERS","9","femenino","35","confirmado","","no","","Trabajador de la Salud"</t>
  </si>
  <si>
    <t>5257947,"12/14/2020","12/14/2020","CABA","CABALLITO","6","masculino","37","descartado","","no","",""</t>
  </si>
  <si>
    <t>4166446,"10/24/2020","10/24/2020","San Juan","SAN JUAN","","masculino","36","confirmado","","no","","Comunitario"</t>
  </si>
  <si>
    <t>2843250,"9/23/2020","9/24/2020","CABA","PALERMO","14","masculino","50","confirmado","","no","","En InvestigaciÃ³n"</t>
  </si>
  <si>
    <t>2422066,"9/5/2020","9/5/2020","Buenos Aires","TRES DE FEBRERO","","masculino","9","descartado","","no","",""</t>
  </si>
  <si>
    <t>2170212,"8/24/2020","8/26/2020","CABA","RECOLETA","2","femenino","32","confirmado","","no","","Comunitario"</t>
  </si>
  <si>
    <t>3958974,"10/30/2020","10/31/2020","CABA","VILLA SANTA RITA","11","masculino","15","descartado","","no","",""</t>
  </si>
  <si>
    <t>2623699,"9/15/2020","9/15/2020","Buenos Aires","TIGRE","","masculino","39","confirmado","","no","","En InvestigaciÃ³n"</t>
  </si>
  <si>
    <t>1927214,"8/16/2020","8/17/2020","Buenos Aires","LA PLATA","","femenino","71","descartado","","no","",""</t>
  </si>
  <si>
    <t>2123001,"8/26/2020","8/26/2020","CABA","PALERMO","14","femenino","40","confirmado","","no","","Comunitario"</t>
  </si>
  <si>
    <t>3138919,"10/4/2020","10/4/2020","CABA","VILLA CRESPO","15","masculino","49","confirmado","","no","","Comunitario"</t>
  </si>
  <si>
    <t>5386792,"12/18/2020","12/18/2020","Corrientes","CORRIENTES","","masculino","44","descartado","","no","",""</t>
  </si>
  <si>
    <t>3599937,"10/16/2020","10/16/2020","Buenos Aires","SAN ISIDRO","","masculino","26","descartado","","no","",""</t>
  </si>
  <si>
    <t>2941876,"9/27/2020","9/27/2020","Buenos Aires","MALVINAS ARGENTINAS","","masculino","35","confirmado","","no","","Comunitario"</t>
  </si>
  <si>
    <t>1697174,"8/3/2020","8/5/2020","Buenos Aires","MALVINAS ARGENTINAS","","femenino","66","descartado","","no","",""</t>
  </si>
  <si>
    <t>1067801,"6/11/2020","6/13/2020","Buenos Aires","ALMIRANTE BROWN","","femenino","64","descartado","","no","",""</t>
  </si>
  <si>
    <t>2694168,"9/17/2020","9/17/2020","Buenos Aires","ALMIRANTE BROWN","","femenino","4","descartado","","no","",""</t>
  </si>
  <si>
    <t>4566908,"11/16/2020","11/16/2020","CABA","VILLA LUGANO","8","femenino","81","descartado","","no","",""</t>
  </si>
  <si>
    <t>3168569,"10/3/2020","10/4/2020","Buenos Aires","ENSENADA","","femenino","44","confirmado","","no","","Comunitario"</t>
  </si>
  <si>
    <t>4039876,"11/3/2020","11/3/2020","CABA","BARRACAS","4","femenino","24","confirmado","","no","","Comunitario"</t>
  </si>
  <si>
    <t>2209565,"8/28/2020","8/29/2020","CABA","SAN CRISTOBAL","3","femenino","48","confirmado","","no","","Comunitario"</t>
  </si>
  <si>
    <t>4919636,"11/28/2020","11/28/2020","Buenos Aires","SAN ISIDRO","","femenino","30","descartado","","no","",""</t>
  </si>
  <si>
    <t>3026712,"9/30/2020","10/2/2020","CABA","VILLA LUGANO","8","masculino","53","confirmado","","no","","En InvestigaciÃ³n"</t>
  </si>
  <si>
    <t>2008679,"8/20/2020","8/20/2020","CABA","BARRACAS","4","masculino","20","confirmado","","no","8/30/2020","Contacto"</t>
  </si>
  <si>
    <t>4645718,"11/22/2020","11/22/2020","Buenos Aires","ALMIRANTE BROWN","","femenino","48","sospechoso","","no","","En InvestigaciÃ³n"</t>
  </si>
  <si>
    <t>1906959,"8/15/2020","8/15/2020","CABA","PALERMO","14","masculino","28","confirmado","","no","","Comunitario"</t>
  </si>
  <si>
    <t>2877448,"9/24/2020","9/24/2020","CABA","SAN CRISTOBAL","3","femenino","46","confirmado","","no","","Trabajador de la Salud"</t>
  </si>
  <si>
    <t>4576972,"11/21/2020","11/21/2020","Buenos Aires","LA PLATA","","masculino","19","descartado","","no","",""</t>
  </si>
  <si>
    <t>2097139,"8/21/2020","8/24/2020","Buenos Aires","TRES DE FEBRERO","","masculino","53","confirmado","","no","","Comunitario"</t>
  </si>
  <si>
    <t>3543601,"10/19/2020","10/20/2020","CABA","ALMAGRO","5","masculino","2","descartado","","no","",""</t>
  </si>
  <si>
    <t>5550986,"12/29/2021","12/30/2021","CABA","VILLA PUEYRREDON","12","masculino","63","confirmado","","no","","Comunitario"</t>
  </si>
  <si>
    <t>1358526,"7/14/2020","7/14/2020","Buenos Aires","MALVINAS ARGENTINAS","","masculino","10","confirmado","","no","","Comunitario"</t>
  </si>
  <si>
    <t>1802244,"8/10/2020","8/10/2020","CABA","NUEVA POMPEYA","4","femenino","10","confirmado","","no","","Comunitario"</t>
  </si>
  <si>
    <t>1439678,"7/31/2020","7/31/2020","Buenos Aires","AVELLANEDA","","masculino","40","confirmado","","no","","Comunitario"</t>
  </si>
  <si>
    <t>1493023,"7/23/2020","7/23/2020","CABA","FLORES","7","masculino","38","descartado","","no","",""</t>
  </si>
  <si>
    <t>1235912,"7/2/2020","7/3/2020","CABA","ALMAGRO","5","masculino","8","confirmado","","no","7/6/2020","Contacto"</t>
  </si>
  <si>
    <t>5633284,"12/24/2020","12/24/2020","CABA","BELGRANO","13","masculino","51","descartado","","no","",""</t>
  </si>
  <si>
    <t>4953412,"12/1/2020","12/2/2020","CABA","FLORES","7","masculino","34","descartado","","no","",""</t>
  </si>
  <si>
    <t>4698458,"11/24/2020","11/24/2020","CABA","VILLA LUGANO","8","masculino","47","confirmado","","no","","Comunitario"</t>
  </si>
  <si>
    <t>2896387,"9/21/2020","12/30/2020","RÃ­o Negro","VIEDMA","","masculino","45","confirmado","","no","","Comunitario"</t>
  </si>
  <si>
    <t>5114565,"12/5/2020","12/5/2020","CABA","PALERMO","14","femenino","91","descartado","","no","",""</t>
  </si>
  <si>
    <t>3635855,"10/19/2020","10/20/2020","CABA","ALMAGRO","5","masculino","26","descartado","","no","",""</t>
  </si>
  <si>
    <t>3656542,"10/20/2020","10/21/2020","Buenos Aires","TIGRE","","femenino","27","descartado","","no","",""</t>
  </si>
  <si>
    <t>1075871,"6/12/2020","6/12/2020","CABA","VILLA LUGANO","8","masculino","38","confirmado","","no","6/23/2020","Contacto"</t>
  </si>
  <si>
    <t>5508604,"12/22/2020","12/22/2020","Buenos Aires","ALMIRANTE BROWN","","masculino","31","descartado","","no","",""</t>
  </si>
  <si>
    <t>4973261,"12/3/2020","12/3/2020","CABA","PARQUE AVELLANEDA","9","masculino","54","confirmado","","no","","Comunitario"</t>
  </si>
  <si>
    <t>2833359,"9/22/2020","9/22/2020","CABA","PARQUE PATRICIOS","4","femenino","36","descartado","","no","",""</t>
  </si>
  <si>
    <t>1937116,"8/17/2020","8/17/2020","Buenos Aires","LOMAS DE ZAMORA","","masculino","41","confirmado","","no","8/27/2020","Contacto"</t>
  </si>
  <si>
    <t>5526893,"12/22/2020","12/23/2020","Buenos Aires","SAN MIGUEL","","masculino","21","confirmado","","no","","Comunitario"</t>
  </si>
  <si>
    <t>2088347,"8/25/2020","8/26/2020","Buenos Aires","QUILMES","","femenino","43","descartado","","no","",""</t>
  </si>
  <si>
    <t>2849184,"9/23/2020","9/23/2020","Chaco","RESISTENCIA","","femenino","19","descartado","","no","","Trabajador de la Salud"</t>
  </si>
  <si>
    <t>4261075,"11/10/2020","11/10/2020","CABA","RECOLETA","2","masculino","48","confirmado","","no","","Comunitario"</t>
  </si>
  <si>
    <t>1653044,"8/2/2020","8/2/2020","CABA","ALMAGRO","5","femenino","80","confirmado","","no","","Contacto"</t>
  </si>
  <si>
    <t>852677,"4/24/2020","4/24/2020","Buenos Aires","CAMPANA","","femenino","69","descartado","","no","",""</t>
  </si>
  <si>
    <t>2931757,"9/26/2020","9/27/2020","CABA","VILLA URQUIZA","12","femenino","72","descartado","","no","",""</t>
  </si>
  <si>
    <t>1236969,"7/2/2020","7/4/2020","CABA","PATERNAL","15","masculino","19","descartado","","no","",""</t>
  </si>
  <si>
    <t>3519856,"10/13/2020","10/13/2020","Buenos Aires","ALMIRANTE BROWN","","masculino","45","descartado","","no","",""</t>
  </si>
  <si>
    <t>2064097,"8/23/2020","8/24/2020","CABA","VERSALLES","10","femenino","28","confirmado","","no","9/6/2020","Comunitario"</t>
  </si>
  <si>
    <t>1264918,"7/2/2020","7/2/2020","Buenos Aires","HURLINGHAM","","masculino","42","descartado","","no","",""</t>
  </si>
  <si>
    <t>2397211,"9/4/2020","9/5/2020","Buenos Aires","MALVINAS ARGENTINAS","","femenino","30","confirmado","","no","","Comunitario"</t>
  </si>
  <si>
    <t>1702324,"8/5/2020","8/5/2020","Buenos Aires","MORON","","masculino","17","sospechoso","","no","","En InvestigaciÃ³n"</t>
  </si>
  <si>
    <t>5379959,"12/18/2020","12/19/2020","CABA","BELGRANO","13","masculino","20","confirmado","","no","","Comunitario"</t>
  </si>
  <si>
    <t>4676657,"11/24/2020","11/24/2020","CABA","COLEGIALES","13","masculino","29","descartado","","no","",""</t>
  </si>
  <si>
    <t>4684380,"11/18/2020","11/20/2020","CABA","VILLA LUGANO","8","femenino","32","descartado","","no","",""</t>
  </si>
  <si>
    <t>4872053,"12/1/2020","12/1/2020","Buenos Aires","QUILMES","","femenino","20","sospechoso","","no","","En InvestigaciÃ³n"</t>
  </si>
  <si>
    <t>1515110,"7/25/2020","7/26/2020","Buenos Aires","TRES DE FEBRERO","","masculino","42","confirmado","","no","8/1/2020","Comunitario"</t>
  </si>
  <si>
    <t>3903942,"10/29/2020","10/29/2020","Buenos Aires","ALMIRANTE BROWN","","masculino","43","confirmado","","no","","Comunitario"</t>
  </si>
  <si>
    <t>2994679,"9/29/2020","9/29/2020","Buenos Aires","ALMIRANTE BROWN","","masculino","25","descartado","","no","",""</t>
  </si>
  <si>
    <t>2422486,"9/18/2020","9/20/2020","CABA","NUEVA POMPEYA","4","femenino","59","confirmado","","no","","Comunitario"</t>
  </si>
  <si>
    <t>3298167,"10/8/2020","10/8/2020","Buenos Aires","ENSENADA","","masculino","38","descartado","","no","",""</t>
  </si>
  <si>
    <t>3780926,"10/26/2020","10/28/2020","Buenos Aires","ESTEBAN ECHEVERRIA","","masculino","33","confirmado","","no","","Comunitario"</t>
  </si>
  <si>
    <t>2641502,"9/14/2020","9/14/2020","Buenos Aires","FLORENCIO VARELA","","femenino","7","descartado","","no","",""</t>
  </si>
  <si>
    <t>5767489,"12/29/2020","12/30/2020","Buenos Aires","HURLINGHAM","","masculino","54","confirmado","","no","","Comunitario"</t>
  </si>
  <si>
    <t>967839,"5/25/2020","5/25/2020","Buenos Aires","LOMAS DE ZAMORA","","masculino","42","descartado","","no","",""</t>
  </si>
  <si>
    <t>2781780,"9/21/2020","9/21/2020","Buenos Aires","ALMIRANTE BROWN","","femenino","37","sospechoso","","no","","En InvestigaciÃ³n"</t>
  </si>
  <si>
    <t>5359116,"12/17/2020","12/17/2020","Jujuy","SAN SALVADOR DE JUJUY","","femenino","16","descartado","","no","",""</t>
  </si>
  <si>
    <t>5767775,"12/28/2020","12/29/2020","Buenos Aires","MORON","","masculino","43","confirmado","","no","","Comunitario"</t>
  </si>
  <si>
    <t>1093102,"6/16/2020","6/18/2020","CABA","CHACARITA","15","masculino","2","confirmado","","no","6/26/2020","Comunitario"</t>
  </si>
  <si>
    <t>892094,"5/6/2020","5/7/2020","Buenos Aires","ALMIRANTE BROWN","","femenino","2","descartado","","no","",""</t>
  </si>
  <si>
    <t>1688931,"8/3/2020","8/3/2020","CABA","VILLA CRESPO","15","femenino","24","confirmado","","no","","Comunitario"</t>
  </si>
  <si>
    <t>2933251,"9/25/2020","9/25/2020","Buenos Aires","AVELLANEDA","","femenino","46","descartado","","no","",""</t>
  </si>
  <si>
    <t>4720510,"11/23/2020","11/24/2020","CABA","PARQUE AVELLANEDA","9","masculino","39","descartado","","no","",""</t>
  </si>
  <si>
    <t>5391945,"12/18/2020","12/18/2020","CABA","BALVANERA","3","femenino","33","confirmado","","no","","En InvestigaciÃ³n"</t>
  </si>
  <si>
    <t>4381736,"11/13/2020","11/13/2020","CABA","VILLA SOLDATI","8","femenino","31","confirmado","","no","","Comunitario"</t>
  </si>
  <si>
    <t>3873636,"10/28/2020","10/28/2020","CABA","NUÃ‘EZ","13","masculino","71","confirmado","","no","","Comunitario"</t>
  </si>
  <si>
    <t>995456,"5/30/2020","5/31/2020","CABA","RETIRO","1","masculino","14","confirmado","","no","","Contacto"</t>
  </si>
  <si>
    <t>1120557,"6/19/2020","6/19/2020","CABA","VILLA GRAL. MITRE","11","masculino","7","confirmado","","no","6/26/2020","Comunitario"</t>
  </si>
  <si>
    <t>5755171,"12/28/2020","12/28/2020","CABA","ALMAGRO","5","femenino","67","descartado","","no","",""</t>
  </si>
  <si>
    <t>5770963,"12/30/2020","12/30/2020","Buenos Aires","ALMIRANTE BROWN","","femenino","17","descartado","","no","",""</t>
  </si>
  <si>
    <t>3616805,"10/20/2020","10/20/2020","CABA","LINIERS","9","femenino","21","descartado","","no","",""</t>
  </si>
  <si>
    <t>1384532,"7/16/2020","7/16/2020","CABA","CONSTITUCION","1","masculino","53","confirmado","","no","7/26/2020","Contacto"</t>
  </si>
  <si>
    <t>2254851,"8/31/2020","8/31/2020","Buenos Aires","ENSENADA","","femenino","34","descartado","","no","",""</t>
  </si>
  <si>
    <t>4678002,"11/19/2020","11/21/2020","Buenos Aires","ESTEBAN ECHEVERRIA","","femenino","30","descartado","","no","",""</t>
  </si>
  <si>
    <t>957662,"5/22/2020","5/22/2020","CABA","CABALLITO","6","masculino","6","confirmado","","no","6/1/2020","Contacto"</t>
  </si>
  <si>
    <t>1538273,"7/22/2020","7/22/2020","Buenos Aires","SAN ISIDRO","","femenino","39","confirmado","","no","","Contacto"</t>
  </si>
  <si>
    <t>1118794,"6/19/2020","6/19/2020","Buenos Aires","ALMIRANTE BROWN","","masculino","4","confirmado","","no","10/14/2021","Contacto"</t>
  </si>
  <si>
    <t>4737597,"11/25/2020","11/26/2020","CABA","VELEZ SARSFIELD","10","femenino","85","descartado","","no","",""</t>
  </si>
  <si>
    <t>4552344,"3/30/2021","3/31/2021","Buenos Aires","HURLINGHAM","","masculino","39","confirmado","","no","","Comunitario"</t>
  </si>
  <si>
    <t>5387517,"12/18/2020","12/18/2020","Buenos Aires","SAN MARTIN","","femenino","44","descartado","","no","",""</t>
  </si>
  <si>
    <t>1445090,"7/21/2020","7/22/2020","CABA","PARQUE AVELLANEDA","9","femenino","32","confirmado","","no","","Trabajador de la Salud"</t>
  </si>
  <si>
    <t>1031909,"6/28/2020","7/22/2020","CABA","CABALLITO","6","masculino","31","confirmado","","no","","Trabajador de la Salud"</t>
  </si>
  <si>
    <t>2228079,"8/28/2020","8/28/2020","CABA","PARQUE CHACABUCO","7","masculino","22","confirmado","","no","9/9/2020","Comunitario"</t>
  </si>
  <si>
    <t>3997851,"10/31/2020","11/1/2020","CABA","LINIERS","9","femenino","22","confirmado","","no","11/11/2020","Comunitario"</t>
  </si>
  <si>
    <t>3336731,"10/3/2020","10/3/2020","CABA","BOCA","4","femenino","15","confirmado","","no","","Comunitario"</t>
  </si>
  <si>
    <t>1448031,"7/21/2020","7/21/2020","CABA","COLEGIALES","13","masculino","58","confirmado","","no","","Contacto"</t>
  </si>
  <si>
    <t>1063726,"6/11/2020","6/12/2020","CABA","BELGRANO","13","femenino","61","confirmado","","no","","Comunitario"</t>
  </si>
  <si>
    <t>3478815,"10/16/2020","10/16/2020","Buenos Aires","ALMIRANTE BROWN","","masculino","31","descartado","","no","",""</t>
  </si>
  <si>
    <t>5313327,"12/14/2020","12/14/2020","CABA","VILLA LURO","10","masculino","62","descartado","","no","",""</t>
  </si>
  <si>
    <t>3264604,"10/6/2020","10/6/2020","Buenos Aires","TRES DE FEBRERO","","femenino","54","confirmado","","no","","Comunitario"</t>
  </si>
  <si>
    <t>848820,"4/22/2020","4/23/2020","Buenos Aires","ALMIRANTE BROWN","","femenino","10","descartado","","no","",""</t>
  </si>
  <si>
    <t>1535461,"7/24/2020","7/24/2020","Buenos Aires","ALMIRANTE BROWN","","masculino","37","confirmado","","no","","Comunitario"</t>
  </si>
  <si>
    <t>2468783,"9/7/2020","9/8/2020","CABA","PALERMO","14","femenino","43","confirmado","","no","","Comunitario"</t>
  </si>
  <si>
    <t>4256807,"11/9/2020","11/9/2020","CABA","PATERNAL","15","femenino","21","confirmado","","no","","Comunitario"</t>
  </si>
  <si>
    <t>1857687,"8/9/2020","8/10/2020","CABA","VILLA URQUIZA","12","masculino","43","confirmado","","no","8/17/2020","Comunitario"</t>
  </si>
  <si>
    <t>3158363,"10/2/2020","10/3/2020","Buenos Aires","ALMIRANTE BROWN","","masculino","47","descartado","","no","10/5/2020",""</t>
  </si>
  <si>
    <t>1441755,"7/20/2020","7/20/2020","CABA","VILLA LUGANO","8","femenino","10","confirmado","","no","7/30/2020","Contacto"</t>
  </si>
  <si>
    <t>2007282,"8/12/2020","8/12/2020","CABA","SAN NICOLAS","1","masculino","68","descartado","","no","8/11/2020",""</t>
  </si>
  <si>
    <t>1865402,"8/11/2020","8/15/2020","Buenos Aires","ENSENADA","","masculino","57","confirmado","","no","","Contacto"</t>
  </si>
  <si>
    <t>5289112,"12/18/2020","12/20/2020","Buenos Aires","ESTEBAN ECHEVERRIA","","femenino","48","confirmado","","no","","Comunitario"</t>
  </si>
  <si>
    <t>2509824,"9/9/2020","9/10/2020","Buenos Aires","FLORENCIO VARELA","","femenino","15","confirmado","","no","","Comunitario"</t>
  </si>
  <si>
    <t>4185486,"11/6/2020","11/6/2020","CABA","ALMAGRO","5","masculino","65","descartado","","no","",""</t>
  </si>
  <si>
    <t>4852872,"1/11/2021","1/11/2021","CABA","FLORESTA","10","femenino","19","confirmado","","no","","Comunitario"</t>
  </si>
  <si>
    <t>2450086,"9/6/2020","9/7/2020","CABA","SAN NICOLAS","1","femenino","44","descartado","","no","",""</t>
  </si>
  <si>
    <t>2053603,"8/20/2020","8/21/2020","Buenos Aires","SAN ISIDRO","","femenino","45","confirmado","","no","","Comunitario"</t>
  </si>
  <si>
    <t>1423712,"7/17/2020","7/20/2020","Buenos Aires","CAMPANA","","femenino","66","confirmado","","no","","Comunitario"</t>
  </si>
  <si>
    <t>4538910,"11/18/2020","11/19/2020","Buenos Aires","MORON","","femenino","32","descartado","","no","",""</t>
  </si>
  <si>
    <t>1320094,"7/10/2020","7/28/2020","Buenos Aires","CAMPANA","","masculino","56","confirmado","","no","7/28/2020","Comunitario"</t>
  </si>
  <si>
    <t>2635663,"8/25/2020","8/25/2020","Buenos Aires","LOMAS DE ZAMORA","","femenino","34","descartado","","no","",""</t>
  </si>
  <si>
    <t>5145864,"8/17/2020","8/17/2020","CABA","VILLA DEVOTO","11","femenino","36","descartado","","no","",""</t>
  </si>
  <si>
    <t>2430819,"9/8/2020","9/9/2020","Buenos Aires","ALMIRANTE BROWN","","masculino","64","confirmado","","no","","Comunitario"</t>
  </si>
  <si>
    <t>2701910,"9/17/2020","9/17/2020","CABA","BALVANERA","3","femenino","62","confirmado","","no","9/27/2020","En InvestigaciÃ³n"</t>
  </si>
  <si>
    <t>936531,"5/18/2020","5/18/2020","CABA","RETIRO","1","masculino","24","descartado","","no","",""</t>
  </si>
  <si>
    <t>5284295,"9/21/2020","9/21/2020","Buenos Aires","HURLINGHAM","","femenino","57","descartado","","no","",""</t>
  </si>
  <si>
    <t>4923502,"11/30/2020","11/30/2020","CABA","VILLA CRESPO","15","masculino","25","confirmado","","no","","Comunitario"</t>
  </si>
  <si>
    <t>1519142,"7/24/2020","7/24/2020","Buenos Aires","SAN MARTIN","","masculino","36","confirmado","","no","8/8/2020","Contacto"</t>
  </si>
  <si>
    <t>4128684,"11/6/2020","11/6/2020","Buenos Aires","PILAR","","masculino","57","confirmado","","no","","Comunitario"</t>
  </si>
  <si>
    <t>3353454,"10/12/2020","10/13/2020","Buenos Aires","SAN FERNANDO","","masculino","32","confirmado","","no","","Comunitario"</t>
  </si>
  <si>
    <t>5487357,"12/21/2020","12/21/2020","CABA","PARQUE CHACABUCO","7","masculino","17","descartado","","no","",""</t>
  </si>
  <si>
    <t>3979568,"10/26/2020","10/26/2020","CABA","VILLA CRESPO","15","femenino","39","confirmado","","no","","Comunitario"</t>
  </si>
  <si>
    <t>1664515,"8/3/2020","8/3/2020","Buenos Aires","HURLINGHAM","","femenino","21","descartado","","no","",""</t>
  </si>
  <si>
    <t>1670341,"8/3/2020","8/3/2020","Buenos Aires","ALMIRANTE BROWN","","masculino","39","descartado","","no","",""</t>
  </si>
  <si>
    <t>2058796,"8/23/2020","8/23/2020","Buenos Aires","AVELLANEDA","","femenino","56","descartado","","no","",""</t>
  </si>
  <si>
    <t>1761574,"8/8/2020","8/8/2020","Buenos Aires","AVELLANEDA","","femenino","24","sospechoso","","no","","En InvestigaciÃ³n"</t>
  </si>
  <si>
    <t>1448987,"7/17/2020","7/21/2020","Buenos Aires","PILAR","","masculino","27","descartado","","no","",""</t>
  </si>
  <si>
    <t>4400873,"11/12/2020","11/13/2020","CABA","PARQUE AVELLANEDA","9","masculino","7","descartado","","no","",""</t>
  </si>
  <si>
    <t>2408770,"9/6/2020","9/6/2020","CABA","BARRACAS","4","femenino","8","confirmado","","no","","Comunitario"</t>
  </si>
  <si>
    <t>2746224,"9/19/2020","9/19/2020","CABA","CONSTITUCION","1","masculino","22","confirmado","","no","","Contacto"</t>
  </si>
  <si>
    <t>1006958,"5/31/2020","6/1/2020","Buenos Aires","ENSENADA","","masculino","39","confirmado","","no","","Comunitario"</t>
  </si>
  <si>
    <t>1139624,"6/22/2020","6/22/2020","Buenos Aires","ESTEBAN ECHEVERRIA","","masculino","44","confirmado","","no","","En InvestigaciÃ³n"</t>
  </si>
  <si>
    <t>3471938,"10/14/2020","10/15/2020","Buenos Aires","FLORENCIO VARELA","","femenino","31","descartado","","no","",""</t>
  </si>
  <si>
    <t>2437732,"9/4/2020","9/5/2020","Buenos Aires","AVELLANEDA","","femenino","47","confirmado","","no","","Comunitario"</t>
  </si>
  <si>
    <t>1154077,"6/24/2020","6/24/2020","CABA","BALVANERA","3","femenino","7","descartado","","no","",""</t>
  </si>
  <si>
    <t>3095510,"10/2/2020","10/2/2020","CABA","CHACARITA","15","femenino","5","confirmado","","no","","Contacto"</t>
  </si>
  <si>
    <t>5773807,"12/30/2020","12/30/2020","CABA","VILLA LURO","10","femenino","41","confirmado","","no","","Contacto"</t>
  </si>
  <si>
    <t>1268377,"7/3/2020","7/3/2020","CABA","VILLA LUGANO","8","masculino","27","descartado","","no","",""</t>
  </si>
  <si>
    <t>1618622,"7/29/2020","8/13/2020","Buenos Aires","AVELLANEDA","","masculino","56","confirmado","","no","8/8/2020","Comunitario"</t>
  </si>
  <si>
    <t>1663190,"8/1/2020","8/3/2020","Buenos Aires","AVELLANEDA","","masculino","35","confirmado","","no","","Comunitario"</t>
  </si>
  <si>
    <t>1803174,"7/14/2020","7/14/2020","CABA","SAN TELMO","1","masculino","46","descartado","","no","",""</t>
  </si>
  <si>
    <t>1562036,"7/28/2020","7/30/2020","CABA","ALMAGRO","5","masculino","45","confirmado","","no","","Comunitario"</t>
  </si>
  <si>
    <t>1769895,"8/10/2020","8/11/2020","CABA","CONSTITUCION","1","femenino","48","confirmado","","no","","Comunitario"</t>
  </si>
  <si>
    <t>1557249,"7/25/2020","7/26/2020","Buenos Aires","LOMAS DE ZAMORA","","femenino","55","confirmado","","no","","Comunitario"</t>
  </si>
  <si>
    <t>2110317,"8/25/2020","8/25/2020","Buenos Aires","AVELLANEDA","","masculino","39","descartado","","no","",""</t>
  </si>
  <si>
    <t>4102595,"11/4/2020","11/5/2020","CABA","BELGRANO","13","femenino","86","confirmado","","no","","Comunitario"</t>
  </si>
  <si>
    <t>5446776,"12/20/2020","12/21/2020","CABA","CABALLITO","6","masculino","27","confirmado","","no","","Comunitario"</t>
  </si>
  <si>
    <t>4670700,"11/23/2020","11/24/2020","Buenos Aires","VICENTE LOPEZ","","femenino","75","descartado","","no","",""</t>
  </si>
  <si>
    <t>2939846,"9/26/2020","9/27/2020","Buenos Aires","AVELLANEDA","","femenino","12","confirmado","","no","","Comunitario"</t>
  </si>
  <si>
    <t>1413728,"7/19/2020","7/19/2020","CABA","CABALLITO","6","femenino","36","confirmado","","no","","Contacto"</t>
  </si>
  <si>
    <t>5527638,"12/23/2020","12/23/2020","CÃ³rdoba","CORDOBA","","femenino","40","descartado","","no","",""</t>
  </si>
  <si>
    <t>1870161,"8/13/2020","8/13/2020","Buenos Aires","AVELLANEDA","","femenino","33","confirmado","","no","","Comunitario"</t>
  </si>
  <si>
    <t>4845152,"11/28/2020","11/28/2020","Buenos Aires","SAN MARTIN","","masculino","64","descartado","","no","",""</t>
  </si>
  <si>
    <t>1357561,"7/14/2020","7/14/2020","Buenos Aires","PILAR","","masculino","58","confirmado","","no","","Comunitario"</t>
  </si>
  <si>
    <t>1130795,"6/16/2020","6/17/2020","Buenos Aires","SAN FERNANDO","","femenino","58","confirmado","","no","","Comunitario"</t>
  </si>
  <si>
    <t>3473150,"9/22/2020","9/24/2020","Buenos Aires","LOMAS DE ZAMORA","","masculino","36","descartado","","no","",""</t>
  </si>
  <si>
    <t>1085560,"6/15/2020","6/15/2020","CABA","BARRACAS","4","masculino","32","confirmado","","no","","En InvestigaciÃ³n"</t>
  </si>
  <si>
    <t>1226875,"7/1/2020","7/1/2020","CABA","SAN FERNANDO","1","femenino","65","confirmado","","no","","Trabajador de la Salud"</t>
  </si>
  <si>
    <t>3114175,"10/3/2020","10/3/2020","Buenos Aires","LOMAS DE ZAMORA","","femenino","41","descartado","","no","",""</t>
  </si>
  <si>
    <t>3288732,"10/8/2020","10/8/2020","Corrientes","CORRIENTES","","masculino","27","descartado","","no","",""</t>
  </si>
  <si>
    <t>4989019,"12/3/2020","12/4/2020","Buenos Aires","SAN MARTIN","","masculino","50","confirmado","","no","","En InvestigaciÃ³n"</t>
  </si>
  <si>
    <t>5189008,"1/21/2021","4/9/2021","CABA","SAN CRISTOBAL","3","femenino","31","confirmado","","no","","Comunitario"</t>
  </si>
  <si>
    <t>5329328,"12/16/2020","12/16/2020","Buenos Aires","SAN FERNANDO","","masculino","62","descartado","","no","",""</t>
  </si>
  <si>
    <t>2131301,"8/26/2020","8/26/2020","CABA","SAN TELMO","1","masculino","29","descartado","","no","",""</t>
  </si>
  <si>
    <t>1212052,"6/29/2020","7/1/2020","CABA","RETIRO","1","femenino","10","descartado","","no","",""</t>
  </si>
  <si>
    <t>1520214,"7/25/2020","7/25/2020","CABA","PARQUE PATRICIOS","4","femenino","49","confirmado","","no","8/6/2020","Contacto"</t>
  </si>
  <si>
    <t>2087717,"8/24/2020","8/24/2020","CABA","PARQUE AVELLANEDA","9","masculino","23","confirmado","","no","","Comunitario"</t>
  </si>
  <si>
    <t>2453197,"9/8/2020","9/9/2020","CABA","FLORES","7","femenino","61","confirmado","","no","9/22/2020","Trabajador de la Salud"</t>
  </si>
  <si>
    <t>1340230,"7/9/2020","7/12/2020","CABA","SAN TELMO","1","femenino","77","confirmado","","no","","Comunitario"</t>
  </si>
  <si>
    <t>4758055,"11/25/2020","11/26/2020","Buenos Aires","AVELLANEDA","","femenino","27","confirmado","","no","","Comunitario"</t>
  </si>
  <si>
    <t>892754,"5/6/2020","5/6/2020","CABA","BARRACAS","4","masculino","81","descartado","","no","",""</t>
  </si>
  <si>
    <t>1200987,"6/29/2020","6/29/2020","Buenos Aires","AVELLANEDA","","femenino","59","confirmado","","no","7/7/2020","Comunitario"</t>
  </si>
  <si>
    <t>3004272,"9/29/2020","9/29/2020","Buenos Aires","QUILMES","","masculino","57","confirmado","","no","","Comunitario"</t>
  </si>
  <si>
    <t>5601134,"12/26/2020","12/26/2020","CABA","SAAVEDRA","12","femenino","23","descartado","","no","",""</t>
  </si>
  <si>
    <t>1805047,"8/11/2020","8/12/2020","CABA","BALVANERA","3","femenino","45","confirmado","","no","","Comunitario"</t>
  </si>
  <si>
    <t>1236068,"6/30/2020","6/30/2020","Buenos Aires","AVELLANEDA","","femenino","51","descartado","","no","",""</t>
  </si>
  <si>
    <t>5121431,"12/8/2020","12/8/2020","CABA","VILLA SOLDATI","8","masculino","26","descartado","","no","",""</t>
  </si>
  <si>
    <t>4073064,"11/4/2020","11/4/2020","Misiones","POSADAS","","femenino","25","descartado","","no","",""</t>
  </si>
  <si>
    <t>2895481,"8/30/2020","8/31/2020","CABA","RECOLETA","2","femenino","32","descartado","","no","",""</t>
  </si>
  <si>
    <t>5387342,"12/18/2020","12/18/2020","Buenos Aires","ENSENADA","","femenino","28","descartado","","no","",""</t>
  </si>
  <si>
    <t>3158892,"10/5/2020","10/5/2020","CABA","CONSTITUCION","1","masculino","12","sospechoso","","no","","En InvestigaciÃ³n"</t>
  </si>
  <si>
    <t>3436291,"10/14/2020","10/14/2020","CABA","VILLA URQUIZA","12","masculino","23","descartado","","no","",""</t>
  </si>
  <si>
    <t>2324664,"9/3/2020","9/3/2020","CABA","COLEGIALES","13","femenino","91","descartado","","no","",""</t>
  </si>
  <si>
    <t>912948,"5/12/2020","5/13/2020","CABA","FLORES","7","masculino","35","descartado","","no","5/13/2020",""</t>
  </si>
  <si>
    <t>995535,"5/30/2020","5/30/2020","CABA","BARRACAS","4","masculino","35","confirmado","","no","6/10/2020","Contacto"</t>
  </si>
  <si>
    <t>2741645,"9/17/2020","9/17/2020","Buenos Aires","AVELLANEDA","","femenino","36","confirmado","","no","","Comunitario"</t>
  </si>
  <si>
    <t>3502668,"10/19/2020","10/19/2020","Buenos Aires","AVELLANEDA","","femenino","63","descartado","","no","",""</t>
  </si>
  <si>
    <t>2003780,"8/19/2020","8/19/2020","Buenos Aires","QUILMES","","masculino","23","confirmado","","no","","Comunitario"</t>
  </si>
  <si>
    <t>1060232,"6/11/2020","6/12/2020","CABA","NUEVA POMPEYA","4","masculino","44","confirmado","","no","6/21/2020","Comunitario"</t>
  </si>
  <si>
    <t>1925485,"8/17/2020","8/20/2020","Buenos Aires","SAN MARTIN","","femenino","40","descartado","","no","",""</t>
  </si>
  <si>
    <t>5547809,"12/23/2020","12/23/2020","CABA","VILLA GRAL. MITRE","11","masculino","37","descartado","","no","",""</t>
  </si>
  <si>
    <t>857798,"4/26/2020","6/12/2020","Buenos Aires","SAN FERNANDO","","femenino","47","confirmado","","no","","Trabajador de la Salud"</t>
  </si>
  <si>
    <t>1161891,"6/23/2020","6/23/2020","CABA","VILLA LUGANO","8","masculino","32","confirmado","","no","7/3/2020","Comunitario"</t>
  </si>
  <si>
    <t>2185000,"8/28/2020","8/29/2020","CABA","VILLA DEL PARQUE","11","femenino","43","descartado","","no","",""</t>
  </si>
  <si>
    <t>5360838,"12/18/2020","12/18/2020","CABA","MATADEROS","9","femenino","41","confirmado","","no","","Comunitario"</t>
  </si>
  <si>
    <t>2143884,"8/27/2020","8/28/2020","CABA","CABALLITO","6","masculino","86","descartado","","no","",""</t>
  </si>
  <si>
    <t>1831720,"8/9/2020","8/9/2020","Buenos Aires","AVELLANEDA","","masculino","62","confirmado","","no","","Contacto"</t>
  </si>
  <si>
    <t>4399898,"11/12/2020","11/12/2020","CABA","CABALLITO","6","femenino","38","descartado","","no","",""</t>
  </si>
  <si>
    <t>4066356,"11/1/2020","11/4/2020","Buenos Aires","AVELLANEDA","","masculino","3","descartado","","no","",""</t>
  </si>
  <si>
    <t>4636983,"11/21/2020","11/21/2020","CABA","CHACARITA","15","masculino","15","confirmado","","no","11/21/2020","Comunitario"</t>
  </si>
  <si>
    <t>4609869,"11/19/2020","11/19/2020","CABA","RECOLETA","2","femenino","32","confirmado","","no","","Comunitario"</t>
  </si>
  <si>
    <t>1872439,"8/13/2020","8/15/2020","Buenos Aires","PILAR","","femenino","48","confirmado","","no","","Comunitario"</t>
  </si>
  <si>
    <t>1645903,"8/2/2020","8/2/2020","Buenos Aires","MORON","","masculino","45","confirmado","","no","","Contacto"</t>
  </si>
  <si>
    <t>2554971,"9/10/2020","9/11/2020","Buenos Aires","TRES DE FEBRERO","","masculino","25","confirmado","","no","","Comunitario"</t>
  </si>
  <si>
    <t>1698612,"8/5/2020","8/5/2020","CABA","PARQUE PATRICIOS","4","masculino","24","confirmado","","no","8/12/2020","Contacto"</t>
  </si>
  <si>
    <t>5432773,"12/20/2020","12/22/2020","CABA","SAN CRISTOBAL","3","femenino","99","confirmado","","no","1/5/2021","Comunitario"</t>
  </si>
  <si>
    <t>1987529,"8/19/2020","8/19/2020","CABA","VILLA URQUIZA","12","femenino","46","confirmado","","no","","Trabajador de la Salud"</t>
  </si>
  <si>
    <t>1438364,"7/20/2020","7/21/2020","Buenos Aires","SAN ISIDRO","","masculino","13","descartado","","no","",""</t>
  </si>
  <si>
    <t>2516373,"9/7/2020","9/10/2020","Buenos Aires","VICENTE LOPEZ","","masculino","48","confirmado","","no","","Comunitario"</t>
  </si>
  <si>
    <t>4804855,"11/27/2020","11/28/2020","Buenos Aires","HURLINGHAM","","masculino","8","descartado","","no","",""</t>
  </si>
  <si>
    <t>1133104,"6/18/2020","6/18/2020","Buenos Aires","AVELLANEDA","","masculino","62","descartado","","no","6/22/2020",""</t>
  </si>
  <si>
    <t>1873212,"8/13/2020","8/13/2020","Buenos Aires","QUILMES","","masculino","46","confirmado","","no","","Comunitario"</t>
  </si>
  <si>
    <t>1911754,"8/15/2020","8/17/2020","CABA","RECOLETA","2","masculino","31","confirmado","","no","","Comunitario"</t>
  </si>
  <si>
    <t>2673230,"9/17/2020","9/17/2020","Buenos Aires","PILAR","","femenino","12","descartado","","no","",""</t>
  </si>
  <si>
    <t>3683059,"10/22/2020","10/22/2020","CABA","CONSTITUCION","1","masculino","31","descartado","","no","",""</t>
  </si>
  <si>
    <t>1958371,"8/18/2020","8/18/2020","CABA","BARRACAS","4","femenino","33","confirmado","","no","8/25/2020","Contacto"</t>
  </si>
  <si>
    <t>5595790,"12/26/2020","12/26/2020","Buenos Aires","MORON","","femenino","21","descartado","","no","",""</t>
  </si>
  <si>
    <t>1924162,"11/25/2020","11/26/2020","CABA","VILLA CRESPO","15","masculino","30","confirmado","","no","","Comunitario"</t>
  </si>
  <si>
    <t>2257740,"8/31/2020","9/1/2020","CABA","BARRACAS","4","femenino","33","confirmado","","no","","En InvestigaciÃ³n"</t>
  </si>
  <si>
    <t>1449452,"7/2/2020","7/3/2020","Buenos Aires","SAN MARTIN","","femenino","39","confirmado","","no","","Comunitario"</t>
  </si>
  <si>
    <t>1427643,"7/20/2020","7/20/2020","CABA","RECOLETA","2","masculino","39","confirmado","","no","","Comunitario"</t>
  </si>
  <si>
    <t>1743733,"8/7/2020","8/8/2020","Buenos Aires","PILAR","","femenino","54","descartado","","no","",""</t>
  </si>
  <si>
    <t>3528733,"10/17/2020","10/18/2020","Buenos Aires","ALMIRANTE BROWN","","femenino","30","descartado","","no","",""</t>
  </si>
  <si>
    <t>1960705,"8/13/2020","8/13/2020","CABA","BALVANERA","3","femenino","40","confirmado","","no","","En InvestigaciÃ³n"</t>
  </si>
  <si>
    <t>2153924,"8/19/2020","8/19/2020","Buenos Aires","LOMAS DE ZAMORA","","masculino","25","confirmado","","no","","Comunitario"</t>
  </si>
  <si>
    <t>4974694,"12/2/2020","12/2/2020","Buenos Aires","TRES DE FEBRERO","","femenino","23","descartado","","no","",""</t>
  </si>
  <si>
    <t>1428084,"7/19/2020","7/21/2020","CABA","FLORES","7","masculino","13","confirmado","","no","8/3/2020","Comunitario"</t>
  </si>
  <si>
    <t>4374218,"11/12/2020","11/12/2020","Buenos Aires","QUILMES","","masculino","69","descartado","","no","",""</t>
  </si>
  <si>
    <t>3039174,"9/29/2020","9/30/2020","CABA","VILLA REAL","10","masculino","46","confirmado","","no","","Comunitario"</t>
  </si>
  <si>
    <t>1068823,"6/12/2020","6/12/2020","Buenos Aires","TRES DE FEBRERO","","masculino","38","descartado","","no","",""</t>
  </si>
  <si>
    <t>1295817,"7/8/2020","7/8/2020","CABA","VILLA LUGANO","8","femenino","21","descartado","","no","",""</t>
  </si>
  <si>
    <t>782845,"3/31/2020","4/2/2020","CABA","BELGRANO","13","masculino","6","descartado","","no","",""</t>
  </si>
  <si>
    <t>3373978,"10/14/2020","10/14/2020","CABA","VILLA SOLDATI","8","masculino","8","descartado","","no","",""</t>
  </si>
  <si>
    <t>1433363,"7/20/2020","7/20/2020","CABA","FLORES","7","masculino","24","descartado","","no","",""</t>
  </si>
  <si>
    <t>3537686,"10/18/2020","10/19/2020","CABA","NUÃ‘EZ","13","femenino","58","descartado","","no","",""</t>
  </si>
  <si>
    <t>897656,"5/8/2020","6/1/2020","CABA","RETIRO","1","masculino","31","confirmado","","no","5/19/2020","Contacto"</t>
  </si>
  <si>
    <t>2070006,"8/21/2020","8/21/2020","CABA","VILLA CRESPO","15","femenino","32","confirmado","","no","8/29/2020","Trabajador de la Salud"</t>
  </si>
  <si>
    <t>3914891,"10/29/2020","10/30/2020","Buenos Aires","MERLO","","masculino","21","confirmado","","no","","Comunitario"</t>
  </si>
  <si>
    <t>3257376,"10/8/2020","10/8/2020","Buenos Aires","AVELLANEDA","","masculino","45","sospechoso","","no","","En InvestigaciÃ³n"</t>
  </si>
  <si>
    <t>1068633,"6/12/2020","6/13/2020","CABA","ALMAGRO","5","femenino","78","confirmado","","no","6/25/2020","Comunitario"</t>
  </si>
  <si>
    <t>5172954,"12/12/2020","12/13/2020","CABA","BELGRANO","13","femenino","40","confirmado","","no","","Comunitario"</t>
  </si>
  <si>
    <t>3065606,"10/1/2020","10/2/2020","Buenos Aires","MORON","","femenino","30","descartado","","no","",""</t>
  </si>
  <si>
    <t>1911004,"8/16/2020","9/5/2020","CABA","BOEDO","5","masculino","49","confirmado","","no","","Comunitario"</t>
  </si>
  <si>
    <t>1471952,"7/22/2020","7/22/2020","CABA","RECOLETA","2","masculino","25","confirmado","","no","","En InvestigaciÃ³n"</t>
  </si>
  <si>
    <t>1224742,"7/1/2020","7/2/2020","CABA","FLORES","7","femenino","53","confirmado","","no","7/11/2020","Contacto"</t>
  </si>
  <si>
    <t>755713,"3/13/2020","3/13/2020","CABA","PALERMO","14","femenino","22","descartado","","no","",""</t>
  </si>
  <si>
    <t>3262287,"10/7/2020","10/7/2020","CABA","RETIRO","1","masculino","2","descartado","","no","",""</t>
  </si>
  <si>
    <t>4390483,"11/13/2020","11/13/2020","CABA","SAN NICOLAS","1","femenino","32","confirmado","","no","","En InvestigaciÃ³n"</t>
  </si>
  <si>
    <t>2431120,"9/7/2020","9/8/2020","CABA","PUERTO MADERO","1","femenino","47","confirmado","","no","","Comunitario"</t>
  </si>
  <si>
    <t>4758307,"11/25/2020","11/26/2020","CABA","BOCA","4","masculino","17","descartado","","no","",""</t>
  </si>
  <si>
    <t>4822846,"11/24/2020","11/24/2020","CABA","FLORES","7","femenino","25","descartado","","no","",""</t>
  </si>
  <si>
    <t>1442403,"7/20/2020","7/20/2020","CABA","VILLA SOLDATI","8","masculino","60","descartado","","no","",""</t>
  </si>
  <si>
    <t>2582398,"9/13/2020","9/13/2020","CABA","VILLA LUGANO","8","masculino","69","confirmado","","no","","Comunitario"</t>
  </si>
  <si>
    <t>1229128,"6/25/2020","6/25/2020","Buenos Aires","QUILMES","","masculino","28","confirmado","","no","7/8/2020","Comunitario"</t>
  </si>
  <si>
    <t>871834,"4/29/2020","4/30/2020","CABA","CABALLITO","6","masculino","78","descartado","","no","",""</t>
  </si>
  <si>
    <t>2121284,"8/26/2020","8/26/2020","CABA","NUÃ‘EZ","13","femenino","35","confirmado","","no","","Comunitario"</t>
  </si>
  <si>
    <t>2091844,"8/19/2020","8/20/2020","CABA","BALVANERA","3","masculino","29","confirmado","","no","","Comunitario"</t>
  </si>
  <si>
    <t>1285738,"7/7/2020","7/9/2020","CABA","PARQUE AVELLANEDA","9","masculino","29","confirmado","","no","7/14/2020","Contacto"</t>
  </si>
  <si>
    <t>2409315,"9/4/2020","9/6/2020","Buenos Aires","SAN MARTIN","","femenino","39","descartado","","no","",""</t>
  </si>
  <si>
    <t>2294629,"9/2/2020","9/2/2020","CABA","BALVANERA","3","femenino","28","descartado","","no","",""</t>
  </si>
  <si>
    <t>5460885,"12/19/2020","12/19/2020","CABA","PARQUE CHACABUCO","7","femenino","81","descartado","","no","",""</t>
  </si>
  <si>
    <t>5270324,"12/14/2020","12/14/2020","Buenos Aires","LOMAS DE ZAMORA","","masculino","25","confirmado","","no","","Comunitario"</t>
  </si>
  <si>
    <t>2050464,"8/20/2020","8/21/2020","Buenos Aires","TRES DE FEBRERO","","masculino","48","confirmado","","no","","Comunitario"</t>
  </si>
  <si>
    <t>4653695,"11/21/2020","11/22/2020","Buenos Aires","SAN ISIDRO","","femenino","51","descartado","","no","",""</t>
  </si>
  <si>
    <t>1132111,"6/20/2020","6/22/2020","CABA","VILLA LUGANO","8","masculino","46","confirmado","","no","7/1/2020","Contacto"</t>
  </si>
  <si>
    <t>3726912,"10/23/2020","10/23/2020","CABA","PARQUE AVELLANEDA","9","femenino","47","descartado","","no","",""</t>
  </si>
  <si>
    <t>2918348,"9/26/2020","10/4/2020","Buenos Aires","HURLINGHAM","","femenino","9","confirmado","","no","","Contacto"</t>
  </si>
  <si>
    <t>5607112,"12/26/2020","12/26/2020","CABA","RECOLETA","2","femenino","69","descartado","","no","",""</t>
  </si>
  <si>
    <t>3075090,"10/1/2020","10/2/2020","Buenos Aires","PILAR","","femenino","49","descartado","","no","",""</t>
  </si>
  <si>
    <t>4882261,"7/6/2020","7/6/2020","Buenos Aires","VICENTE LOPEZ","","masculino","54","descartado","","no","",""</t>
  </si>
  <si>
    <t>5013907,"12/4/2020","12/4/2020","Buenos Aires","SAN ISIDRO","","masculino","81","descartado","","no","12/5/2020",""</t>
  </si>
  <si>
    <t>1179089,"8/10/2020","8/12/2020","Buenos Aires","QUILMES","","masculino","43","confirmado","","no","","Trabajador de la Salud"</t>
  </si>
  <si>
    <t>3249689,"10/8/2020","10/8/2020","CABA","BELGRANO","13","masculino","48","confirmado","","no","","Comunitario"</t>
  </si>
  <si>
    <t>3653742,"10/21/2020","10/21/2020","Buenos Aires","TRES DE FEBRERO","","femenino","70","sospechoso","","no","","En InvestigaciÃ³n"</t>
  </si>
  <si>
    <t>2664624,"9/16/2020","9/16/2020","CABA","BALVANERA","3","masculino","51","sospechoso","","no","","En InvestigaciÃ³n"</t>
  </si>
  <si>
    <t>5532989,"12/22/2020","12/22/2020","CABA","RECOLETA","2","masculino","50","descartado","","no","",""</t>
  </si>
  <si>
    <t>3285954,"10/7/2020","10/7/2020","Buenos Aires","PILAR","","masculino","36","confirmado","","no","","Comunitario"</t>
  </si>
  <si>
    <t>4483478,"11/16/2020","11/17/2020","CABA","FLORES","7","femenino","96","descartado","","no","",""</t>
  </si>
  <si>
    <t>1919843,"5/20/2020","5/20/2020","CABA","PUERTO MADERO","1","masculino","38","descartado","","no","",""</t>
  </si>
  <si>
    <t>1508549,"7/24/2020","7/26/2020","CABA","VILLA CRESPO","15","masculino","53","confirmado","","no","","Comunitario"</t>
  </si>
  <si>
    <t>2534387,"9/11/2020","9/22/2020","CABA","VILLA URQUIZA","12","femenino","42","confirmado","","no","","Comunitario"</t>
  </si>
  <si>
    <t>3612652,"10/19/2020","10/20/2020","CABA","PARQUE AVELLANEDA","9","masculino","22","descartado","","no","",""</t>
  </si>
  <si>
    <t>2188645,"8/27/2020","8/28/2020","Buenos Aires","MORON","","femenino","42","confirmado","","no","","Comunitario"</t>
  </si>
  <si>
    <t>2925637,"9/25/2020","9/26/2020","Buenos Aires","PILAR","","masculino","64","confirmado","","no","","Comunitario"</t>
  </si>
  <si>
    <t>1373565,"7/15/2020","7/15/2020","CABA","ALMAGRO","5","masculino","14","descartado","","no","",""</t>
  </si>
  <si>
    <t>983487,"5/26/2020","5/28/2020","Buenos Aires","QUILMES","","femenino","39","descartado","","no","",""</t>
  </si>
  <si>
    <t>1637731,"8/1/2020","8/1/2020","Buenos Aires","AVELLANEDA","","femenino","41","confirmado","","no","8/1/2020","Trabajador de la Salud"</t>
  </si>
  <si>
    <t>2680341,"9/16/2020","9/17/2020","CABA","BALVANERA","3","masculino","35","descartado","","no","",""</t>
  </si>
  <si>
    <t>3539021,"10/14/2020","10/14/2020","Buenos Aires","AVELLANEDA","","femenino","27","descartado","","no","",""</t>
  </si>
  <si>
    <t>1452590,"7/21/2020","7/21/2020","Buenos Aires","SAN MARTIN","","femenino","50","sospechoso","","no","","En InvestigaciÃ³n"</t>
  </si>
  <si>
    <t>1119507,"6/19/2020","6/19/2020","CABA","RECOLETA","2","masculino","32","confirmado","","no","","En InvestigaciÃ³n"</t>
  </si>
  <si>
    <t>1538615,"7/27/2020","7/27/2020","Buenos Aires","ALMIRANTE BROWN","","femenino","19","descartado","","no","",""</t>
  </si>
  <si>
    <t>1863629,"8/11/2020","8/13/2020","Buenos Aires","LOMAS DE ZAMORA","","masculino","66","confirmado","","no","","Comunitario"</t>
  </si>
  <si>
    <t>5253377,"12/10/2020","12/10/2020","CABA","VILLA SANTA RITA","11","femenino","61","descartado","","no","",""</t>
  </si>
  <si>
    <t>2229069,"8/30/2020","8/30/2020","CABA","VILLA LUGANO","8","masculino","57","descartado","","no","",""</t>
  </si>
  <si>
    <t>1225620,"7/1/2020","7/1/2020","CABA","PARQUE AVELLANEDA","9","femenino","74","confirmado","","no","7/8/2020","Contacto"</t>
  </si>
  <si>
    <t>5069066,"12/8/2020","12/9/2020","Buenos Aires","SAN MARTIN","","femenino","31","descartado","","no","",""</t>
  </si>
  <si>
    <t>5369289,"12/17/2020","12/17/2020","CABA","ALMAGRO","5","masculino","43","confirmado","","no","12/20/2020","Comunitario"</t>
  </si>
  <si>
    <t>1227276,"6/30/2020","7/5/2020","Buenos Aires","CAMPANA","","masculino","36","confirmado","","no","","Trabajador de la Salud"</t>
  </si>
  <si>
    <t>1461279,"7/21/2020","7/22/2020","Buenos Aires","LOMAS DE ZAMORA","","femenino","44","confirmado","","no","7/28/2020","Comunitario"</t>
  </si>
  <si>
    <t>5497891,"12/18/2020","12/18/2020","CABA","RECOLETA","2","femenino","37","descartado","","no","",""</t>
  </si>
  <si>
    <t>1187943,"6/26/2020","6/26/2020","CABA","NUEVA POMPEYA","4","femenino","27","confirmado","","no","7/6/2020","Contacto"</t>
  </si>
  <si>
    <t>1438346,"7/20/2020","7/20/2020","CABA","SAN TELMO","1","masculino","7","descartado","","no","",""</t>
  </si>
  <si>
    <t>3955031,"10/30/2020","10/31/2020","CABA","FLORESTA","10","femenino","88","descartado","","no","",""</t>
  </si>
  <si>
    <t>5182531,"12/9/2020","12/9/2020","CABA","VILLA DEVOTO","11","masculino","26","confirmado","","no","","Comunitario"</t>
  </si>
  <si>
    <t>5473247,"12/21/2020","12/21/2020","TucumÃ¡n","SAN MIGUEL DE TUCUMAN","","masculino","13","descartado","","no","",""</t>
  </si>
  <si>
    <t>1957864,"8/18/2020","8/18/2020","CABA","BARRACAS","4","femenino","30","confirmado","","no","8/19/2020","Comunitario"</t>
  </si>
  <si>
    <t>1237215,"7/2/2020","7/2/2020","CABA","BOCA","4","femenino","44","confirmado","","no","","Contacto"</t>
  </si>
  <si>
    <t>1472503,"7/22/2020","7/22/2020","CABA","PARQUE PATRICIOS","4","masculino","13","confirmado","","no","","Contacto"</t>
  </si>
  <si>
    <t>1472893,"7/22/2020","7/22/2020","CABA","BARRACAS","4","femenino","9","confirmado","","no","","Contacto"</t>
  </si>
  <si>
    <t>1472985,"7/22/2020","7/22/2020","CABA","BARRACAS","4","femenino","13","confirmado","","no","","En InvestigaciÃ³n"</t>
  </si>
  <si>
    <t>1473117,"7/22/2020","7/22/2020","CABA","VILLA LUGANO","8","femenino","22","confirmado","","no","","Contacto"</t>
  </si>
  <si>
    <t>1473119,"7/22/2020","7/22/2020","CABA","VILLA LUGANO","8","femenino","43","confirmado","","no","","Contacto"</t>
  </si>
  <si>
    <t>1473177,"7/22/2020","7/22/2020","CABA","PARQUE AVELLANEDA","9","femenino","44","confirmado","","no","","Contacto"</t>
  </si>
  <si>
    <t>1473249,"7/22/2020","7/22/2020","CABA","BARRACAS","4","femenino","40","confirmado","","no","","Contacto"</t>
  </si>
  <si>
    <t>1473418,"7/22/2020","7/22/2020","CABA","PARQUE AVELLANEDA","9","masculino","21","confirmado","","no","","Contacto"</t>
  </si>
  <si>
    <t>1473496,"7/22/2020","7/22/2020","CABA","RETIRO","1","femenino","45","confirmado","","no","","Contacto"</t>
  </si>
  <si>
    <t>1473561,"7/22/2020","7/22/2020","CABA","PARQUE AVELLANEDA","9","femenino","19","confirmado","","no","","Contacto"</t>
  </si>
  <si>
    <t>1473572,"7/22/2020","7/23/2020","CABA","PALERMO","14","masculino","32","confirmado","","no","","Contacto"</t>
  </si>
  <si>
    <t>1473587,"7/22/2020","7/22/2020","CABA","PALERMO","14","femenino","67","confirmado","","no","","Contacto"</t>
  </si>
  <si>
    <t>1473626,"7/22/2020","7/23/2020","CABA","NUEVA POMPEYA","4","masculino","22","confirmado","","no","","Comunitario"</t>
  </si>
  <si>
    <t>1473687,"7/22/2020","7/22/2020","CABA","VILLA LUGANO","8","masculino","19","confirmado","","no","","Contacto"</t>
  </si>
  <si>
    <t>1473713,"7/22/2020","7/22/2020","CABA","BARRACAS","4","masculino","2","confirmado","","no","","En InvestigaciÃ³n"</t>
  </si>
  <si>
    <t>1473761,"7/22/2020","7/22/2020","CABA","NUEVA POMPEYA","4","femenino","26","confirmado","","no","","En InvestigaciÃ³n"</t>
  </si>
  <si>
    <t>1473899,"7/22/2020","7/22/2020","CABA","MATADEROS","9","femenino","32","confirmado","","no","","Contacto"</t>
  </si>
  <si>
    <t>1473945,"7/22/2020","7/22/2020","CABA","BARRACAS","4","masculino","25","confirmado","","no","","Comunitario"</t>
  </si>
  <si>
    <t>1473963,"7/22/2020","7/22/2020","CABA","MATADEROS","9","masculino","4","confirmado","","no","","Contacto"</t>
  </si>
  <si>
    <t>1474025,"7/22/2020","7/22/2020","CABA","MATADEROS","9","femenino","5","confirmado","","no","","Contacto"</t>
  </si>
  <si>
    <t>1474055,"7/22/2020","7/22/2020","CABA","MATADEROS","9","femenino","16","confirmado","","no","","Contacto"</t>
  </si>
  <si>
    <t>1474217,"7/22/2020","7/22/2020","CABA","VILLA LUGANO","8","masculino","54","confirmado","","no","","Contacto"</t>
  </si>
  <si>
    <t>1474569,"7/22/2020","7/23/2020","CABA","CONSTITUCION","1","femenino","43","confirmado","","no","","Comunitario"</t>
  </si>
  <si>
    <t>1474622,"7/22/2020","7/23/2020","CABA","CONSTITUCION","1","masculino","33","confirmado","","no","","En InvestigaciÃ³n"</t>
  </si>
  <si>
    <t>1474799,"7/22/2020","7/22/2020","CABA","VILLA LUGANO","8","femenino","3","confirmado","","no","","Contacto"</t>
  </si>
  <si>
    <t>1474839,"7/22/2020","7/22/2020","Buenos Aires","LOMAS DE ZAMORA","","femenino","51","confirmado","","no","","Contacto"</t>
  </si>
  <si>
    <t>1474844,"7/22/2020","7/22/2020","CABA","VILLA LUGANO","8","masculino","23","confirmado","","no","","Contacto"</t>
  </si>
  <si>
    <t>1474851,"7/22/2020","7/22/2020","CABA","PARQUE AVELLANEDA","9","femenino","4","confirmado","","no","","Contacto"</t>
  </si>
  <si>
    <t>1474899,"7/22/2020","7/22/2020","CABA","PARQUE AVELLANEDA","9","femenino","9","confirmado","","no","","Contacto"</t>
  </si>
  <si>
    <t>1474906,"7/22/2020","7/22/2020","CABA","VILLA LUGANO","8","masculino","36","confirmado","","no","","Contacto"</t>
  </si>
  <si>
    <t>1474945,"7/22/2020","7/22/2020","CABA","VILLA LUGANO","8","femenino","13","confirmado","","no","","Contacto"</t>
  </si>
  <si>
    <t>1474970,"7/22/2020","7/23/2020","Buenos Aires","SAN MARTIN","","masculino","28","confirmado","","no","","En InvestigaciÃ³n"</t>
  </si>
  <si>
    <t>1577329,"7/29/2020","7/29/2020","CABA","BALVANERA","3","masculino","51","confirmado","","no","","Contacto"</t>
  </si>
  <si>
    <t>1578681,"7/27/2020","7/27/2020","Buenos Aires","LA PLATA","","masculino","19","confirmado","","no","","Contacto"</t>
  </si>
  <si>
    <t>1583480,"7/29/2020","7/30/2020","Buenos Aires","LOMAS DE ZAMORA","","femenino","74","confirmado","","no","","Comunitario"</t>
  </si>
  <si>
    <t>1587585,"7/29/2020","7/29/2020","CABA","BARRACAS","4","masculino","29","confirmado","","no","","En InvestigaciÃ³n"</t>
  </si>
  <si>
    <t>1593451,"7/30/2020","7/30/2020","Buenos Aires","CAMPANA","","masculino","39","confirmado","","no","","En InvestigaciÃ³n"</t>
  </si>
  <si>
    <t>1594038,"7/30/2020","7/31/2020","CABA","VILLA LUGANO","8","femenino","35","confirmado","","no","","Contacto"</t>
  </si>
  <si>
    <t>1598651,"7/30/2020","7/30/2020","Buenos Aires","HURLINGHAM","","femenino","2","confirmado","","no","","Contacto"</t>
  </si>
  <si>
    <t>1600046,"7/30/2020","7/30/2020","CABA","BOEDO","5","femenino","28","confirmado","","no","","Contacto"</t>
  </si>
  <si>
    <t>1602654,"7/30/2020","7/30/2020","CABA","BARRACAS","4","masculino","5","confirmado","","no","","Comunitario"</t>
  </si>
  <si>
    <t>1603792,"7/30/2020","7/30/2020","CABA","BARRACAS","4","femenino","22","confirmado","","no","","En InvestigaciÃ³n"</t>
  </si>
  <si>
    <t>1605413,"7/30/2020","7/30/2020","CABA","BALVANERA","3","femenino","23","confirmado","","no","","Comunitario"</t>
  </si>
  <si>
    <t>1606834,"7/31/2020","7/31/2020","CABA","SAN TELMO","1","masculino","40","confirmado","","no","","En InvestigaciÃ³n"</t>
  </si>
  <si>
    <t>1607302,"7/30/2020","7/31/2020","Buenos Aires","VICENTE LOPEZ","","femenino","38","confirmado","","no","","En InvestigaciÃ³n"</t>
  </si>
  <si>
    <t>1611228,"7/31/2020","7/31/2020","Buenos Aires","SAN ISIDRO","","masculino","30","confirmado","","no","","Contacto"</t>
  </si>
  <si>
    <t>1613039,"7/17/2020","7/17/2020","CABA","MONTE CASTRO","10","femenino","44","confirmado","","no","","Trabajador de la Salud"</t>
  </si>
  <si>
    <t>1613466,"7/31/2020","7/31/2020","CABA","VILLA LUGANO","8","femenino","24","confirmado","","no","","En InvestigaciÃ³n"</t>
  </si>
  <si>
    <t>1614601,"8/9/2020","8/11/2020","Buenos Aires","LOMAS DE ZAMORA","","masculino","37","confirmado","","no","","Comunitario"</t>
  </si>
  <si>
    <t>1616923,"8/10/2020","8/10/2020","CABA","CONSTITUCION","1","femenino","50","confirmado","","no","","Contacto"</t>
  </si>
  <si>
    <t>1616960,"8/12/2020","8/13/2020","Buenos Aires","SAN MARTIN","","masculino","80","confirmado","","no","","Comunitario"</t>
  </si>
  <si>
    <t>1622494,"7/31/2020","7/31/2020","CABA","NUEVA POMPEYA","4","femenino","65","confirmado","","no","","Contacto"</t>
  </si>
  <si>
    <t>1622508,"7/31/2020","7/31/2020","CABA","NUEVA POMPEYA","4","masculino","21","confirmado","","no","","Contacto"</t>
  </si>
  <si>
    <t>1623283,"7/31/2020","7/31/2020","Chaco","RESISTENCIA","","masculino","28","confirmado","","no","","Contacto"</t>
  </si>
  <si>
    <t>1623328,"7/31/2020","7/31/2020","Buenos Aires","ALMIRANTE BROWN","","masculino","30","confirmado","","no","","Comunitario"</t>
  </si>
  <si>
    <t>1623532,"7/31/2020","7/31/2020","CABA","VILLA LUGANO","8","masculino","28","confirmado","","no","","En InvestigaciÃ³n"</t>
  </si>
  <si>
    <t>1623690,"7/31/2020","7/31/2020","CABA","VILLA URQUIZA","12","masculino","50","confirmado","","no","","Trabajador de la Salud"</t>
  </si>
  <si>
    <t>1627459,"7/31/2020","7/31/2020","Buenos Aires","AVELLANEDA","","masculino","35","confirmado","","no","","Contacto"</t>
  </si>
  <si>
    <t>1631809,"8/1/2020","8/2/2020","CABA","PARQUE CHACABUCO","7","masculino","42","confirmado","","no","","Comunitario"</t>
  </si>
  <si>
    <t>1631876,"7/31/2020","7/31/2020","CABA","PARQUE PATRICIOS","4","masculino","31","confirmado","","no","","Comunitario"</t>
  </si>
  <si>
    <t>1635708,"8/1/2020","8/1/2020","Buenos Aires","QUILMES","","femenino","23","confirmado","","no","","Contacto"</t>
  </si>
  <si>
    <t>1635722,"8/1/2020","8/1/2020","Buenos Aires","MORON","","masculino","19","confirmado","","no","","Contacto"</t>
  </si>
  <si>
    <t>1637731,"8/1/2020","8/1/2020","Buenos Aires","LA PLATA","","femenino","41","confirmado","","no","","Trabajador de la Salud"</t>
  </si>
  <si>
    <t>1657706,"8/3/2020","8/3/2020","CABA","FLORES","7","masculino","91","confirmado","","no","","Comunitario"</t>
  </si>
  <si>
    <t>1668187,"8/1/2020","8/1/2020","Buenos Aires","MALVINAS ARGENTINAS","","femenino","38","confirmado","","no","","Contacto"</t>
  </si>
  <si>
    <t>1671941,"8/4/2020","8/4/2020","Buenos Aires","TRES DE FEBRERO","","femenino","53","confirmado","","no","","Comunitario"</t>
  </si>
  <si>
    <t>1811562,"7/28/2020","7/28/2020","CABA","RECOLETA","2","masculino","17","confirmado","","no","","En InvestigaciÃ³n"</t>
  </si>
  <si>
    <t>1411295,"5/9/2020","5/9/2020","CABA","NUEVA POMPEYA","4","femenino","80","confirmado","","no","","Contacto"</t>
  </si>
  <si>
    <t>1411590,"7/17/2020","7/17/2020","Buenos Aires","AVELLANEDA","","femenino","34","confirmado","","no","","Comunitario"</t>
  </si>
  <si>
    <t>1412629,"7/17/2020","7/17/2020","CABA","VILLA DEVOTO","11","femenino","67","confirmado","","no","","Comunitario"</t>
  </si>
  <si>
    <t>1412705,"7/17/2020","7/17/2020","CABA","CABALLITO","6","masculino","23","confirmado","","no","","Contacto"</t>
  </si>
  <si>
    <t>1417246,"7/18/2020","7/18/2020","CABA","RECOLETA","2","masculino","95","confirmado","","no","","Contacto"</t>
  </si>
  <si>
    <t>1417294,"7/18/2020","7/18/2020","CABA","BALVANERA","3","femenino","89","confirmado","","no","","Contacto"</t>
  </si>
  <si>
    <t>1417301,"7/18/2020","7/18/2020","Buenos Aires","PILAR","","femenino","60","confirmado","","no","","En InvestigaciÃ³n"</t>
  </si>
  <si>
    <t>1417450,"7/18/2020","7/18/2020","CABA","CONSTITUCION","1","femenino","6","confirmado","","no","","Comunitario"</t>
  </si>
  <si>
    <t>1417259,"7/18/2020","7/18/2020","CABA","MATADEROS","9","masculino","73","confirmado","","no","","En InvestigaciÃ³n"</t>
  </si>
  <si>
    <t>1417307,"7/18/2020","7/18/2020","CABA","VILLA SANTA RITA","11","femenino","86","confirmado","","no","","Comunitario"</t>
  </si>
  <si>
    <t>1417601,"7/18/2020","7/19/2020","CABA","VILLA URQUIZA","12","femenino","24","confirmado","","no","","Contacto"</t>
  </si>
  <si>
    <t>1417609,"7/18/2020","7/19/2020","CABA","VILLA URQUIZA","12","femenino","55","confirmado","","no","","Contacto"</t>
  </si>
  <si>
    <t>1418777,"7/27/2020","7/27/2020","CABA","FLORESTA","10","femenino","47","confirmado","","no","","Contacto"</t>
  </si>
  <si>
    <t>1420896,"7/18/2020","7/18/2020","CABA","FLORES","7","femenino","82","confirmado","","no","","Comunitario"</t>
  </si>
  <si>
    <t>1421409,"7/17/2020","7/19/2020","Buenos Aires","HURLINGHAM","","masculino","39","confirmado","","no","","Comunitario"</t>
  </si>
  <si>
    <t>1421608,"7/19/2020","7/19/2020","CABA","CHACARITA","15","femenino","75","confirmado","","no","","Contacto"</t>
  </si>
  <si>
    <t>1421956,"7/17/2020","7/18/2020","Buenos Aires","MORON","","masculino","51","confirmado","","no","","Comunitario"</t>
  </si>
  <si>
    <t>1422301,"7/19/2020","7/19/2020","CABA","CONSTITUCION","1","femenino","26","confirmado","","no","","Contacto"</t>
  </si>
  <si>
    <t>1422744,"7/19/2020","7/19/2020","CABA","BARRACAS","4","masculino","35","confirmado","","no","","Comunitario"</t>
  </si>
  <si>
    <t>1424056,"7/19/2020","7/19/2020","CABA","SAN TELMO","1","masculino","30","confirmado","","no","","Comunitario"</t>
  </si>
  <si>
    <t>1425806,"7/19/2020","7/19/2020","CABA","VILLA SOLDATI","8","femenino","29","confirmado","","no","","Contacto"</t>
  </si>
  <si>
    <t>1425847,"7/19/2020","7/19/2020","CABA","BARRACAS","4","masculino","30","confirmado","","no","","Contacto"</t>
  </si>
  <si>
    <t>1426129,"7/19/2020","7/19/2020","CABA","VILLA LUGANO","8","femenino","83","confirmado","","no","","Comunitario"</t>
  </si>
  <si>
    <t>1426154,"7/19/2020","7/19/2020","CABA","VILLA LUGANO","8","masculino","53","confirmado","","no","","En InvestigaciÃ³n"</t>
  </si>
  <si>
    <t>1426363,"7/19/2020","7/19/2020","Buenos Aires","HURLINGHAM","","femenino","62","confirmado","","no","","Contacto"</t>
  </si>
  <si>
    <t>1426777,"7/19/2020","7/19/2020","Buenos Aires","LOMAS DE ZAMORA","","femenino","53","confirmado","","no","","En InvestigaciÃ³n"</t>
  </si>
  <si>
    <t>1429748,"7/17/2020","7/18/2020","Buenos Aires","HURLINGHAM","","masculino","26","confirmado","","no","","Comunitario"</t>
  </si>
  <si>
    <t>1431239,"7/19/2020","7/20/2020","CABA","SAN CRISTOBAL","3","masculino","81","confirmado","","no","","Comunitario"</t>
  </si>
  <si>
    <t>1433328,"7/20/2020","7/20/2020","Buenos Aires","AVELLANEDA","","masculino","43","confirmado","","no","","Comunitario"</t>
  </si>
  <si>
    <t>1433418,"7/20/2020","7/20/2020","Buenos Aires","MORON","","femenino","19","confirmado","","no","","Contacto"</t>
  </si>
  <si>
    <t>1433952,"7/20/2020","7/22/2020","CABA","RETIRO","1","femenino","66","confirmado","","no","","Trabajador de la Salud"</t>
  </si>
  <si>
    <t>1434937,"7/20/2020","7/20/2020","Buenos Aires","HURLINGHAM","","masculino","28","confirmado","","no","","Contacto"</t>
  </si>
  <si>
    <t>1435214,"7/20/2020","7/21/2020","CABA","LINIERS","9","masculino","47","confirmado","","no","","Contacto"</t>
  </si>
  <si>
    <t>1459357,"7/21/2020","7/21/2020","CABA","AGRONOMIA","15","masculino","30","confirmado","","no","","Comunitario"</t>
  </si>
  <si>
    <t>1459367,"7/21/2020","7/21/2020","CABA","LINIERS","9","masculino","6","confirmado","","no","","Contacto"</t>
  </si>
  <si>
    <t>1459378,"7/21/2020","7/21/2020","CABA","VILLA LUGANO","8","masculino","17","confirmado","","no","","Contacto"</t>
  </si>
  <si>
    <t>1459501,"7/21/2020","7/21/2020","CABA","FLORES","7","masculino","3","confirmado","","no","","Comunitario"</t>
  </si>
  <si>
    <t>1459507,"7/21/2020","7/21/2020","CABA","VILLA LUGANO","8","masculino","24","confirmado","","no","","Contacto"</t>
  </si>
  <si>
    <t>1459579,"7/21/2020","7/22/2020","CABA","FLORES","7","masculino","5","confirmado","","no","","En InvestigaciÃ³n"</t>
  </si>
  <si>
    <t>1459608,"7/21/2020","7/22/2020","Buenos Aires","LANUS","","masculino","40","confirmado","","no","","Comunitario"</t>
  </si>
  <si>
    <t>1459625,"7/21/2020","7/22/2020","Buenos Aires","PILAR","","masculino","7","confirmado","","no","","Contacto"</t>
  </si>
  <si>
    <t>1459628,"7/21/2020","7/22/2020","Buenos Aires","HURLINGHAM","","masculino","13","confirmado","","no","","Comunitario"</t>
  </si>
  <si>
    <t>1459633,"7/21/2020","7/22/2020","Buenos Aires","AVELLANEDA","","masculino","16","confirmado","","no","","Comunitario"</t>
  </si>
  <si>
    <t>1459636,"7/21/2020","7/22/2020","Buenos Aires","LOMAS DE ZAMORA","","masculino","18","confirmado","","no","","Contacto"</t>
  </si>
  <si>
    <t>1461616,"7/21/2020","7/21/2020","CABA","BALVANERA","3","masculino","29","confirmado","","no","","Comunitario"</t>
  </si>
  <si>
    <t>1461724,"7/21/2020","7/22/2020","CABA","MONSERRAT","1","masculino","21","confirmado","","no","","Contacto"</t>
  </si>
  <si>
    <t>1461785,"7/23/2020","7/23/2020","CABA","PARQUE CHAS","15","masculino","39","confirmado","","no","","Comunitario"</t>
  </si>
  <si>
    <t>1461858,"7/22/2020","7/22/2020","CABA","BALVANERA","3","femenino","21","confirmado","","no","","Contacto"</t>
  </si>
  <si>
    <t>1462179,"7/21/2020","7/21/2020","CABA","FLORES","7","femenino","55","confirmado","","no","","En InvestigaciÃ³n"</t>
  </si>
  <si>
    <t>1462258,"7/21/2020","7/21/2020","CABA","VILLA SOLDATI","8","femenino","44","confirmado","","no","","Trabajador de la Salud"</t>
  </si>
  <si>
    <t>1463089,"7/22/2020","7/22/2020","Buenos Aires","HURLINGHAM","","femenino","44","confirmado","","no","","Comunitario"</t>
  </si>
  <si>
    <t>1463150,"7/18/2020","7/18/2020","CABA","VILLA DEVOTO","11","masculino","69","confirmado","","no","","Comunitario"</t>
  </si>
  <si>
    <t>1464050,"7/21/2020","7/21/2020","CABA","VILLA LURO","10","femenino","62","confirmado","","no","","Contacto"</t>
  </si>
  <si>
    <t>1464680,"7/21/2020","7/21/2020","CABA","SAAVEDRA","12","masculino","55","confirmado","","no","","En InvestigaciÃ³n"</t>
  </si>
  <si>
    <t>1465180,"7/22/2020","7/22/2020","Buenos Aires","AVELLANEDA","","femenino","42","confirmado","","no","","Comunitario"</t>
  </si>
  <si>
    <t>1465423,"7/22/2020","7/23/2020","CABA","CABALLITO","6","femenino","84","confirmado","","no","","En InvestigaciÃ³n"</t>
  </si>
  <si>
    <t>1466405,"7/21/2020","7/21/2020","CABA","VILLA LUGANO","8","femenino","57","confirmado","","no","","Contacto"</t>
  </si>
  <si>
    <t>1467107,"7/21/2020","7/21/2020","CABA","VILLA LUGANO","8","femenino","9","confirmado","","no","","Contacto"</t>
  </si>
  <si>
    <t>1467160,"7/21/2020","7/21/2020","Buenos Aires","LOMAS DE ZAMORA","","femenino","2","confirmado","","no","","Comunitario"</t>
  </si>
  <si>
    <t>1467183,"7/21/2020","7/21/2020","CABA","VILLA LUGANO","8","femenino","38","confirmado","","no","","Contacto"</t>
  </si>
  <si>
    <t>1467198,"7/22/2020","7/22/2020","Buenos Aires","HURLINGHAM","","masculino","64","confirmado","","no","","Contacto"</t>
  </si>
  <si>
    <t>1467249,"7/21/2020","7/21/2020","CABA","VILLA LUGANO","8","femenino","36","confirmado","","no","","Contacto"</t>
  </si>
  <si>
    <t>1467305,"7/21/2020","7/21/2020","CABA","VILLA LUGANO","8","femenino","66","confirmado","","no","","Contacto"</t>
  </si>
  <si>
    <t>1467602,"7/21/2020","7/21/2020","CABA","FLORES","7","masculino","5","confirmado","","no","","En InvestigaciÃ³n"</t>
  </si>
  <si>
    <t>1467689,"7/21/2020","7/21/2020","CABA","PARQUE AVELLANEDA","9","femenino","22","confirmado","","no","","Comunitario"</t>
  </si>
  <si>
    <t>1467747,"7/21/2020","7/21/2020","CABA","VILLA LUGANO","8","femenino","20","confirmado","","no","","Contacto"</t>
  </si>
  <si>
    <t>1517188,"7/22/2020","7/23/2020","Buenos Aires","HURLINGHAM","","femenino","41","confirmado","","no","","Comunitario"</t>
  </si>
  <si>
    <t>1517338,"7/25/2020","7/25/2020","CABA","PARQUE PATRICIOS","4","femenino","2","confirmado","","no","","Comunitario"</t>
  </si>
  <si>
    <t>1518167,"7/25/2020","7/26/2020","CABA","VELEZ SARSFIELD","10","femenino","34","confirmado","","no","","Contacto"</t>
  </si>
  <si>
    <t>1518476,"7/24/2020","7/25/2020","Buenos Aires","PILAR","","femenino","24","confirmado","","no","","Contacto"</t>
  </si>
  <si>
    <t>1518521,"7/25/2020","7/25/2020","CABA","RETIRO","1","masculino","36","confirmado","","no","","Comunitario"</t>
  </si>
  <si>
    <t>1518741,"7/24/2020","7/24/2020","Buenos Aires","HURLINGHAM","","femenino","45","confirmado","","no","","En InvestigaciÃ³n"</t>
  </si>
  <si>
    <t>1518829,"7/24/2020","7/24/2020","CABA","BOCA","4","masculino","26","confirmado","","no","","Contacto"</t>
  </si>
  <si>
    <t>1518955,"7/25/2020","7/25/2020","CABA","CONSTITUCION","1","masculino","52","confirmado","","no","","Contacto"</t>
  </si>
  <si>
    <t>1519377,"7/28/2020","7/28/2020","CABA","NUEVA POMPEYA","4","masculino","39","confirmado","","no","","Trabajador de la Salud"</t>
  </si>
  <si>
    <t>1521264,"7/25/2020","7/26/2020","CABA","FLORESTA","10","femenino","45","confirmado","","no","","En InvestigaciÃ³n"</t>
  </si>
  <si>
    <t>1522134,"7/24/2020","7/24/2020","Buenos Aires","LOMAS DE ZAMORA","","masculino","30","confirmado","","no","","En InvestigaciÃ³n"</t>
  </si>
  <si>
    <t>1522593,"7/22/2020","7/22/2020","CABA","LINIERS","9","femenino","50","confirmado","","no","","Comunitario"</t>
  </si>
  <si>
    <t>1527363,"7/25/2020","7/25/2020","Buenos Aires","MORON","","femenino","35","confirmado","","no","","Comunitario"</t>
  </si>
  <si>
    <t>1527412,"7/26/2020","7/27/2020","CABA","CONSTITUCION","1","masculino","44","confirmado","","no","","Comunitario"</t>
  </si>
  <si>
    <t>1529244,"7/25/2020","7/27/2020","Buenos Aires","HURLINGHAM","","masculino","34","confirmado","","no","","Comunitario"</t>
  </si>
  <si>
    <t>1529611,"7/26/2020","7/26/2020","CABA","PALERMO","14","femenino","34","confirmado","","no","","Contacto"</t>
  </si>
  <si>
    <t>1530690,"7/24/2020","7/25/2020","CABA","ALMAGRO","5","masculino","26","confirmado","","no","","Contacto"</t>
  </si>
  <si>
    <t>1532192,"7/25/2020","7/25/2020","CABA","ALMAGRO","5","femenino","33","confirmado","","no","","Comunitario"</t>
  </si>
  <si>
    <t>1533450,"7/27/2020","7/27/2020","Buenos Aires","LANUS","","masculino","82","confirmado","","no","","Comunitario"</t>
  </si>
  <si>
    <t>1535773,"7/27/2020","7/28/2020","CABA","BALVANERA","3","masculino","32","confirmado","","no","","En InvestigaciÃ³n"</t>
  </si>
  <si>
    <t>1542607,"7/27/2020","7/27/2020","CABA","CABALLITO","6","masculino","54","confirmado","","no","","Contacto"</t>
  </si>
  <si>
    <t>1542797,"7/27/2020","7/28/2020","CABA","RECOLETA","2","femenino","57","confirmado","","no","","Comunitario"</t>
  </si>
  <si>
    <t>1548445,"7/27/2020","7/30/2020","CABA","NUEVA POMPEYA","4","femenino","90","confirmado","","no","","Contacto"</t>
  </si>
  <si>
    <t>1549914,"7/27/2020","7/27/2020","CABA","FLORES","7","masculino","28","confirmado","","no","","Contacto"</t>
  </si>
  <si>
    <t>1557240,"7/31/2020","7/31/2020","Buenos Aires","HURLINGHAM","","femenino","37","confirmado","","no","","Contacto"</t>
  </si>
  <si>
    <t>1559938,"7/28/2020","7/29/2020","Buenos Aires","HURLINGHAM","","femenino","33","confirmado","","no","","Contacto"</t>
  </si>
  <si>
    <t>1560017,"7/27/2020","7/27/2020","Buenos Aires","LOMAS DE ZAMORA","","femenino","21","confirmado","","no","","Comunitario"</t>
  </si>
  <si>
    <t>1560122,"7/28/2020","7/28/2020","CABA","BARRACAS","4","femenino","50","confirmado","","no","","Trabajador de la Salud"</t>
  </si>
  <si>
    <t>1563823,"7/28/2020","7/28/2020","CABA","BARRACAS","4","femenino","33","confirmado","","no","","Contacto"</t>
  </si>
  <si>
    <t>1565033,"7/27/2020","7/27/2020","CABA","VILLA DEVOTO","11","femenino","42","confirmado","","no","","Comunitario"</t>
  </si>
  <si>
    <t>1567152,"7/28/2020","7/28/2020","CABA","AGRONOMIA","15","femenino","21","confirmado","","no","","Contacto"</t>
  </si>
  <si>
    <t>1567816,"7/28/2020","7/28/2020","CABA","RETIRO","1","masculino","24","confirmado","","no","","Comunitario"</t>
  </si>
  <si>
    <t>1426512,"7/19/2020","7/19/2020","CABA","RETIRO","1","masculino","63","confirmado","","no","","Comunitario"</t>
  </si>
  <si>
    <t>1427375,"7/20/2020","7/20/2020","Buenos Aires","HURLINGHAM","","masculino","14","confirmado","","no","","Contacto"</t>
  </si>
  <si>
    <t>1427654,"7/19/2020","7/19/2020","CABA","NUEVA POMPEYA","4","masculino","50","confirmado","","no","","Trabajador de la Salud"</t>
  </si>
  <si>
    <t>1427876,"7/20/2020","7/20/2020","CABA","NUEVA POMPEYA","4","masculino","53","confirmado","","no","","Comunitario"</t>
  </si>
  <si>
    <t>1428203,"7/20/2020","7/20/2020","Buenos Aires","AVELLANEDA","","femenino","52","confirmado","","no","","Trabajador de la Salud"</t>
  </si>
  <si>
    <t>1428627,"7/20/2020","7/20/2020","Buenos Aires","LANUS","","masculino","59","confirmado","","no","","Comunitario"</t>
  </si>
  <si>
    <t>1428910,"7/20/2020","7/20/2020","CABA","BARRACAS","4","masculino","27","confirmado","","no","","En InvestigaciÃ³n"</t>
  </si>
  <si>
    <t>1429136,"7/20/2020","7/20/2020","CABA","CONSTITUCION","1","femenino","62","confirmado","","no","","Contacto"</t>
  </si>
  <si>
    <t>1429147,"7/20/2020","7/20/2020","CABA","BALVANERA","3","masculino","27","confirmado","","no","","En InvestigaciÃ³n"</t>
  </si>
  <si>
    <t>1429693,"7/20/2020","7/20/2020","Buenos Aires","HURLINGHAM","","femenino","30","confirmado","","no","","Contacto"</t>
  </si>
  <si>
    <t>1429790,"7/20/2020","7/20/2020","CABA","CONSTITUCION","1","femenino","8","confirmado","","no","","Comunitario"</t>
  </si>
  <si>
    <t>1429945,"7/20/2020","7/20/2020","CABA","VILLA DEVOTO","11","masculino","42","confirmado","","no","","Comunitario"</t>
  </si>
  <si>
    <t>1429993,"7/20/2020","7/20/2020","CABA","CONSTITUCION","1","femenino","4","confirmado","","no","","Comunitario"</t>
  </si>
  <si>
    <t>1430033,"7/20/2020","7/20/2020","Buenos Aires","HURLINGHAM","","masculino","10","confirmado","","no","","Comunitario"</t>
  </si>
  <si>
    <t>1431003,"7/20/2020","7/20/2020","CABA","RETIRO","1","femenino","30","confirmado","","no","","Comunitario"</t>
  </si>
  <si>
    <t>1431007,"7/20/2020","7/20/2020","Buenos Aires","PILAR","","masculino","22","confirmado","","no","","Comunitario"</t>
  </si>
  <si>
    <t>1431206,"7/20/2020","7/20/2020","CABA","MATADEROS","9","masculino","27","confirmado","","no","","Comunitario"</t>
  </si>
  <si>
    <t>1431767,"7/20/2020","7/20/2020","CABA","VILLA LUGANO","8","masculino","46","confirmado","","no","","Comunitario"</t>
  </si>
  <si>
    <t>1432010,"7/20/2020","7/20/2020","Buenos Aires","HURLINGHAM","","masculino","36","confirmado","","no","","Comunitario"</t>
  </si>
  <si>
    <t>1432059,"7/20/2020","7/21/2020","CABA","BALVANERA","3","masculino","25","confirmado","","no","","Contacto"</t>
  </si>
  <si>
    <t>1432091,"7/20/2020","7/20/2020","Buenos Aires","MORON","","femenino","29","confirmado","","no","","Comunitario"</t>
  </si>
  <si>
    <t>1432307,"7/22/2020","7/22/2020","CABA","BARRACAS","4","femenino","52","confirmado","","no","","Contacto"</t>
  </si>
  <si>
    <t>1433026,"7/20/2020","7/20/2020","CABA","VILLA PUEYRREDON","12","masculino","23","confirmado","","no","","Comunitario"</t>
  </si>
  <si>
    <t>1433071,"7/20/2020","7/20/2020","CABA","BARRACAS","4","femenino","40","confirmado","","no","","Comunitario"</t>
  </si>
  <si>
    <t>1433446,"7/18/2020","7/18/2020","Buenos Aires","HURLINGHAM","","masculino","58","confirmado","","no","","Contacto"</t>
  </si>
  <si>
    <t>1433708,"7/18/2020","7/18/2020","Buenos Aires","PILAR","","femenino","56","confirmado","","no","","Contacto"</t>
  </si>
  <si>
    <t>1434132,"7/20/2020","7/20/2020","CABA","MONTE CASTRO","10","masculino","25","confirmado","","no","","Comunitario"</t>
  </si>
  <si>
    <t>1434603,"7/20/2020","7/20/2020","CABA","NUEVA POMPEYA","4","femenino","52","confirmado","","no","","En InvestigaciÃ³n"</t>
  </si>
  <si>
    <t>1434638,"7/19/2020","7/19/2020","Buenos Aires","HURLINGHAM","","femenino","29","confirmado","","no","","Comunitario"</t>
  </si>
  <si>
    <t>1434664,"7/17/2020","7/20/2020","CABA","VILLA DEVOTO","11","femenino","91","confirmado","","no","","Comunitario"</t>
  </si>
  <si>
    <t>1434761,"7/20/2020","7/20/2020","CABA","NUEVA POMPEYA","4","femenino","63","confirmado","","no","","Contacto"</t>
  </si>
  <si>
    <t>1434989,"7/20/2020","7/20/2020","Buenos Aires","HURLINGHAM","","masculino","35","confirmado","","no","","Comunitario"</t>
  </si>
  <si>
    <t>1435277,"7/20/2020","7/21/2020","CABA","SAN CRISTOBAL","3","masculino","28","confirmado","","no","","Contacto"</t>
  </si>
  <si>
    <t>1435293,"7/20/2020","7/20/2020","Buenos Aires","LOMAS DE ZAMORA","","femenino","57","confirmado","","no","","Comunitario"</t>
  </si>
  <si>
    <t>1435778,"7/20/2020","7/20/2020","CABA","CABALLITO","6","femenino","47","confirmado","","no","","Comunitario"</t>
  </si>
  <si>
    <t>1487085,"7/23/2020","7/24/2020","CABA","BALVANERA","3","femenino","16","confirmado","","no","","Contacto"</t>
  </si>
  <si>
    <t>1487130,"7/23/2020","7/24/2020","CABA","BALVANERA","3","masculino","11","confirmado","","no","","Contacto"</t>
  </si>
  <si>
    <t>1487162,"7/23/2020","7/24/2020","CABA","BALVANERA","3","femenino","13","confirmado","","no","","Contacto"</t>
  </si>
  <si>
    <t>1487634,"7/23/2020","7/23/2020","CABA","PATERNAL","15","masculino","36","confirmado","","no","","Contacto"</t>
  </si>
  <si>
    <t>1488044,"7/23/2020","7/23/2020","CABA","PATERNAL","15","femenino","27","confirmado","","no","","Contacto"</t>
  </si>
  <si>
    <t>1488743,"7/23/2020","7/24/2020","CABA","SAN TELMO","1","femenino","57","confirmado","","no","","Comunitario"</t>
  </si>
  <si>
    <t>1488853,"7/24/2020","7/24/2020","CABA","PARQUE PATRICIOS","4","masculino","23","confirmado","","no","","Contacto"</t>
  </si>
  <si>
    <t>1489152,"7/23/2020","7/24/2020","CABA","BOEDO","5","masculino","53","confirmado","","no","","Contacto"</t>
  </si>
  <si>
    <t>1489664,"7/23/2020","7/24/2020","CABA","RECOLETA","2","masculino","25","confirmado","","no","","En InvestigaciÃ³n"</t>
  </si>
  <si>
    <t>1489751,"7/22/2020","7/25/2020","CABA","VILLA LUGANO","8","femenino","81","confirmado","","no","","Contacto"</t>
  </si>
  <si>
    <t>1489935,"7/23/2020","7/24/2020","CABA","BOCA","4","femenino","23","confirmado","","no","","Contacto"</t>
  </si>
  <si>
    <t>1490203,"7/24/2020","7/24/2020","CABA","MATADEROS","9","femenino","6","confirmado","","no","","Contacto"</t>
  </si>
  <si>
    <t>1490239,"7/23/2020","7/23/2020","CABA","FLORES","7","masculino","34","confirmado","","no","","Contacto"</t>
  </si>
  <si>
    <t>1490280,"7/23/2020","7/24/2020","CABA","PALERMO","14","femenino","24","confirmado","","no","","Trabajador de la Salud"</t>
  </si>
  <si>
    <t>1490655,"7/23/2020","7/23/2020","CABA","BOCA","4","femenino","12","confirmado","","no","","Contacto"</t>
  </si>
  <si>
    <t>1490746,"7/24/2020","7/24/2020","CABA","BALVANERA","3","femenino","61","confirmado","","no","","Contacto"</t>
  </si>
  <si>
    <t>1491040,"7/23/2020","7/23/2020","CABA","BARRACAS","4","masculino","40","confirmado","","no","","Contacto"</t>
  </si>
  <si>
    <t>1491523,"7/21/2020","7/21/2020","Buenos Aires","HURLINGHAM","","masculino","43","confirmado","","no","","Comunitario"</t>
  </si>
  <si>
    <t>1492092,"7/23/2020","7/23/2020","CABA","CONSTITUCION","1","femenino","33","confirmado","","no","","Contacto"</t>
  </si>
  <si>
    <t>1492288,"7/23/2020","7/23/2020","CABA","FLORES","7","femenino","57","confirmado","","no","","En InvestigaciÃ³n"</t>
  </si>
  <si>
    <t>1492429,"7/15/2020","7/16/2020","Buenos Aires","PILAR","","femenino","42","confirmado","","no","","Comunitario"</t>
  </si>
  <si>
    <t>1492554,"7/17/2020","7/18/2020","CABA","NUEVA POMPEYA","4","masculino","31","confirmado","","no","","Comunitario"</t>
  </si>
  <si>
    <t>1492689,"7/23/2020","7/24/2020","Buenos Aires","AVELLANEDA","","femenino","42","confirmado","","no","","Contacto"</t>
  </si>
  <si>
    <t>1492696,"7/24/2020","7/24/2020","CABA","CONSTITUCION","1","masculino","53","confirmado","","no","","En InvestigaciÃ³n"</t>
  </si>
  <si>
    <t>1492805,"7/23/2020","7/23/2020","CABA","BOCA","4","femenino","61","confirmado","","no","","Contacto"</t>
  </si>
  <si>
    <t>1492817,"7/23/2020","7/23/2020","CABA","BOCA","4","femenino","19","confirmado","","no","","Contacto"</t>
  </si>
  <si>
    <t>1493076,"7/23/2020","7/23/2020","CABA","FLORES","7","masculino","29","confirmado","","no","","Contacto"</t>
  </si>
  <si>
    <t>1493144,"7/23/2020","7/23/2020","CABA","FLORES","7","masculino","32","confirmado","","no","","En InvestigaciÃ³n"</t>
  </si>
  <si>
    <t>1493271,"7/23/2020","7/23/2020","Buenos Aires","LOMAS DE ZAMORA","","masculino","33","confirmado","","no","","Comunitario"</t>
  </si>
  <si>
    <t>1493316,"7/23/2020","7/24/2020","CABA","SAN NICOLAS","1","masculino","35","confirmado","","no","","Comunitario"</t>
  </si>
  <si>
    <t>1493340,"7/23/2020","7/23/2020","CABA","FLORES","7","masculino","45","confirmado","","no","","En InvestigaciÃ³n"</t>
  </si>
  <si>
    <t>1493341,"7/23/2020","7/24/2020","CABA","SAN NICOLAS","1","masculino","30","confirmado","","no","","Comunitario"</t>
  </si>
  <si>
    <t>1493359,"7/23/2020","7/23/2020","CABA","NUEVA POMPEYA","4","masculino","52","confirmado","","no","","En InvestigaciÃ³n"</t>
  </si>
  <si>
    <t>1365779,"7/14/2020","7/15/2020","CABA","BARRACAS","4","masculino","54","confirmado","","no","","Comunitario"</t>
  </si>
  <si>
    <t>1367147,"7/15/2020","7/17/2020","CABA","PALERMO","14","masculino","53","confirmado","","no","","Comunitario"</t>
  </si>
  <si>
    <t>1367167,"7/15/2020","7/16/2020","Buenos Aires","PILAR","","masculino","28","confirmado","","no","","Contacto"</t>
  </si>
  <si>
    <t>1368065,"7/15/2020","7/15/2020","CABA","CABALLITO","6","femenino","28","confirmado","","no","","Contacto"</t>
  </si>
  <si>
    <t>1368535,"7/15/2020","7/15/2020","CABA","CABALLITO","6","masculino","24","confirmado","","no","","Comunitario"</t>
  </si>
  <si>
    <t>1370437,"7/15/2020","7/15/2020","CABA","NUEVA POMPEYA","4","masculino","31","confirmado","","no","","Contacto"</t>
  </si>
  <si>
    <t>1372787,"7/15/2020","7/15/2020","CABA","VILLA SOLDATI","8","masculino","44","confirmado","","no","","Comunitario"</t>
  </si>
  <si>
    <t>1372886,"7/14/2020","7/15/2020","Buenos Aires","HURLINGHAM","","femenino","30","confirmado","","no","","Comunitario"</t>
  </si>
  <si>
    <t>1374483,"7/14/2020","7/15/2020","CABA","SAAVEDRA","12","femenino","74","confirmado","","no","","Contacto"</t>
  </si>
  <si>
    <t>1376644,"7/15/2020","7/20/2020","Buenos Aires","MORON","","masculino","25","confirmado","","no","","Comunitario"</t>
  </si>
  <si>
    <t>1381372,"7/15/2020","7/17/2020","Buenos Aires","PILAR","","femenino","84","confirmado","","no","","Contacto"</t>
  </si>
  <si>
    <t>1381459,"7/16/2020","7/16/2020","Buenos Aires","HURLINGHAM","","femenino","53","confirmado","","no","","Trabajador de la Salud"</t>
  </si>
  <si>
    <t>1388537,"7/16/2020","7/20/2020","CABA","SAN TELMO","1","masculino","65","confirmado","","no","","Comunitario"</t>
  </si>
  <si>
    <t>1389792,"7/15/2020","7/15/2020","CABA","VILLA SOLDATI","8","femenino","49","confirmado","","no","","Contacto"</t>
  </si>
  <si>
    <t>1390515,"7/17/2020","7/17/2020","Buenos Aires","HURLINGHAM","","masculino","36","confirmado","","no","","Trabajador de la Salud"</t>
  </si>
  <si>
    <t>1400401,"7/27/2020","7/27/2020","Buenos Aires","LOMAS DE ZAMORA","","masculino","74","confirmado","","no","","Comunitario"</t>
  </si>
  <si>
    <t>1404633,"7/24/2020","7/24/2020","CABA","BALVANERA","3","femenino","16","confirmado","","no","","Comunitario"</t>
  </si>
  <si>
    <t>1404918,"7/16/2020","7/17/2020","Buenos Aires","HURLINGHAM","","masculino","24","confirmado","","no","","Comunitario"</t>
  </si>
  <si>
    <t>1405612,"7/17/2020","7/17/2020","Buenos Aires","HURLINGHAM","","femenino","24","confirmado","","no","","Comunitario"</t>
  </si>
  <si>
    <t>1405685,"7/18/2020","7/18/2020","CABA","BOCA","4","masculino","37","confirmado","","no","","En InvestigaciÃ³n"</t>
  </si>
  <si>
    <t>1406075,"7/18/2020","7/18/2020","Buenos Aires","LANUS","","femenino","33","confirmado","","no","","Trabajador de la Salud"</t>
  </si>
  <si>
    <t>1406219,"7/18/2020","7/18/2020","CABA","CONSTITUCION","1","femenino","51","confirmado","","no","","En InvestigaciÃ³n"</t>
  </si>
  <si>
    <t>1406384,"7/16/2020","7/17/2020","Buenos Aires","AVELLANEDA","","femenino","40","confirmado","","no","","Contacto"</t>
  </si>
  <si>
    <t>1407051,"7/17/2020","7/17/2020","CABA","BOCA","4","femenino","56","confirmado","","no","","Contacto"</t>
  </si>
  <si>
    <t>1407171,"7/16/2020","7/17/2020","CABA","SAN CRISTOBAL","3","masculino","55","confirmado","","no","","Comunitario"</t>
  </si>
  <si>
    <t>1407648,"7/17/2020","7/18/2020","CABA","FLORES","7","femenino","18","confirmado","","no","","Contacto"</t>
  </si>
  <si>
    <t>1407760,"7/17/2020","7/18/2020","CABA","FLORES","7","femenino","48","confirmado","","no","","Contacto"</t>
  </si>
  <si>
    <t>1410471,"7/18/2020","7/18/2020","Buenos Aires","AVELLANEDA","","masculino","12","confirmado","","no","","Contacto"</t>
  </si>
  <si>
    <t>1410656,"7/18/2020","7/18/2020","CABA","BOCA","4","masculino","7","confirmado","","no","","Contacto"</t>
  </si>
  <si>
    <t>1410716,"7/17/2020","7/17/2020","CABA","RECOLETA","2","masculino","76","confirmado","","no","","Comunitario"</t>
  </si>
  <si>
    <t>1410718,"7/17/2020","7/17/2020","CABA","NUEVA POMPEYA","4","femenino","52","confirmado","","no","","Comunitario"</t>
  </si>
  <si>
    <t>1410736,"7/17/2020","7/18/2020","CABA","VILLA SOLDATI","8","femenino","69","confirmado","","no","","Contacto"</t>
  </si>
  <si>
    <t>1413348,"7/17/2020","7/21/2020","Buenos Aires","LOMAS DE ZAMORA","","femenino","34","confirmado","","no","","Contacto"</t>
  </si>
  <si>
    <t>1413489,"7/18/2020","7/19/2020","CABA","ALMAGRO","5","masculino","75","confirmado","","no","","En InvestigaciÃ³n"</t>
  </si>
  <si>
    <t>1473864,"7/22/2020","7/22/2020","CABA","FLORES","7","femenino","53","confirmado","","no","","En InvestigaciÃ³n"</t>
  </si>
  <si>
    <t>1474266,"7/22/2020","7/22/2020","Buenos Aires","HURLINGHAM","","masculino","30","confirmado","","no","","En InvestigaciÃ³n"</t>
  </si>
  <si>
    <t>1474453,"7/22/2020","7/22/2020","CABA","PARQUE AVELLANEDA","9","femenino","7","confirmado","","no","","Contacto"</t>
  </si>
  <si>
    <t>1474492,"7/22/2020","7/22/2020","CABA","PARQUE AVELLANEDA","9","femenino","29","confirmado","","no","","Contacto"</t>
  </si>
  <si>
    <t>1474507,"7/22/2020","7/22/2020","CABA","RECOLETA","2","masculino","26","confirmado","","no","","Comunitario"</t>
  </si>
  <si>
    <t>1474531,"7/22/2020","7/22/2020","CABA","PARQUE AVELLANEDA","9","femenino","12","confirmado","","no","","Contacto"</t>
  </si>
  <si>
    <t>1474532,"7/22/2020","7/22/2020","CABA","FLORES","7","masculino","21","confirmado","","no","","Comunitario"</t>
  </si>
  <si>
    <t>1474561,"7/22/2020","7/22/2020","Buenos Aires","HURLINGHAM","","femenino","27","confirmado","","no","","Contacto"</t>
  </si>
  <si>
    <t>1474573,"7/22/2020","7/22/2020","Buenos Aires","HURLINGHAM","","femenino","34","confirmado","","no","","Contacto"</t>
  </si>
  <si>
    <t>1474645,"7/22/2020","7/23/2020","CABA","PALERMO","14","femenino","91","confirmado","","no","","Comunitario"</t>
  </si>
  <si>
    <t>1474668,"7/22/2020","7/23/2020","CABA","VILLA CRESPO","15","masculino","31","confirmado","","no","","Comunitario"</t>
  </si>
  <si>
    <t>1474680,"7/22/2020","7/22/2020","CABA","VILLA LURO","10","femenino","23","confirmado","","no","","Comunitario"</t>
  </si>
  <si>
    <t>1474694,"7/22/2020","7/22/2020","CABA","PARQUE PATRICIOS","4","masculino","63","confirmado","","no","","En InvestigaciÃ³n"</t>
  </si>
  <si>
    <t>1474810,"7/22/2020","7/23/2020","CABA","BALVANERA","3","masculino","52","confirmado","","no","","En InvestigaciÃ³n"</t>
  </si>
  <si>
    <t>1474953,"7/22/2020","7/22/2020","CABA","PATERNAL","15","femenino","57","confirmado","","no","","Contacto"</t>
  </si>
  <si>
    <t>1475090,"7/22/2020","7/22/2020","CABA","VILLA LUGANO","8","femenino","15","confirmado","","no","","Contacto"</t>
  </si>
  <si>
    <t>1475131,"7/22/2020","7/22/2020","CABA","VILLA SOLDATI","8","femenino","19","confirmado","","no","","Contacto"</t>
  </si>
  <si>
    <t>1475140,"7/22/2020","7/22/2020","CABA","VILLA LUGANO","8","femenino","37","confirmado","","no","","Contacto"</t>
  </si>
  <si>
    <t>1475219,"7/22/2020","7/23/2020","CABA","BALVANERA","3","masculino","28","confirmado","","no","","Contacto"</t>
  </si>
  <si>
    <t>1475240,"7/23/2020","7/23/2020","CABA","BOCA","4","femenino","20","confirmado","","no","","Comunitario"</t>
  </si>
  <si>
    <t>1475241,"7/22/2020","7/23/2020","Buenos Aires","HURLINGHAM","","femenino","35","confirmado","","no","","Contacto"</t>
  </si>
  <si>
    <t>1475245,"7/22/2020","7/22/2020","Buenos Aires","LOMAS DE ZAMORA","","masculino","66","confirmado","","no","","Contacto"</t>
  </si>
  <si>
    <t>1475349,"7/22/2020","7/22/2020","CABA","RETIRO","1","masculino","6","confirmado","","no","","En InvestigaciÃ³n"</t>
  </si>
  <si>
    <t>1475491,"7/22/2020","7/22/2020","CABA","BALVANERA","3","masculino","33","confirmado","","no","","Comunitario"</t>
  </si>
  <si>
    <t>1475560,"7/22/2020","7/22/2020","CABA","CONSTITUCION","1","femenino","59","confirmado","","no","","Contacto"</t>
  </si>
  <si>
    <t>1475572,"7/22/2020","7/22/2020","CABA","FLORES","7","masculino","25","confirmado","","no","","Contacto"</t>
  </si>
  <si>
    <t>1475602,"7/22/2020","7/22/2020","CABA","RECOLETA","2","masculino","23","confirmado","","no","","Contacto"</t>
  </si>
  <si>
    <t>1475643,"7/22/2020","7/22/2020","CABA","VILLA SANTA RITA","11","masculino","29","confirmado","","no","","En InvestigaciÃ³n"</t>
  </si>
  <si>
    <t>1475720,"7/22/2020","7/23/2020","CABA","VILLA SANTA RITA","11","femenino","28","confirmado","","no","","Contacto"</t>
  </si>
  <si>
    <t>1475808,"7/22/2020","7/23/2020","CABA","VILLA SANTA RITA","11","femenino","30","confirmado","","no","","Contacto"</t>
  </si>
  <si>
    <t>1475833,"7/22/2020","7/23/2020","CABA","FLORES","7","masculino","56","confirmado","","no","","En InvestigaciÃ³n"</t>
  </si>
  <si>
    <t>1475853,"7/22/2020","7/23/2020","Buenos Aires","HURLINGHAM","","masculino","69","confirmado","","no","","Contacto"</t>
  </si>
  <si>
    <t>1475862,"7/22/2020","7/23/2020","CABA","VILLA SANTA RITA","11","masculino","32","confirmado","","no","","Contacto"</t>
  </si>
  <si>
    <t>1475873,"7/22/2020","7/22/2020","CABA","FLORES","7","femenino","29","confirmado","","no","","Contacto"</t>
  </si>
  <si>
    <t>1475875,"7/22/2020","7/23/2020","CABA","PALERMO","14","femenino","24","confirmado","","no","","Contacto"</t>
  </si>
  <si>
    <t>1375754,"7/15/2020","7/16/2020","Buenos Aires","HURLINGHAM","","femenino","57","confirmado","","no","","Comunitario"</t>
  </si>
  <si>
    <t>924656,"7/12/2020","7/13/2020","Buenos Aires","LANUS","","masculino","48","confirmado","","no","","Comunitario"</t>
  </si>
  <si>
    <t>1333524,"7/18/2020","7/18/2020","CABA","BOCA","4","femenino","52","confirmado","","no","","Trabajador de la Salud"</t>
  </si>
  <si>
    <t>1374742,"7/13/2020","7/13/2020","Buenos Aires","PILAR","","femenino","38","confirmado","","no","","Comunitario"</t>
  </si>
  <si>
    <t>1414297,"7/18/2020","7/18/2020","Buenos Aires","HURLINGHAM","","femenino","46","confirmado","","no","","Contacto"</t>
  </si>
  <si>
    <t>1416218,"7/18/2020","7/18/2020","CABA","FLORES","7","femenino","3","confirmado","","no","","Comunitario"</t>
  </si>
  <si>
    <t>1429859,"7/16/2020","7/20/2020","Buenos Aires","HURLINGHAM","","femenino","35","confirmado","","no","","Contacto"</t>
  </si>
  <si>
    <t>1479568,"7/23/2020","7/25/2020","Buenos Aires","HURLINGHAM","","femenino","46","confirmado","","no","","Trabajador de la Salud"</t>
  </si>
  <si>
    <t>1529137,"7/22/2020","7/23/2020","CABA","VILLA URQUIZA","12","masculino","36","confirmado","","no","","Comunitario"</t>
  </si>
  <si>
    <t>4684576,"11/22/2020","11/25/2020","CABA","SAN TELMO","1","masculino","64","confirmado","","no","","Comunitario"</t>
  </si>
  <si>
    <t>1165324,"7/4/2020","7/5/2020","CABA","VILLA LUGANO","8","femenino","67","confirmado","","no","","Contacto"</t>
  </si>
  <si>
    <t>1165385,"6/25/2020","6/29/2020","CABA","VILLA LUGANO","8","femenino","32","confirmado","","no","","Contacto"</t>
  </si>
  <si>
    <t>1166684,"7/4/2020","7/5/2020","CABA","VILLA LUGANO","8","femenino","26","confirmado","","no","","Contacto"</t>
  </si>
  <si>
    <t>2762478,"9/20/2020","9/21/2020","Buenos Aires","LOMAS DE ZAMORA","","femenino","42","confirmado","","no","","Comunitario"</t>
  </si>
  <si>
    <t>2773577,"9/21/2020","9/21/2020","CABA","BALVANERA","3","masculino","24","confirmado","","no","","En InvestigaciÃ³n"</t>
  </si>
  <si>
    <t>2786864,"9/21/2020","9/21/2020","Buenos Aires","HURLINGHAM","","femenino","60","confirmado","","no","","En InvestigaciÃ³n"</t>
  </si>
  <si>
    <t>2786915,"9/21/2020","9/21/2020","CABA","AGRONOMIA","15","masculino","52","confirmado","","no","","Comunitario"</t>
  </si>
  <si>
    <t>2788244,"9/21/2020","9/21/2020","CABA","NUEVA POMPEYA","4","femenino","41","confirmado","","no","","Trabajador de la Salud"</t>
  </si>
  <si>
    <t>2802359,"9/21/2020","9/21/2020","Buenos Aires","PILAR","","femenino","31","confirmado","","no","","En InvestigaciÃ³n"</t>
  </si>
  <si>
    <t>2827697,"9/23/2020","9/23/2020","Buenos Aires","LANUS","","femenino","27","confirmado","","no","","Comunitario"</t>
  </si>
  <si>
    <t>2844811,"9/23/2020","11/12/2020","CABA","BELGRANO","13","femenino","78","confirmado","","no","","Comunitario"</t>
  </si>
  <si>
    <t>2847294,"9/23/2020","9/23/2020","CABA","ALMAGRO","5","masculino","57","confirmado","","no","","En InvestigaciÃ³n"</t>
  </si>
  <si>
    <t>2850700,"9/24/2020","9/24/2020","Buenos Aires","HURLINGHAM","","masculino","37","confirmado","","no","","Comunitario"</t>
  </si>
  <si>
    <t>2851288,"9/23/2020","9/23/2020","Buenos Aires","AVELLANEDA","","femenino","11","confirmado","","no","","Comunitario"</t>
  </si>
  <si>
    <t>2858566,"9/23/2020","9/23/2020","Buenos Aires","AVELLANEDA","","femenino","25","confirmado","","no","","Comunitario"</t>
  </si>
  <si>
    <t>2858622,"9/23/2020","9/23/2020","Buenos Aires","HURLINGHAM","","masculino","27","confirmado","","no","","Comunitario"</t>
  </si>
  <si>
    <t>2858928,"9/23/2020","9/23/2020","CABA","VILLA PUEYRREDON","12","masculino","35","confirmado","","no","","Comunitario"</t>
  </si>
  <si>
    <t>2863796,"9/23/2020","9/23/2020","CABA","VILLA CRESPO","15","femenino","25","confirmado","","no","","En InvestigaciÃ³n"</t>
  </si>
  <si>
    <t>2863958,"9/23/2020","9/23/2020","Buenos Aires","LANUS","","masculino","34","confirmado","","no","","En InvestigaciÃ³n"</t>
  </si>
  <si>
    <t>2864075,"9/23/2020","9/23/2020","CABA","VILLA CRESPO","15","masculino","43","confirmado","","no","","En InvestigaciÃ³n"</t>
  </si>
  <si>
    <t>2871359,"9/24/2020","9/26/2020","Buenos Aires","HURLINGHAM","","masculino","78","confirmado","","no","","Contacto"</t>
  </si>
  <si>
    <t>2871902,"9/24/2020","9/24/2020","CABA","VILLA URQUIZA","12","femenino","82","confirmado","","no","","Contacto"</t>
  </si>
  <si>
    <t>2871970,"9/24/2020","9/24/2020","Buenos Aires","HURLINGHAM","","femenino","75","confirmado","","no","","Comunitario"</t>
  </si>
  <si>
    <t>2512039,"9/17/2020","9/17/2020","CABA","ALMAGRO","5","masculino","29","confirmado","","no","","Contacto"</t>
  </si>
  <si>
    <t>2872051,"9/23/2020","9/23/2020","CABA","ALMAGRO","5","masculino","62","confirmado","","no","","Contacto"</t>
  </si>
  <si>
    <t>2872903,"9/23/2020","9/23/2020","CABA","VILLA LURO","10","masculino","61","confirmado","","no","","En InvestigaciÃ³n"</t>
  </si>
  <si>
    <t>2879039,"9/24/2020","9/25/2020","CABA","BELGRANO","13","masculino","33","confirmado","","no","","Comunitario"</t>
  </si>
  <si>
    <t>2879098,"9/24/2020","9/24/2020","CABA","VILLA DEL PARQUE","11","masculino","27","confirmado","","no","","Comunitario"</t>
  </si>
  <si>
    <t>2879053,"9/24/2020","9/25/2020","CABA","VILLA PUEYRREDON","12","masculino","70","confirmado","","no","","Comunitario"</t>
  </si>
  <si>
    <t>2909208,"9/24/2020","9/24/2020","CABA","VILLA DEVOTO","11","masculino","46","confirmado","","no","","Comunitario"</t>
  </si>
  <si>
    <t>2909291,"9/25/2020","9/25/2020","CABA","BALVANERA","3","masculino","51","confirmado","","no","","Comunitario"</t>
  </si>
  <si>
    <t>2926827,"9/26/2020","9/26/2020","Buenos Aires","PILAR","","femenino","78","confirmado","","no","","Comunitario"</t>
  </si>
  <si>
    <t>3006704,"9/21/2020","9/21/2020","Buenos Aires","AVELLANEDA","","masculino","32","confirmado","","no","","Comunitario"</t>
  </si>
  <si>
    <t>3013670,"9/29/2020","9/29/2020","Buenos Aires","HURLINGHAM","","femenino","35","confirmado","","no","","Contacto"</t>
  </si>
  <si>
    <t>1500787,"7/23/2020","7/28/2020","CABA","AGRONOMIA","15","femenino","48","confirmado","","no","","Comunitario"</t>
  </si>
  <si>
    <t>1876407,"9/21/2020","9/21/2020","Buenos Aires","AVELLANEDA","","masculino","42","confirmado","","no","","Comunitario"</t>
  </si>
  <si>
    <t>1993180,"8/15/2020","8/20/2020","Buenos Aires","LOMAS DE ZAMORA","","masculino","30","confirmado","","no","","Comunitario"</t>
  </si>
  <si>
    <t>2056436,"8/26/2020","8/27/2020","CABA","MONSERRAT","1","femenino","45","confirmado","","no","","En InvestigaciÃ³n"</t>
  </si>
  <si>
    <t>2612548,"9/14/2020","9/14/2020","CABA","PATERNAL","15","masculino","34","confirmado","","no","","Comunitario"</t>
  </si>
  <si>
    <t>2623851,"9/15/2020","9/15/2020","CABA","PALERMO","14","masculino","76","confirmado","","no","","Comunitario"</t>
  </si>
  <si>
    <t>2626378,"9/14/2020","9/14/2020","CABA","PALERMO","14","femenino","73","confirmado","","no","","Trabajador de la Salud"</t>
  </si>
  <si>
    <t>2627481,"9/14/2020","9/14/2020","CABA","CHACARITA","15","masculino","41","confirmado","","no","","Comunitario"</t>
  </si>
  <si>
    <t>2628183,"9/18/2020","9/18/2020","CABA","BARRACAS","4","femenino","23","confirmado","","no","","Comunitario"</t>
  </si>
  <si>
    <t>2658731,"9/15/2020","9/15/2020","CABA","ALMAGRO","5","femenino","14","confirmado","","no","","Comunitario"</t>
  </si>
  <si>
    <t>2658732,"9/15/2020","9/15/2020","CABA","ALMAGRO","5","femenino","61","confirmado","","no","","Comunitario"</t>
  </si>
  <si>
    <t>2658735,"9/15/2020","9/15/2020","CABA","ALMAGRO","5","masculino","56","confirmado","","no","","Comunitario"</t>
  </si>
  <si>
    <t>2658753,"9/15/2020","9/15/2020","Buenos Aires","LANUS","","femenino","52","confirmado","","no","","Contacto"</t>
  </si>
  <si>
    <t>2669709,"9/16/2020","9/16/2020","CABA","PARQUE AVELLANEDA","9","masculino","69","confirmado","","no","","Contacto"</t>
  </si>
  <si>
    <t>2671943,"9/16/2020","9/17/2020","CABA","BALVANERA","3","masculino","22","confirmado","","no","","Comunitario"</t>
  </si>
  <si>
    <t>2671965,"9/16/2020","9/17/2020","CABA","BALVANERA","3","femenino","48","confirmado","","no","","Comunitario"</t>
  </si>
  <si>
    <t>2687421,"9/16/2020","9/17/2020","Buenos Aires","AVELLANEDA","","masculino","23","confirmado","","no","","Comunitario"</t>
  </si>
  <si>
    <t>2700311,"9/17/2020","9/17/2020","CABA","NUÃ‘EZ","13","femenino","46","confirmado","","no","","Comunitario"</t>
  </si>
  <si>
    <t>2708637,"9/18/2020","9/22/2020","Buenos Aires","LOMAS DE ZAMORA","","masculino","30","confirmado","","no","","Contacto"</t>
  </si>
  <si>
    <t>2712581,"9/17/2020","9/18/2020","Buenos Aires","AVELLANEDA","","femenino","54","confirmado","","no","","Comunitario"</t>
  </si>
  <si>
    <t>2713864,"9/26/2020","9/26/2020","Buenos Aires","AVELLANEDA","","femenino","25","confirmado","","no","","Trabajador de la Salud"</t>
  </si>
  <si>
    <t>2715668,"9/18/2020","9/18/2020","CABA","PALERMO","14","femenino","59","confirmado","","no","","Comunitario"</t>
  </si>
  <si>
    <t>2716408,"9/17/2020","9/18/2020","Buenos Aires","PILAR","","femenino","48","confirmado","","no","","Comunitario"</t>
  </si>
  <si>
    <t>2729224,"9/18/2020","9/18/2020","CABA","BARRACAS","4","femenino","69","confirmado","","no","","Comunitario"</t>
  </si>
  <si>
    <t>2729226,"9/18/2020","9/18/2020","CABA","BALVANERA","3","femenino","67","confirmado","","no","","Comunitario"</t>
  </si>
  <si>
    <t>2729235,"9/18/2020","9/18/2020","Buenos Aires","QUILMES","","femenino","37","confirmado","","no","","Trabajador de la Salud"</t>
  </si>
  <si>
    <t>2729275,"9/18/2020","9/18/2020","Chubut","COMODORO RIVADAVIA","","masculino","28","confirmado","","no","","Contacto"</t>
  </si>
  <si>
    <t>2729276,"9/18/2020","9/18/2020","Buenos Aires","LOMAS DE ZAMORA","","masculino","28","confirmado","","no","","En InvestigaciÃ³n"</t>
  </si>
  <si>
    <t>2729279,"9/18/2020","9/18/2020","CABA","BOEDO","5","masculino","3","confirmado","","no","","Contacto"</t>
  </si>
  <si>
    <t>2729280,"9/18/2020","9/18/2020","Buenos Aires","AVELLANEDA","","femenino","31","confirmado","","no","","Trabajador de la Salud"</t>
  </si>
  <si>
    <t>2731717,"9/18/2020","9/18/2020","CABA","BOEDO","5","masculino","27","confirmado","","no","","Contacto"</t>
  </si>
  <si>
    <t>2731783,"9/18/2020","9/18/2020","CABA","VILLA SOLDATI","8","femenino","27","confirmado","","no","","Comunitario"</t>
  </si>
  <si>
    <t>2731853,"9/18/2020","9/18/2020","CABA","BOEDO","5","femenino","24","confirmado","","no","","Contacto"</t>
  </si>
  <si>
    <t>2730911,"9/18/2020","9/18/2020","CABA","VILLA CRESPO","15","femenino","51","confirmado","","no","","Contacto"</t>
  </si>
  <si>
    <t>2730932,"9/18/2020","9/18/2020","CABA","VILLA URQUIZA","12","masculino","28","confirmado","","no","","En InvestigaciÃ³n"</t>
  </si>
  <si>
    <t>2730945,"9/18/2020","9/18/2020","Buenos Aires","CAMPANA","","femenino","11","confirmado","","no","","Comunitario"</t>
  </si>
  <si>
    <t>2730946,"9/18/2020","9/18/2020","Buenos Aires","AVELLANEDA","","femenino","32","confirmado","","no","","Comunitario"</t>
  </si>
  <si>
    <t>2730947,"9/18/2020","9/18/2020","CABA","BALVANERA","3","masculino","64","confirmado","","no","","Comunitario"</t>
  </si>
  <si>
    <t>2749278,"9/19/2020","9/19/2020","CABA","SAAVEDRA","12","femenino","36","confirmado","","no","","Comunitario"</t>
  </si>
  <si>
    <t>2755210,"9/19/2020","9/21/2020","CABA","PARQUE CHACABUCO","7","femenino","70","confirmado","","no","","Comunitario"</t>
  </si>
  <si>
    <t>2755273,"9/18/2020","9/19/2020","CABA","BALVANERA","3","masculino","24","confirmado","","no","","Contacto"</t>
  </si>
  <si>
    <t>2755759,"9/19/2020","9/19/2020","CABA","VILLA CRESPO","15","femenino","57","confirmado","","no","","Contacto"</t>
  </si>
  <si>
    <t>2755846,"9/19/2020","9/19/2020","CABA","ALMAGRO","5","masculino","33","confirmado","","no","","Contacto"</t>
  </si>
  <si>
    <t>2756596,"9/20/2020","9/21/2020","CABA","PALERMO","14","femenino","90","confirmado","","no","","Comunitario"</t>
  </si>
  <si>
    <t>2871992,"9/24/2020","9/24/2020","Buenos Aires","LANUS","","masculino","3","confirmado","","no","","Contacto"</t>
  </si>
  <si>
    <t>2902413,"9/25/2020","9/25/2020","Buenos Aires","PILAR","","femenino","42","confirmado","","no","","Contacto"</t>
  </si>
  <si>
    <t>2909322,"9/25/2020","9/25/2020","CABA","BALVANERA","3","femenino","14","confirmado","","no","","Contacto"</t>
  </si>
  <si>
    <t>2909326,"9/25/2020","9/25/2020","CABA","BALVANERA","3","femenino","22","confirmado","","no","","Contacto"</t>
  </si>
  <si>
    <t>2910306,"9/25/2020","9/25/2020","CABA","BALVANERA","3","masculino","25","confirmado","","no","","En InvestigaciÃ³n"</t>
  </si>
  <si>
    <t>2924973,"9/25/2020","9/25/2020","CABA","BALVANERA","3","masculino","47","confirmado","","no","","Contacto"</t>
  </si>
  <si>
    <t>2924974,"9/25/2020","9/25/2020","CABA","VELEZ SARSFIELD","10","femenino","48","confirmado","","no","","Contacto"</t>
  </si>
  <si>
    <t>3781868,"9/16/2020","9/16/2020","CABA","BALVANERA","3","masculino","42","confirmado","","no","","Comunitario"</t>
  </si>
  <si>
    <t>1411493,"7/17/2020","7/18/2020","Buenos Aires","AVELLANEDA","","femenino","30","confirmado","","no","","Comunitario"</t>
  </si>
  <si>
    <t>1636721,"8/2/2020","8/2/2020","CABA","BARRACAS","4","masculino","89","confirmado","","no","","Contacto"</t>
  </si>
  <si>
    <t>1819522,"8/11/2020","8/12/2020","CABA","VILLA LUGANO","8","masculino","61","confirmado","","no","","Comunitario"</t>
  </si>
  <si>
    <t>2251225,"9/19/2020","9/20/2020","Buenos Aires","TRES DE FEBRERO","","masculino","88","confirmado","","no","","En InvestigaciÃ³n"</t>
  </si>
  <si>
    <t>2307003,"9/2/2020","9/2/2020","Buenos Aires","AVELLANEDA","","masculino","54","confirmado","","no","","Comunitario"</t>
  </si>
  <si>
    <t>2381676,"9/5/2020","9/6/2020","Buenos Aires","LOMAS DE ZAMORA","","masculino","67","confirmado","","no","","Contacto"</t>
  </si>
  <si>
    <t>2465073,"9/8/2020","9/10/2020","Buenos Aires","LANUS","","femenino","70","confirmado","","no","","En InvestigaciÃ³n"</t>
  </si>
  <si>
    <t>2490810,"9/19/2020","9/19/2020","CABA","VILLA ORTUZAR","15","femenino","63","confirmado","","no","","Trabajador de la Salud"</t>
  </si>
  <si>
    <t>2491858,"9/10/2020","9/11/2020","Buenos Aires","LANUS","","masculino","69","confirmado","","no","","Comunitario"</t>
  </si>
  <si>
    <t>2494307,"9/8/2020","9/9/2020","Buenos Aires","LOMAS DE ZAMORA","","femenino","75","confirmado","","no","","Comunitario"</t>
  </si>
  <si>
    <t>2512384,"9/10/2020","9/11/2020","CABA","BELGRANO","13","femenino","88","confirmado","","no","","Comunitario"</t>
  </si>
  <si>
    <t>2522670,"9/10/2020","9/11/2020","CABA","FLORESTA","10","femenino","74","confirmado","","no","","Comunitario"</t>
  </si>
  <si>
    <t>2524209,"9/15/2020","9/16/2020","Buenos Aires","PILAR","","femenino","31","confirmado","","no","","Contacto"</t>
  </si>
  <si>
    <t>2537884,"9/11/2020","9/13/2020","Buenos Aires","CAMPANA","","masculino","43","confirmado","","no","","Comunitario"</t>
  </si>
  <si>
    <t>2541961,"9/11/2020","9/12/2020","CABA","VILLA DEVOTO","11","masculino","79","confirmado","","no","","En InvestigaciÃ³n"</t>
  </si>
  <si>
    <t>2550736,"9/16/2020","9/16/2020","CABA","RETIRO","1","femenino","42","confirmado","","no","","Comunitario"</t>
  </si>
  <si>
    <t>2551316,"9/11/2020","9/12/2020","CABA","PALERMO","14","femenino","48","confirmado","","no","","Comunitario"</t>
  </si>
  <si>
    <t>2556356,"9/11/2020","9/11/2020","CABA","VILLA SANTA RITA","11","masculino","21","confirmado","","no","","Contacto"</t>
  </si>
  <si>
    <t>2559176,"9/7/2020","9/7/2020","Buenos Aires","LANUS","","masculino","55","confirmado","","no","","Comunitario"</t>
  </si>
  <si>
    <t>1573576,"7/30/2020","7/30/2020","Buenos Aires","AVELLANEDA","","masculino","40","confirmado","","no","","Comunitario"</t>
  </si>
  <si>
    <t>2097399,"9/1/2020","9/2/2020","CABA","COLEGIALES","13","masculino","89","confirmado","","no","","Comunitario"</t>
  </si>
  <si>
    <t>2341607,"9/17/2020","9/17/2020","CABA","BELGRANO","13","femenino","33","confirmado","","no","","Trabajador de la Salud"</t>
  </si>
  <si>
    <t>2346156,"9/13/2020","9/13/2020","CABA","VILLA DEVOTO","11","femenino","28","confirmado","","no","","Comunitario"</t>
  </si>
  <si>
    <t>2399690,"9/23/2020","9/23/2020","CABA","BELGRANO","13","femenino","51","confirmado","","no","","Comunitario"</t>
  </si>
  <si>
    <t>2418077,"9/15/2020","9/15/2020","Buenos Aires","PILAR","","masculino","33","confirmado","","no","","Contacto"</t>
  </si>
  <si>
    <t>2488031,"9/14/2020","9/14/2020","Buenos Aires","QUILMES","","masculino","11","confirmado","","no","","Comunitario"</t>
  </si>
  <si>
    <t>2499313,"9/9/2020","9/10/2020","Buenos Aires","LOMAS DE ZAMORA","","femenino","57","confirmado","","no","","Contacto"</t>
  </si>
  <si>
    <t>2552851,"9/14/2020","9/14/2020","CABA","MATADEROS","9","masculino","23","confirmado","","no","","Comunitario"</t>
  </si>
  <si>
    <t>2555339,"9/11/2020","9/12/2020","Buenos Aires","LOMAS DE ZAMORA","","masculino","83","confirmado","","no","","En InvestigaciÃ³n"</t>
  </si>
  <si>
    <t>2555521,"9/15/2020","9/16/2020","CABA","PALERMO","14","femenino","67","confirmado","","no","","Comunitario"</t>
  </si>
  <si>
    <t>2556456,"9/11/2020","9/12/2020","CABA","ALMAGRO","5","femenino","59","confirmado","","no","","Contacto"</t>
  </si>
  <si>
    <t>2557819,"9/11/2020","9/11/2020","CABA","VILLA DEL PARQUE","11","femenino","28","confirmado","","no","","Contacto"</t>
  </si>
  <si>
    <t>2581398,"9/13/2020","9/13/2020","CABA","SAN NICOLAS","1","femenino","43","confirmado","","no","","En InvestigaciÃ³n"</t>
  </si>
  <si>
    <t>2583496,"9/13/2020","9/13/2020","Buenos Aires","CAMPANA","","femenino","57","confirmado","","no","","Contacto"</t>
  </si>
  <si>
    <t>2586855,"9/13/2020","9/14/2020","CABA","BALVANERA","3","femenino","20","confirmado","","no","","En InvestigaciÃ³n"</t>
  </si>
  <si>
    <t>2595733,"9/13/2020","9/13/2020","CABA","VILLA DEVOTO","11","femenino","19","confirmado","","no","","Comunitario"</t>
  </si>
  <si>
    <t>2606772,"9/14/2020","9/14/2020","CABA","PALERMO","14","femenino","53","confirmado","","no","","Contacto"</t>
  </si>
  <si>
    <t>2606919,"9/14/2020","9/14/2020","CABA","VILLA URQUIZA","12","masculino","22","confirmado","","no","","En InvestigaciÃ³n"</t>
  </si>
  <si>
    <t>2611504,"9/14/2020","9/14/2020","Buenos Aires","LANUS","","femenino","43","confirmado","","no","","Trabajador de la Salud"</t>
  </si>
  <si>
    <t>2612426,"9/14/2020","9/14/2020","CABA","VILLA URQUIZA","12","masculino","58","confirmado","","no","","En InvestigaciÃ³n"</t>
  </si>
  <si>
    <t>2612489,"9/14/2020","9/14/2020","CABA","CONSTITUCION","1","masculino","21","confirmado","","no","","Contacto"</t>
  </si>
  <si>
    <t>2612599,"9/14/2020","9/14/2020","CABA","VILLA DEL PARQUE","11","masculino","41","confirmado","","no","","Comunitario"</t>
  </si>
  <si>
    <t>2612618,"9/14/2020","9/14/2020","CABA","NUEVA POMPEYA","4","femenino","62","confirmado","","no","","Contacto"</t>
  </si>
  <si>
    <t>2613036,"9/14/2020","9/14/2020","CABA","ALMAGRO","5","masculino","37","confirmado","","no","","En InvestigaciÃ³n"</t>
  </si>
  <si>
    <t>2613960,"9/14/2020","9/14/2020","CABA","VILLA SOLDATI","8","femenino","30","confirmado","","no","","Comunitario"</t>
  </si>
  <si>
    <t>2618611,"9/14/2020","9/15/2020","CABA","COLEGIALES","13","masculino","74","confirmado","","no","","Comunitario"</t>
  </si>
  <si>
    <t>2618925,"9/15/2020","9/15/2020","CABA","BARRACAS","4","masculino","22","confirmado","","no","","Comunitario"</t>
  </si>
  <si>
    <t>2619059,"9/15/2020","9/15/2020","CABA","BOCA","4","masculino","44","confirmado","","no","","Comunitario"</t>
  </si>
  <si>
    <t>2619081,"9/15/2020","9/15/2020","CABA","BARRACAS","4","femenino","46","confirmado","","no","","Contacto"</t>
  </si>
  <si>
    <t>2619083,"9/15/2020","9/15/2020","CABA","BARRACAS","4","femenino","12","confirmado","","no","","Contacto"</t>
  </si>
  <si>
    <t>2619136,"9/15/2020","9/15/2020","Buenos Aires","LOMAS DE ZAMORA","","masculino","24","confirmado","","no","","Contacto"</t>
  </si>
  <si>
    <t>2669808,"9/15/2020","9/16/2020","CABA","PARQUE AVELLANEDA","9","femenino","42","confirmado","","no","","Comunitario"</t>
  </si>
  <si>
    <t>2669809,"9/16/2020","9/16/2020","CABA","CONSTITUCION","1","femenino","60","confirmado","","no","","Comunitario"</t>
  </si>
  <si>
    <t>2669837,"9/16/2020","9/16/2020","Buenos Aires","AVELLANEDA","","masculino","47","confirmado","","no","","Comunitario"</t>
  </si>
  <si>
    <t>2669845,"9/15/2020","9/16/2020","CABA","PARQUE AVELLANEDA","9","masculino","12","confirmado","","no","","Comunitario"</t>
  </si>
  <si>
    <t>2669913,"9/16/2020","9/16/2020","CABA","CABALLITO","6","femenino","37","confirmado","","no","","Comunitario"</t>
  </si>
  <si>
    <t>2669956,"9/15/2020","9/16/2020","CABA","PARQUE AVELLANEDA","9","masculino","19","confirmado","","no","","Comunitario"</t>
  </si>
  <si>
    <t>2669959,"9/16/2020","9/16/2020","Buenos Aires","PILAR","","femenino","44","confirmado","","no","","Contacto"</t>
  </si>
  <si>
    <t>2670007,"9/16/2020","9/16/2020","Buenos Aires","QUILMES","","femenino","32","confirmado","","no","","En InvestigaciÃ³n"</t>
  </si>
  <si>
    <t>2670015,"9/16/2020","9/16/2020","Buenos Aires","LANUS","","masculino","47","confirmado","","no","","Contacto"</t>
  </si>
  <si>
    <t>2670016,"9/15/2020","9/16/2020","CABA","PARQUE AVELLANEDA","9","masculino","47","confirmado","","no","","Comunitario"</t>
  </si>
  <si>
    <t>2670021,"9/16/2020","9/16/2020","Buenos Aires","AVELLANEDA","","femenino","47","confirmado","","no","","Contacto"</t>
  </si>
  <si>
    <t>2670063,"9/16/2020","9/16/2020","Buenos Aires","LANUS","","masculino","30","confirmado","","no","","En InvestigaciÃ³n"</t>
  </si>
  <si>
    <t>2670246,"9/16/2020","9/16/2020","Buenos Aires","LOMAS DE ZAMORA","","masculino","42","confirmado","","no","","Comunitario"</t>
  </si>
  <si>
    <t>2670267,"9/16/2020","9/16/2020","CABA","RECOLETA","2","masculino","21","confirmado","","no","","Contacto"</t>
  </si>
  <si>
    <t>2670269,"9/16/2020","9/16/2020","Buenos Aires","PILAR","","femenino","61","confirmado","","no","","Contacto"</t>
  </si>
  <si>
    <t>2670364,"9/16/2020","9/16/2020","CABA","RECOLETA","2","femenino","29","confirmado","","no","","Trabajador de la Salud"</t>
  </si>
  <si>
    <t>2670604,"9/17/2020","9/17/2020","CABA","PALERMO","14","femenino","21","confirmado","","no","","Comunitario"</t>
  </si>
  <si>
    <t>2670700,"9/16/2020","9/16/2020","Buenos Aires","LOMAS DE ZAMORA","","femenino","24","confirmado","","no","","Trabajador de la Salud"</t>
  </si>
  <si>
    <t>2670847,"9/16/2020","9/16/2020","Buenos Aires","LANUS","","masculino","27","confirmado","","no","","Comunitario"</t>
  </si>
  <si>
    <t>2670936,"9/16/2020","9/16/2020","Buenos Aires","LOMAS DE ZAMORA","","masculino","29","confirmado","","no","","Comunitario"</t>
  </si>
  <si>
    <t>2671778,"9/16/2020","9/16/2020","Buenos Aires","PILAR","","masculino","24","confirmado","","no","","Comunitario"</t>
  </si>
  <si>
    <t>2671811,"9/16/2020","9/17/2020","CABA","PALERMO","14","masculino","48","confirmado","","no","","Contacto"</t>
  </si>
  <si>
    <t>2671962,"9/16/2020","9/16/2020","Buenos Aires","CAMPANA","","masculino","32","confirmado","","no","","Contacto"</t>
  </si>
  <si>
    <t>2672086,"9/16/2020","9/16/2020","CABA","VILLA LUGANO","8","masculino","2","confirmado","","no","","Comunitario"</t>
  </si>
  <si>
    <t>2674431,"9/16/2020","9/16/2020","CABA","VILLA LURO","10","masculino","56","confirmado","","no","","Comunitario"</t>
  </si>
  <si>
    <t>2676477,"9/16/2020","9/16/2020","Buenos Aires","AVELLANEDA","","femenino","47","confirmado","","no","","Comunitario"</t>
  </si>
  <si>
    <t>2678601,"9/16/2020","9/17/2020","CABA","VILLA SOLDATI","8","masculino","45","confirmado","","no","","Comunitario"</t>
  </si>
  <si>
    <t>2682378,"9/15/2020","9/15/2020","CABA","BALVANERA","3","femenino","73","confirmado","","no","","Comunitario"</t>
  </si>
  <si>
    <t>2682920,"9/16/2020","9/19/2020","Buenos Aires","LOMAS DE ZAMORA","","femenino","75","confirmado","","no","","Comunitario"</t>
  </si>
  <si>
    <t>2684321,"9/17/2020","9/17/2020","Buenos Aires","PILAR","","masculino","71","confirmado","","no","","Comunitario"</t>
  </si>
  <si>
    <t>2688199,"9/16/2020","9/16/2020","CABA","CHACARITA","15","femenino","23","confirmado","","no","","Comunitario"</t>
  </si>
  <si>
    <t>2688259,"9/17/2020","9/17/2020","Buenos Aires","QUILMES","","masculino","34","confirmado","","no","","En InvestigaciÃ³n"</t>
  </si>
  <si>
    <t>2690141,"9/17/2020","9/17/2020","CABA","BALVANERA","3","masculino","47","confirmado","","no","","Contacto"</t>
  </si>
  <si>
    <t>2691834,"9/16/2020","9/16/2020","CABA","NUEVA POMPEYA","4","femenino","32","confirmado","","no","","Comunitario"</t>
  </si>
  <si>
    <t>2693079,"9/16/2020","9/16/2020","Buenos Aires","LOMAS DE ZAMORA","","masculino","37","confirmado","","no","","Comunitario"</t>
  </si>
  <si>
    <t>2082834,"8/24/2020","8/25/2020","CABA","RETIRO","1","masculino","63","confirmado","","no","","Comunitario"</t>
  </si>
  <si>
    <t>2109881,"8/25/2020","8/25/2020","Buenos Aires","AVELLANEDA","","femenino","64","confirmado","","no","","En InvestigaciÃ³n"</t>
  </si>
  <si>
    <t>2251710,"8/31/2020","9/1/2020","CABA","SAN CRISTOBAL","3","femenino","39","confirmado","","no","","Trabajador de la Salud"</t>
  </si>
  <si>
    <t>2258312,"9/1/2020","9/1/2020","Buenos Aires","LANUS","","masculino","27","confirmado","","no","","Comunitario"</t>
  </si>
  <si>
    <t>2266814,"9/1/2020","9/1/2020","CABA","SAN CRISTOBAL","3","femenino","77","confirmado","","no","","En InvestigaciÃ³n"</t>
  </si>
  <si>
    <t>2272061,"8/31/2020","9/1/2020","Buenos Aires","PILAR","","femenino","56","confirmado","","no","","Comunitario"</t>
  </si>
  <si>
    <t>2285562,"9/2/2020","9/3/2020","Buenos Aires","AVELLANEDA","","femenino","30","confirmado","","no","","Comunitario"</t>
  </si>
  <si>
    <t>2311842,"9/1/2020","9/1/2020","CABA","SAN NICOLAS","1","masculino","20","confirmado","","no","","Comunitario"</t>
  </si>
  <si>
    <t>2337133,"9/3/2020","9/3/2020","CABA","PARQUE AVELLANEDA","9","masculino","30","confirmado","","no","","En InvestigaciÃ³n"</t>
  </si>
  <si>
    <t>2348360,"9/13/2020","9/13/2020","Buenos Aires","CAMPANA","","femenino","40","confirmado","","no","","Trabajador de la Salud"</t>
  </si>
  <si>
    <t>2368958,"9/4/2020","9/5/2020","Buenos Aires","LANUS","","femenino","88","confirmado","","no","","Contacto"</t>
  </si>
  <si>
    <t>2369026,"9/5/2020","9/5/2020","Buenos Aires","PILAR","","femenino","28","confirmado","","no","","Comunitario"</t>
  </si>
  <si>
    <t>2381899,"9/5/2020","9/6/2020","Buenos Aires","LANUS","","masculino","65","confirmado","","no","","Contacto"</t>
  </si>
  <si>
    <t>2384813,"9/5/2020","9/6/2020","Buenos Aires","LANUS","","masculino","74","confirmado","","no","","Comunitario"</t>
  </si>
  <si>
    <t>2388151,"9/5/2020","9/5/2020","Buenos Aires","QUILMES","","masculino","53","confirmado","","no","","En InvestigaciÃ³n"</t>
  </si>
  <si>
    <t>2398274,"9/6/2020","9/7/2020","Buenos Aires","LOMAS DE ZAMORA","","femenino","84","confirmado","","no","","Contacto"</t>
  </si>
  <si>
    <t>2404264,"9/5/2020","9/8/2020","CABA","NUÃ‘EZ","13","masculino","68","confirmado","","no","","Contacto"</t>
  </si>
  <si>
    <t>2406134,"9/7/2020","9/7/2020","CABA","FLORES","7","masculino","51","confirmado","","no","","Comunitario"</t>
  </si>
  <si>
    <t>2418052,"9/7/2020","9/7/2020","Buenos Aires","LOMAS DE ZAMORA","","femenino","41","confirmado","","no","","Contacto"</t>
  </si>
  <si>
    <t>2421359,"9/7/2020","9/8/2020","Buenos Aires","AVELLANEDA","","masculino","24","confirmado","","no","","Comunitario"</t>
  </si>
  <si>
    <t>2428600,"9/7/2020","9/8/2020","Buenos Aires","CAMPANA","","masculino","61","confirmado","","no","","Comunitario"</t>
  </si>
  <si>
    <t>2428741,"9/4/2020","9/5/2020","CABA","CONSTITUCION","1","masculino","52","confirmado","","no","","Comunitario"</t>
  </si>
  <si>
    <t>2437698,"9/5/2020","9/6/2020","Buenos Aires","AVELLANEDA","","masculino","50","confirmado","","no","","Comunitario"</t>
  </si>
  <si>
    <t>2439585,"9/7/2020","9/7/2020","CABA","FLORES","7","femenino","39","confirmado","","no","","Comunitario"</t>
  </si>
  <si>
    <t>2440165,"9/7/2020","9/8/2020","CABA","PALERMO","14","femenino","92","confirmado","","no","","En InvestigaciÃ³n"</t>
  </si>
  <si>
    <t>2461073,"9/8/2020","9/8/2020","Buenos Aires","LANUS","","femenino","47","confirmado","","no","","Comunitario"</t>
  </si>
  <si>
    <t>2461536,"9/8/2020","9/8/2020","Buenos Aires","LANUS","","masculino","60","confirmado","","no","","Contacto"</t>
  </si>
  <si>
    <t>2462361,"9/27/2020","9/28/2020","CABA","VILLA DEVOTO","11","masculino","80","confirmado","","no","","Comunitario"</t>
  </si>
  <si>
    <t>2464335,"9/8/2020","9/9/2020","Buenos Aires","QUILMES","","masculino","53","confirmado","","no","","En InvestigaciÃ³n"</t>
  </si>
  <si>
    <t>2466875,"9/8/2020","9/9/2020","Buenos Aires","AVELLANEDA","","masculino","42","confirmado","","no","","En InvestigaciÃ³n"</t>
  </si>
  <si>
    <t>2467289,"9/8/2020","9/10/2020","CABA","PALERMO","14","masculino","33","confirmado","","no","","Comunitario"</t>
  </si>
  <si>
    <t>2471658,"9/4/2020","9/5/2020","Buenos Aires","VICENTE LOPEZ","","masculino","36","confirmado","","no","","Comunitario"</t>
  </si>
  <si>
    <t>2472942,"9/8/2020","9/10/2020","CABA","VILLA LURO","10","femenino","52","confirmado","","no","","Trabajador de la Salud"</t>
  </si>
  <si>
    <t>2476440,"9/9/2020","9/9/2020","CABA","NUEVA POMPEYA","4","masculino","64","confirmado","","no","","Comunitario"</t>
  </si>
  <si>
    <t>2480158,"9/8/2020","9/8/2020","CABA","CONSTITUCION","1","masculino","62","confirmado","","no","","Trabajador de la Salud"</t>
  </si>
  <si>
    <t>2482853,"9/9/2020","9/9/2020","CABA","NUEVA POMPEYA","4","femenino","40","confirmado","","no","","Comunitario"</t>
  </si>
  <si>
    <t>2483121,"9/9/2020","9/9/2020","CABA","BALVANERA","3","femenino","41","confirmado","","no","","Contacto"</t>
  </si>
  <si>
    <t>2483632,"9/9/2020","9/10/2020","CABA","BALVANERA","3","masculino","65","confirmado","","no","","Comunitario"</t>
  </si>
  <si>
    <t>2483699,"9/9/2020","9/9/2020","CABA","ALMAGRO","5","femenino","32","confirmado","","no","","Comunitario"</t>
  </si>
  <si>
    <t>2484070,"9/9/2020","9/9/2020","CABA","VILLA LUGANO","8","masculino","27","confirmado","","no","","Comunitario"</t>
  </si>
  <si>
    <t>2484243,"9/9/2020","9/9/2020","CABA","VILLA LUGANO","8","femenino","19","confirmado","","no","","Comunitario"</t>
  </si>
  <si>
    <t>2484330,"9/9/2020","9/9/2020","CABA","BALVANERA","3","femenino","24","confirmado","","no","","Comunitario"</t>
  </si>
  <si>
    <t>2484411,"9/9/2020","9/9/2020","CABA","FLORES","7","femenino","41","confirmado","","no","","Comunitario"</t>
  </si>
  <si>
    <t>2484519,"9/9/2020","9/9/2020","CABA","BARRACAS","4","masculino","63","confirmado","","no","","Comunitario"</t>
  </si>
  <si>
    <t>2484548,"9/9/2020","9/9/2020","Buenos Aires","LANUS","","femenino","32","confirmado","","no","","Comunitario"</t>
  </si>
  <si>
    <t>2484585,"9/9/2020","9/9/2020","CABA","ALMAGRO","5","masculino","44","confirmado","","no","","Contacto"</t>
  </si>
  <si>
    <t>2484615,"9/9/2020","9/9/2020","Buenos Aires","VICENTE LOPEZ","","femenino","10","confirmado","","no","","Comunitario"</t>
  </si>
  <si>
    <t>2484625,"9/9/2020","9/9/2020","CABA","FLORES","7","femenino","48","confirmado","","no","","Comunitario"</t>
  </si>
  <si>
    <t>2484665,"9/9/2020","9/9/2020","Buenos Aires","VICENTE LOPEZ","","masculino","12","confirmado","","no","","Comunitario"</t>
  </si>
  <si>
    <t>2484715,"9/9/2020","9/9/2020","Buenos Aires","PILAR","","femenino","35","confirmado","","no","","Comunitario"</t>
  </si>
  <si>
    <t>2484748,"9/9/2020","9/9/2020","CABA","VILLA SOLDATI","8","masculino","54","confirmado","","no","","Comunitario"</t>
  </si>
  <si>
    <t>2484758,"9/9/2020","9/9/2020","Buenos Aires","LANUS","","femenino","8","confirmado","","no","","Comunitario"</t>
  </si>
  <si>
    <t>2484823,"9/9/2020","9/9/2020","Buenos Aires","VICENTE LOPEZ","","femenino","41","confirmado","","no","","Comunitario"</t>
  </si>
  <si>
    <t>2484912,"9/9/2020","9/10/2020","Buenos Aires","VICENTE LOPEZ","","masculino","44","confirmado","","no","","Comunitario"</t>
  </si>
  <si>
    <t>2484917,"9/9/2020","9/9/2020","CABA","BARRACAS","4","femenino","21","confirmado","","no","","Comunitario"</t>
  </si>
  <si>
    <t>2485151,"9/9/2020","9/9/2020","CABA","VILLA LUGANO","8","femenino","14","confirmado","","no","","Comunitario"</t>
  </si>
  <si>
    <t>2485193,"9/9/2020","9/9/2020","CABA","VILLA LUGANO","8","femenino","57","confirmado","","no","","Comunitario"</t>
  </si>
  <si>
    <t>2485203,"9/9/2020","9/9/2020","CABA","VILLA LUGANO","8","femenino","55","confirmado","","no","","Comunitario"</t>
  </si>
  <si>
    <t>2485211,"9/9/2020","9/9/2020","CABA","VILLA LUGANO","8","femenino","35","confirmado","","no","","Comunitario"</t>
  </si>
  <si>
    <t>2485323,"9/9/2020","9/9/2020","Buenos Aires","VICENTE LOPEZ","","masculino","50","confirmado","","no","","Comunitario"</t>
  </si>
  <si>
    <t>2485349,"9/9/2020","9/9/2020","CABA","VILLA LUGANO","8","femenino","3","confirmado","","no","","Comunitario"</t>
  </si>
  <si>
    <t>2488171,"9/9/2020","9/9/2020","Buenos Aires","VICENTE LOPEZ","","masculino","21","confirmado","","no","","Comunitario"</t>
  </si>
  <si>
    <t>2488369,"9/9/2020","9/9/2020","CABA","BARRACAS","4","masculino","30","confirmado","","no","","Comunitario"</t>
  </si>
  <si>
    <t>2488379,"9/9/2020","9/9/2020","CABA","BARRACAS","4","femenino","35","confirmado","","no","","Comunitario"</t>
  </si>
  <si>
    <t>2488569,"9/9/2020","9/9/2020","CABA","FLORES","7","masculino","64","confirmado","","no","","Comunitario"</t>
  </si>
  <si>
    <t>2488622,"9/9/2020","9/9/2020","CABA","SAN TELMO","1","masculino","57","confirmado","","no","","Comunitario"</t>
  </si>
  <si>
    <t>2488703,"9/9/2020","9/9/2020","CABA","SAN CRISTOBAL","3","femenino","36","confirmado","","no","","Comunitario"</t>
  </si>
  <si>
    <t>2488708,"9/9/2020","9/9/2020","CABA","CABALLITO","6","femenino","33","confirmado","","no","","Comunitario"</t>
  </si>
  <si>
    <t>2488756,"9/9/2020","9/9/2020","CABA","BALVANERA","3","masculino","42","confirmado","","no","","Comunitario"</t>
  </si>
  <si>
    <t>2491669,"9/9/2020","9/9/2020","Buenos Aires","LOMAS DE ZAMORA","","masculino","26","confirmado","","no","","Comunitario"</t>
  </si>
  <si>
    <t>2131979,"8/26/2020","8/28/2020","Buenos Aires","VICENTE LOPEZ","","femenino","75","confirmado","","no","","Comunitario"</t>
  </si>
  <si>
    <t>2167076,"8/31/2020","9/1/2020","Buenos Aires","VICENTE LOPEZ","","masculino","56","confirmado","","no","","Trabajador de la Salud"</t>
  </si>
  <si>
    <t>2179703,"8/28/2020","8/29/2020","Buenos Aires","VICENTE LOPEZ","","masculino","61","confirmado","","no","","Contacto"</t>
  </si>
  <si>
    <t>2315157,"9/3/2020","9/3/2020","CABA","PALERMO","14","femenino","27","confirmado","","no","","Comunitario"</t>
  </si>
  <si>
    <t>2321024,"9/1/2020","9/1/2020","CABA","VILLA LURO","10","masculino","63","confirmado","","no","","Contacto"</t>
  </si>
  <si>
    <t>2394812,"9/5/2020","9/6/2020","Buenos Aires","VICENTE LOPEZ","","masculino","67","confirmado","","no","","Comunitario"</t>
  </si>
  <si>
    <t>2396721,"9/6/2020","9/7/2020","Buenos Aires","PILAR","","masculino","36","confirmado","","no","","En InvestigaciÃ³n"</t>
  </si>
  <si>
    <t>2408252,"9/7/2020","9/7/2020","Buenos Aires","VICENTE LOPEZ","","femenino","46","confirmado","","no","","Trabajador de la Salud"</t>
  </si>
  <si>
    <t>2408851,"9/6/2020","9/6/2020","CABA","VILLA DEVOTO","11","femenino","49","confirmado","","no","","Comunitario"</t>
  </si>
  <si>
    <t>2415374,"9/7/2020","9/7/2020","CABA","BALVANERA","3","masculino","23","confirmado","","no","","En InvestigaciÃ³n"</t>
  </si>
  <si>
    <t>2423000,"9/7/2020","9/7/2020","CABA","BALVANERA","3","masculino","38","confirmado","","no","","En InvestigaciÃ³n"</t>
  </si>
  <si>
    <t>2425296,"9/7/2020","9/7/2020","CABA","BALVANERA","3","masculino","57","confirmado","","no","","En InvestigaciÃ³n"</t>
  </si>
  <si>
    <t>2426481,"9/7/2020","9/7/2020","CABA","BALVANERA","3","femenino","53","confirmado","","no","","Contacto"</t>
  </si>
  <si>
    <t>2427573,"9/7/2020","9/7/2020","CABA","SAN NICOLAS","1","femenino","50","confirmado","","no","","Comunitario"</t>
  </si>
  <si>
    <t>2429631,"9/8/2020","9/8/2020","Buenos Aires","VICENTE LOPEZ","","masculino","28","confirmado","","no","","En InvestigaciÃ³n"</t>
  </si>
  <si>
    <t>2386917,"9/5/2020","9/5/2020","CABA","VILLA SOLDATI","8","femenino","52","confirmado","","no","","Comunitario"</t>
  </si>
  <si>
    <t>2386963,"9/5/2020","9/5/2020","CABA","FLORES","7","masculino","18","confirmado","","no","","Comunitario"</t>
  </si>
  <si>
    <t>2387010,"9/5/2020","9/5/2020","CABA","CONSTITUCION","1","masculino","26","confirmado","","no","","Comunitario"</t>
  </si>
  <si>
    <t>2387559,"9/5/2020","9/5/2020","Buenos Aires","LANUS","","femenino","42","confirmado","","no","","En InvestigaciÃ³n"</t>
  </si>
  <si>
    <t>2388860,"9/5/2020","9/8/2020","Buenos Aires","VICENTE LOPEZ","","femenino","87","confirmado","","no","","Contacto"</t>
  </si>
  <si>
    <t>2389709,"9/6/2020","9/6/2020","CABA","COLEGIALES","13","masculino","50","confirmado","","no","","Comunitario"</t>
  </si>
  <si>
    <t>2390087,"9/5/2020","9/6/2020","CABA","ALMAGRO","5","femenino","48","confirmado","","no","","Trabajador de la Salud"</t>
  </si>
  <si>
    <t>2390305,"9/6/2020","9/6/2020","CABA","BARRACAS","4","masculino","21","confirmado","","no","","Comunitario"</t>
  </si>
  <si>
    <t>2390329,"9/5/2020","9/6/2020","Buenos Aires","VICENTE LOPEZ","","femenino","52","confirmado","","no","","Contacto"</t>
  </si>
  <si>
    <t>2391900,"9/6/2020","9/6/2020","CABA","BOCA","4","masculino","45","confirmado","","no","","Contacto"</t>
  </si>
  <si>
    <t>2391920,"9/6/2020","9/6/2020","CABA","VILLA URQUIZA","12","femenino","60","confirmado","","no","","Comunitario"</t>
  </si>
  <si>
    <t>2393169,"9/6/2020","9/6/2020","CABA","PALERMO","14","masculino","26","confirmado","","no","","Contacto"</t>
  </si>
  <si>
    <t>2393930,"9/6/2020","9/6/2020","CABA","ALMAGRO","5","masculino","40","confirmado","","no","","Contacto"</t>
  </si>
  <si>
    <t>2393942,"9/6/2020","9/6/2020","CABA","BALVANERA","3","masculino","22","confirmado","","no","","Contacto"</t>
  </si>
  <si>
    <t>2394096,"9/6/2020","9/6/2020","Buenos Aires","VICENTE LOPEZ","","femenino","28","confirmado","","no","","Comunitario"</t>
  </si>
  <si>
    <t>2394293,"9/6/2020","9/6/2020","Buenos Aires","VICENTE LOPEZ","","masculino","25","confirmado","","no","","Comunitario"</t>
  </si>
  <si>
    <t>2394603,"9/6/2020","9/6/2020","CABA","ALMAGRO","5","femenino","49","confirmado","","no","","Contacto"</t>
  </si>
  <si>
    <t>2394703,"9/6/2020","9/6/2020","CABA","SAN CRISTOBAL","3","masculino","20","confirmado","","no","","Contacto"</t>
  </si>
  <si>
    <t>2394746,"9/6/2020","9/6/2020","CABA","SAN CRISTOBAL","3","femenino","28","confirmado","","no","","En InvestigaciÃ³n"</t>
  </si>
  <si>
    <t>2396016,"9/6/2020","9/7/2020","Buenos Aires","VICENTE LOPEZ","","masculino","34","confirmado","","no","","Comunitario"</t>
  </si>
  <si>
    <t>2396068,"9/6/2020","9/6/2020","CABA","PALERMO","14","femenino","22","confirmado","","no","","Comunitario"</t>
  </si>
  <si>
    <t>2396969,"9/7/2020","9/7/2020","Buenos Aires","VICENTE LOPEZ","","femenino","50","confirmado","","no","","En InvestigaciÃ³n"</t>
  </si>
  <si>
    <t>2397256,"9/6/2020","9/6/2020","CABA","VILLA SOLDATI","8","femenino","64","confirmado","","no","","Comunitario"</t>
  </si>
  <si>
    <t>2397312,"9/5/2020","9/6/2020","Buenos Aires","PILAR","","masculino","84","confirmado","","no","","Comunitario"</t>
  </si>
  <si>
    <t>2397400,"9/6/2020","9/6/2020","Buenos Aires","LANUS","","femenino","9","confirmado","","no","","Comunitario"</t>
  </si>
  <si>
    <t>2397408,"9/6/2020","9/6/2020","Buenos Aires","VICENTE LOPEZ","","femenino","95","confirmado","","no","","Comunitario"</t>
  </si>
  <si>
    <t>2397450,"9/6/2020","9/6/2020","CABA","BARRACAS","4","femenino","48","confirmado","","no","","Comunitario"</t>
  </si>
  <si>
    <t>2397502,"9/6/2020","9/6/2020","CABA","BARRACAS","4","femenino","49","confirmado","","no","","Comunitario"</t>
  </si>
  <si>
    <t>2397529,"9/6/2020","9/6/2020","CABA","FLORES","7","masculino","15","confirmado","","no","","Comunitario"</t>
  </si>
  <si>
    <t>2397657,"9/6/2020","9/6/2020","CABA","BARRACAS","4","masculino","9","confirmado","","no","","Comunitario"</t>
  </si>
  <si>
    <t>2397782,"9/6/2020","9/6/2020","CABA","BARRACAS","4","femenino","8","confirmado","","no","","Comunitario"</t>
  </si>
  <si>
    <t>2397803,"9/6/2020","9/6/2020","CABA","FLORES","7","masculino","14","confirmado","","no","","Comunitario"</t>
  </si>
  <si>
    <t>2397878,"9/6/2020","9/6/2020","CABA","CHACARITA","15","femenino","47","confirmado","","no","","Comunitario"</t>
  </si>
  <si>
    <t>2397969,"9/6/2020","9/6/2020","CABA","BARRACAS","4","femenino","33","confirmado","","no","","Comunitario"</t>
  </si>
  <si>
    <t>2398861,"9/6/2020","9/6/2020","Buenos Aires","VICENTE LOPEZ","","masculino","8","confirmado","","no","","Contacto"</t>
  </si>
  <si>
    <t>2574792,"9/13/2020","9/13/2020","CABA","FLORES","7","femenino","15","confirmado","","no","","Comunitario"</t>
  </si>
  <si>
    <t>2576743,"9/12/2020","9/14/2020","CABA","PARQUE PATRICIOS","4","femenino","52","confirmado","","no","","Contacto"</t>
  </si>
  <si>
    <t>2577652,"9/13/2020","9/13/2020","CABA","FLORES","7","masculino","30","confirmado","","no","","Comunitario"</t>
  </si>
  <si>
    <t>2579721,"9/13/2020","9/13/2020","Buenos Aires","VICENTE LOPEZ","","masculino","60","confirmado","","no","","En InvestigaciÃ³n"</t>
  </si>
  <si>
    <t>2580010,"9/13/2020","9/13/2020","CABA","VILLA LUGANO","8","femenino","65","confirmado","","no","","Comunitario"</t>
  </si>
  <si>
    <t>2584905,"9/13/2020","9/15/2020","CABA","MATADEROS","9","femenino","50","confirmado","","no","","En InvestigaciÃ³n"</t>
  </si>
  <si>
    <t>2585531,"9/14/2020","9/16/2020","Buenos Aires","LOMAS DE ZAMORA","","femenino","52","confirmado","","no","","En InvestigaciÃ³n"</t>
  </si>
  <si>
    <t>2590898,"9/13/2020","9/13/2020","Buenos Aires","VICENTE LOPEZ","","femenino","40","confirmado","","no","","Comunitario"</t>
  </si>
  <si>
    <t>2591128,"9/13/2020","9/13/2020","CABA","VILLA GRAL. MITRE","11","femenino","38","confirmado","","no","","Comunitario"</t>
  </si>
  <si>
    <t>2591667,"9/9/2020","9/9/2020","Buenos Aires","VICENTE LOPEZ","","masculino","41","confirmado","","no","","Comunitario"</t>
  </si>
  <si>
    <t>2591869,"9/14/2020","9/14/2020","CABA","MONTE CASTRO","10","femenino","26","confirmado","","no","","Comunitario"</t>
  </si>
  <si>
    <t>2599082,"9/14/2020","9/18/2020","Buenos Aires","ENSENADA","","masculino","41","confirmado","","no","","Comunitario"</t>
  </si>
  <si>
    <t>2600188,"9/14/2020","9/14/2020","CABA","VILLA SOLDATI","8","masculino","31","confirmado","","no","","Comunitario"</t>
  </si>
  <si>
    <t>2600334,"9/14/2020","9/14/2020","CABA","CONSTITUCION","1","masculino","71","confirmado","","no","","Comunitario"</t>
  </si>
  <si>
    <t>2600381,"9/14/2020","9/14/2020","CABA","VILLA SOLDATI","8","femenino","37","confirmado","","no","","Comunitario"</t>
  </si>
  <si>
    <t>2606722,"9/14/2020","9/14/2020","CABA","ALMAGRO","5","masculino","67","confirmado","","no","","Comunitario"</t>
  </si>
  <si>
    <t>2607772,"9/14/2020","9/14/2020","CABA","VILLA LUGANO","8","femenino","47","confirmado","","no","","Comunitario"</t>
  </si>
  <si>
    <t>2607791,"9/14/2020","9/14/2020","CABA","PARQUE AVELLANEDA","9","femenino","49","confirmado","","no","","Comunitario"</t>
  </si>
  <si>
    <t>2607815,"9/14/2020","9/14/2020","Buenos Aires","VICENTE LOPEZ","","masculino","15","confirmado","","no","","Comunitario"</t>
  </si>
  <si>
    <t>2607844,"9/14/2020","9/18/2020","Buenos Aires","PILAR","","masculino","49","confirmado","","no","","Comunitario"</t>
  </si>
  <si>
    <t>2607859,"9/14/2020","9/14/2020","CABA","BARRACAS","4","femenino","21","confirmado","","no","","Comunitario"</t>
  </si>
  <si>
    <t>2612527,"9/11/2020","9/11/2020","CABA","BALVANERA","3","masculino","34","confirmado","","no","","Comunitario"</t>
  </si>
  <si>
    <t>2630626,"9/15/2020","9/15/2020","CABA","NUÃ‘EZ","13","masculino","71","confirmado","","no","","Comunitario"</t>
  </si>
  <si>
    <t>2637807,"9/14/2020","9/16/2020","CABA","VERSALLES","10","femenino","37","confirmado","","no","","Trabajador de la Salud"</t>
  </si>
  <si>
    <t>2640428,"9/15/2020","9/15/2020","CABA","BARRACAS","4","masculino","19","confirmado","","no","","Comunitario"</t>
  </si>
  <si>
    <t>2650219,"9/15/2020","9/15/2020","CABA","NUÃ‘EZ","13","masculino","39","confirmado","","no","","Trabajador de la Salud"</t>
  </si>
  <si>
    <t>2700334,"9/17/2020","9/17/2020","CABA","VILLA LUGANO","8","femenino","42","confirmado","","no","","Comunitario"</t>
  </si>
  <si>
    <t>2700377,"9/17/2020","9/17/2020","CABA","AGRONOMIA","15","femenino","8","confirmado","","no","","Comunitario"</t>
  </si>
  <si>
    <t>2808685,"9/22/2020","9/22/2020","CABA","PALERMO","14","femenino","63","confirmado","","no","","Trabajador de la Salud"</t>
  </si>
  <si>
    <t>2934253,"9/3/2020","9/3/2020","CABA","PARQUE CHACABUCO","7","femenino","69","confirmado","","no","","Comunitario"</t>
  </si>
  <si>
    <t>2934475,"9/3/2020","9/3/2020","Buenos Aires","LANUS","","masculino","65","confirmado","","no","","Comunitario"</t>
  </si>
  <si>
    <t>2419914,"9/7/2020","1/18/2020","Buenos Aires","VICENTE LOPEZ","","femenino","30","confirmado","","no","","Comunitario"</t>
  </si>
  <si>
    <t>2583792,"9/13/2020","9/13/2020","CABA","SAN CRISTOBAL","3","masculino","52","confirmado","","no","","Comunitario"</t>
  </si>
  <si>
    <t>2589658,"9/11/2020","9/14/2020","Buenos Aires","VICENTE LOPEZ","","masculino","71","confirmado","","no","","Comunitario"</t>
  </si>
  <si>
    <t>2589746,"9/14/2020","9/14/2020","Buenos Aires","ENSENADA","","femenino","20","confirmado","","no","","Comunitario"</t>
  </si>
  <si>
    <t>2591165,"9/13/2020","9/13/2020","CABA","MONSERRAT","1","femenino","35","confirmado","","no","","Comunitario"</t>
  </si>
  <si>
    <t>2605655,"9/14/2020","9/14/2020","CABA","BARRACAS","4","masculino","15","confirmado","","no","","Comunitario"</t>
  </si>
  <si>
    <t>2637077,"9/15/2020","9/21/2020","CABA","NUÃ‘EZ","13","femenino","59","confirmado","","no","","Comunitario"</t>
  </si>
  <si>
    <t>2638018,"9/1/2020","9/1/2020","CABA","RECOLETA","2","masculino","54","confirmado","","no","","Comunitario"</t>
  </si>
  <si>
    <t>2650178,"9/15/2020","9/16/2020","Buenos Aires","VICENTE LOPEZ","","masculino","59","confirmado","","no","","Comunitario"</t>
  </si>
  <si>
    <t>1277296,"7/7/2020","7/8/2020","CABA","ALMAGRO","5","masculino","40","confirmado","","no","","Comunitario"</t>
  </si>
  <si>
    <t>1815553,"8/15/2020","8/26/2020","CABA","BALVANERA","3","femenino","74","confirmado","","no","","En InvestigaciÃ³n"</t>
  </si>
  <si>
    <t>2310981,"9/2/2020","9/17/2020","CABA","BOCA","4","femenino","34","confirmado","","no","","Comunitario"</t>
  </si>
  <si>
    <t>2032949,"8/29/2020","8/29/2020","CABA","VILLA SOLDATI","8","masculino","42","confirmado","","no","","En InvestigaciÃ³n"</t>
  </si>
  <si>
    <t>2327484,"9/3/2020","9/3/2020","CABA","PARQUE AVELLANEDA","9","masculino","27","confirmado","","no","","Comunitario"</t>
  </si>
  <si>
    <t>2439850,"9/7/2020","9/23/2020","Buenos Aires","PILAR","","masculino","65","confirmado","","no","","Comunitario"</t>
  </si>
  <si>
    <t>2535940,"9/10/2020","10/6/2020","Buenos Aires","ENSENADA","","masculino","58","confirmado","","no","","Comunitario"</t>
  </si>
  <si>
    <t>2607403,"9/13/2020","9/14/2020","CABA","VILLA DEVOTO","11","femenino","45","confirmado","","no","","Comunitario"</t>
  </si>
  <si>
    <t>2287538,"9/11/2020","9/12/2020","CABA","VILLA LUGANO","8","masculino","44","confirmado","","no","","Comunitario"</t>
  </si>
  <si>
    <t>2169922,"8/27/2020","8/28/2020","Buenos Aires","VICENTE LOPEZ","","masculino","99","confirmado","","no","","Contacto"</t>
  </si>
  <si>
    <t>2500212,"9/7/2020","9/8/2020","CABA","CABALLITO","6","masculino","41","confirmado","","no","","Comunitario"</t>
  </si>
  <si>
    <t>2500881,"9/10/2020","9/10/2020","CABA","VILLA LUGANO","8","femenino","50","confirmado","","no","","Comunitario"</t>
  </si>
  <si>
    <t>2501796,"9/9/2020","9/10/2020","CABA","ALMAGRO","5","femenino","75","confirmado","","no","","Contacto"</t>
  </si>
  <si>
    <t>2506443,"9/10/2020","9/10/2020","Buenos Aires","VICENTE LOPEZ","","femenino","26","confirmado","","no","","En InvestigaciÃ³n"</t>
  </si>
  <si>
    <t>2508476,"9/9/2020","9/9/2020","CABA","PALERMO","14","femenino","48","confirmado","","no","","En InvestigaciÃ³n"</t>
  </si>
  <si>
    <t>2510107,"9/11/2020","9/13/2020","CABA","CABALLITO","6","masculino","59","confirmado","","no","","Comunitario"</t>
  </si>
  <si>
    <t>2515596,"9/10/2020","9/10/2020","Buenos Aires","VICENTE LOPEZ","","femenino","34","confirmado","","no","","Comunitario"</t>
  </si>
  <si>
    <t>2515862,"9/10/2020","9/10/2020","CABA","VILLA LUGANO","8","masculino","68","confirmado","","no","","Comunitario"</t>
  </si>
  <si>
    <t>2517800,"9/10/2020","9/10/2020","CABA","PUERTO MADERO","1","femenino","50","confirmado","","no","","Comunitario"</t>
  </si>
  <si>
    <t>2528226,"9/11/2020","9/14/2020","CABA","ALMAGRO","5","masculino","85","confirmado","","no","","Contacto"</t>
  </si>
  <si>
    <t>2541029,"9/11/2020","9/12/2020","Buenos Aires","LOMAS DE ZAMORA","","masculino","20","confirmado","","no","","Contacto"</t>
  </si>
  <si>
    <t>2543698,"9/11/2020","9/11/2020","CABA","BOCA","4","masculino","51","confirmado","","no","","Contacto"</t>
  </si>
  <si>
    <t>2544768,"9/10/2020","9/10/2020","CABA","ALMAGRO","5","femenino","7","confirmado","","no","","Comunitario"</t>
  </si>
  <si>
    <t>2545159,"9/10/2020","9/10/2020","CABA","ALMAGRO","5","masculino","31","confirmado","","no","","Comunitario"</t>
  </si>
  <si>
    <t>2545604,"9/11/2020","9/11/2020","Buenos Aires","VICENTE LOPEZ","","femenino","4","confirmado","","no","","Contacto"</t>
  </si>
  <si>
    <t>2546436,"9/11/2020","9/11/2020","CABA","BOCA","4","masculino","23","confirmado","","no","","Contacto"</t>
  </si>
  <si>
    <t>2560265,"9/11/2020","9/11/2020","CABA","VILLA CRESPO","15","masculino","8","confirmado","","no","","Comunitario"</t>
  </si>
  <si>
    <t>2561656,"9/12/2020","9/12/2020","Buenos Aires","VICENTE LOPEZ","","femenino","42","confirmado","","no","","Contacto"</t>
  </si>
  <si>
    <t>2563577,"9/8/2020","9/9/2020","CABA","SAAVEDRA","12","masculino","55","confirmado","","no","","Comunitario"</t>
  </si>
  <si>
    <t>2563762,"9/11/2020","9/11/2020","Buenos Aires","ENSENADA","","femenino","35","confirmado","","no","","Comunitario"</t>
  </si>
  <si>
    <t>2572259,"9/12/2020","9/12/2020","CABA","PALERMO","14","femenino","45","confirmado","","no","","En InvestigaciÃ³n"</t>
  </si>
  <si>
    <t>2572386,"9/12/2020","9/12/2020","CABA","VILLA DEVOTO","11","femenino","25","confirmado","","no","","Contacto"</t>
  </si>
  <si>
    <t>2579044,"9/12/2020","9/12/2020","Buenos Aires","VICENTE LOPEZ","","femenino","65","confirmado","","no","","En InvestigaciÃ³n"</t>
  </si>
  <si>
    <t>2627071,"9/15/2020","9/30/2020","Buenos Aires","VICENTE LOPEZ","","masculino","61","confirmado","","no","","Comunitario"</t>
  </si>
  <si>
    <t>2518816,"9/11/2020","9/11/2020","Buenos Aires","LANUS","","femenino","44","descartado","","no","","Comunitario"</t>
  </si>
  <si>
    <t>1562216,"7/27/2020","8/10/2020","Buenos Aires","VICENTE LOPEZ","","femenino","46","confirmado","","no","","Trabajador de la Salud"</t>
  </si>
  <si>
    <t>2256380,"8/31/2020","1/10/2021","CABA","VILLA PUEYRREDON","12","femenino","31","confirmado","","no","","Comunitario"</t>
  </si>
  <si>
    <t>2297343,"9/2/2020","10/6/2020","CABA","FLORES","7","masculino","71","confirmado","","no","","Comunitario"</t>
  </si>
  <si>
    <t>2419049,"9/6/2020","9/6/2020","Buenos Aires","QUILMES","","femenino","78","confirmado","","no","","Contacto"</t>
  </si>
  <si>
    <t>2482936,"9/8/2020","11/14/2020","Buenos Aires","LANUS","","femenino","35","confirmado","","no","","Comunitario"</t>
  </si>
  <si>
    <t>1051629,"7/12/2020","8/25/2020","Buenos Aires","ENSENADA","","femenino","24","confirmado","","no","","Contacto"</t>
  </si>
  <si>
    <t>1343371,"7/20/2020","9/3/2020","CABA","VILLA URQUIZA","12","femenino","37","confirmado","","no","","Comunitario"</t>
  </si>
  <si>
    <t>2482436,"9/9/2020","9/9/2020","CABA","BALVANERA","3","masculino","50","confirmado","","no","","Contacto"</t>
  </si>
  <si>
    <t>2483234,"9/9/2020","9/9/2020","CABA","BOCA","4","masculino","35","confirmado","","no","","En InvestigaciÃ³n"</t>
  </si>
  <si>
    <t>2501285,"9/10/2020","9/10/2020","Buenos Aires","CAMPANA","","femenino","37","confirmado","","no","","En InvestigaciÃ³n"</t>
  </si>
  <si>
    <t>2508962,"9/9/2020","9/9/2020","CABA","BELGRANO","13","masculino","41","confirmado","","no","","Contacto"</t>
  </si>
  <si>
    <t>5712894,"12/29/2020","12/29/2020","CABA","PARQUE CHAS","15","masculino","28","confirmado","","no","","Contacto"</t>
  </si>
  <si>
    <t>5789837,"12/30/2020","12/30/2020","Buenos Aires","LANUS","","masculino","40","confirmado","","no","","Comunitario"</t>
  </si>
  <si>
    <t>1029343,"9/2/2020","9/3/2020","Buenos Aires","LANUS","","masculino","28","confirmado","","no","","En InvestigaciÃ³n"</t>
  </si>
  <si>
    <t>1140844,"7/5/2020","7/5/2020","CABA","SAAVEDRA","12","masculino","68","confirmado","","no","","Comunitario"</t>
  </si>
  <si>
    <t>1242658,"9/1/2020","9/1/2020","Buenos Aires","CAMPANA","","femenino","40","confirmado","","no","","Comunitario"</t>
  </si>
  <si>
    <t>1514775,"7/24/2020","7/25/2020","CABA","VILLA SOLDATI","8","masculino","59","confirmado","","no","","Comunitario"</t>
  </si>
  <si>
    <t>1633398,"8/1/2020","8/1/2020","Buenos Aires","LANUS","","masculino","43","confirmado","","no","","Comunitario"</t>
  </si>
  <si>
    <t>1677617,"8/2/2020","8/4/2020","CABA","RETIRO","1","masculino","76","confirmado","","no","","Comunitario"</t>
  </si>
  <si>
    <t>1689423,"8/4/2020","8/4/2020","Chaco","RESISTENCIA","","masculino","48","confirmado","","no","","Comunitario"</t>
  </si>
  <si>
    <t>1811465,"8/10/2020","8/10/2020","Buenos Aires","PILAR","","masculino","67","confirmado","","no","","En InvestigaciÃ³n"</t>
  </si>
  <si>
    <t>1813954,"8/10/2020","8/10/2020","Buenos Aires","LANUS","","masculino","64","confirmado","","no","","Contacto"</t>
  </si>
  <si>
    <t>1824117,"8/11/2020","8/12/2020","CABA","FLORES","7","femenino","80","confirmado","","no","","Comunitario"</t>
  </si>
  <si>
    <t>1844578,"8/11/2020","8/11/2020","Buenos Aires","LANUS","","masculino","29","confirmado","","no","","En InvestigaciÃ³n"</t>
  </si>
  <si>
    <t>1908386,"8/28/2020","8/28/2020","CABA","CABALLITO","6","masculino","70","confirmado","","no","","Comunitario"</t>
  </si>
  <si>
    <t>1921451,"8/31/2020","8/31/2020","CABA","VILLA URQUIZA","12","masculino","44","confirmado","","no","","Comunitario"</t>
  </si>
  <si>
    <t>1961680,"8/31/2020","8/31/2020","Buenos Aires","QUILMES","","masculino","31","confirmado","","no","","Comunitario"</t>
  </si>
  <si>
    <t>1965993,"8/28/2020","8/28/2020","CABA","BALVANERA","3","masculino","46","confirmado","","no","","Trabajador de la Salud"</t>
  </si>
  <si>
    <t>1990006,"8/19/2020","8/19/2020","CABA","CABALLITO","6","masculino","38","confirmado","","no","","Comunitario"</t>
  </si>
  <si>
    <t>1992613,"8/19/2020","8/20/2020","CABA","PALERMO","14","femenino","55","confirmado","","no","","Trabajador de la Salud"</t>
  </si>
  <si>
    <t>2022080,"8/21/2020","8/22/2020","CABA","SAN CRISTOBAL","3","masculino","59","confirmado","","no","","Comunitario"</t>
  </si>
  <si>
    <t>2028758,"8/20/2020","8/20/2020","CABA","COLEGIALES","13","femenino","72","confirmado","","no","","Comunitario"</t>
  </si>
  <si>
    <t>2030129,"8/21/2020","8/22/2020","CABA","MATADEROS","9","masculino","58","confirmado","","no","","Comunitario"</t>
  </si>
  <si>
    <t>2040588,"9/2/2020","9/2/2020","Buenos Aires","LOMAS DE ZAMORA","","masculino","28","confirmado","","no","","Comunitario"</t>
  </si>
  <si>
    <t>2046655,"8/19/2020","8/21/2020","Buenos Aires","LOMAS DE ZAMORA","","masculino","57","confirmado","","no","","Comunitario"</t>
  </si>
  <si>
    <t>2056486,"8/25/2020","8/25/2020","CABA","FLORES","7","masculino","60","confirmado","","no","","En InvestigaciÃ³n"</t>
  </si>
  <si>
    <t>2065577,"8/24/2020","8/24/2020","CABA","PARQUE CHACABUCO","7","femenino","37","confirmado","","no","","Comunitario"</t>
  </si>
  <si>
    <t>2076602,"9/1/2020","9/1/2020","CABA","BALVANERA","3","masculino","49","confirmado","","no","","Comunitario"</t>
  </si>
  <si>
    <t>2088808,"8/25/2020","8/26/2020","Buenos Aires","LANUS","","masculino","45","confirmado","","no","","Comunitario"</t>
  </si>
  <si>
    <t>2092596,"9/1/2020","9/2/2020","CABA","VILLA LUGANO","8","masculino","30","confirmado","","no","","Comunitario"</t>
  </si>
  <si>
    <t>2102111,"8/24/2020","8/25/2020","CABA","MONSERRAT","1","masculino","25","confirmado","","no","","Comunitario"</t>
  </si>
  <si>
    <t>2109159,"8/26/2020","8/26/2020","Buenos Aires","PILAR","","femenino","74","confirmado","","no","","Comunitario"</t>
  </si>
  <si>
    <t>2113986,"9/3/2020","9/3/2020","CABA","VELEZ SARSFIELD","10","femenino","25","confirmado","","no","","Comunitario"</t>
  </si>
  <si>
    <t>2225243,"8/30/2020","8/31/2020","CABA","ALMAGRO","5","femenino","90","confirmado","","no","","Comunitario"</t>
  </si>
  <si>
    <t>2225365,"8/30/2020","8/31/2020","CABA","VERSALLES","10","femenino","68","confirmado","","no","","Comunitario"</t>
  </si>
  <si>
    <t>2225876,"8/30/2020","8/30/2020","CABA","RECOLETA","2","masculino","71","confirmado","","no","","En InvestigaciÃ³n"</t>
  </si>
  <si>
    <t>2226026,"8/31/2020","8/31/2020","CABA","VILLA CRESPO","15","masculino","34","confirmado","","no","","En InvestigaciÃ³n"</t>
  </si>
  <si>
    <t>2227820,"8/29/2020","8/29/2020","CABA","VILLA LUGANO","8","masculino","55","confirmado","","no","","Comunitario"</t>
  </si>
  <si>
    <t>2228042,"8/30/2020","8/30/2020","CABA","FLORES","7","femenino","51","confirmado","","no","","En InvestigaciÃ³n"</t>
  </si>
  <si>
    <t>2228079,"8/28/2020","8/28/2020","CABA","FLORES","7","masculino","22","confirmado","","no","","Comunitario"</t>
  </si>
  <si>
    <t>2228133,"8/28/2020","8/28/2020","CABA","FLORES","7","masculino","22","confirmado","","no","","Comunitario"</t>
  </si>
  <si>
    <t>2228179,"8/28/2020","8/28/2020","CABA","FLORES","7","femenino","56","confirmado","","no","","Comunitario"</t>
  </si>
  <si>
    <t>2228441,"8/30/2020","8/30/2020","CABA","PALERMO","14","masculino","36","confirmado","","no","","Trabajador de la Salud"</t>
  </si>
  <si>
    <t>2228471,"8/30/2020","8/30/2020","CABA","CHACARITA","15","femenino","29","confirmado","","no","","Trabajador de la Salud"</t>
  </si>
  <si>
    <t>2228487,"8/28/2020","8/30/2020","CABA","MONTE CASTRO","10","femenino","55","confirmado","","no","","Comunitario"</t>
  </si>
  <si>
    <t>2228568,"8/30/2020","9/11/2020","Buenos Aires","LOMAS DE ZAMORA","","femenino","46","confirmado","","no","","Comunitario"</t>
  </si>
  <si>
    <t>2228777,"8/29/2020","8/30/2020","CABA","RECOLETA","2","femenino","25","confirmado","","no","","Contacto"</t>
  </si>
  <si>
    <t>2229469,"8/28/2020","8/28/2020","Buenos Aires","ENSENADA","","femenino","38","confirmado","","no","","Comunitario"</t>
  </si>
  <si>
    <t>2229473,"8/28/2020","8/28/2020","CABA","MATADEROS","9","femenino","13","confirmado","","no","","Comunitario"</t>
  </si>
  <si>
    <t>2229477,"8/28/2020","8/28/2020","CABA","MATADEROS","9","femenino","14","confirmado","","no","","Comunitario"</t>
  </si>
  <si>
    <t>2229485,"8/28/2020","8/28/2020","CABA","FLORES","7","masculino","44","confirmado","","no","","Comunitario"</t>
  </si>
  <si>
    <t>2231668,"8/31/2020","8/31/2020","CABA","CONSTITUCION","1","masculino","28","confirmado","","no","","Contacto"</t>
  </si>
  <si>
    <t>2232235,"8/30/2020","8/31/2020","Buenos Aires","LOMAS DE ZAMORA","","femenino","35","confirmado","","no","","Contacto"</t>
  </si>
  <si>
    <t>2232705,"8/30/2020","8/30/2020","CABA","VILLA SOLDATI","8","femenino","27","confirmado","","no","","Contacto"</t>
  </si>
  <si>
    <t>2232992,"8/30/2020","8/30/2020","CABA","VILLA SOLDATI","8","femenino","2","confirmado","","no","","Contacto"</t>
  </si>
  <si>
    <t>2233620,"8/30/2020","8/30/2020","CABA","FLORES","7","masculino","35","confirmado","","no","","En InvestigaciÃ³n"</t>
  </si>
  <si>
    <t>2234207,"8/29/2020","8/29/2020","CABA","VILLA SOLDATI","8","femenino","44","confirmado","","no","","Comunitario"</t>
  </si>
  <si>
    <t>2234476,"8/29/2020","8/29/2020","CABA","BARRACAS","4","femenino","5","confirmado","","no","","Comunitario"</t>
  </si>
  <si>
    <t>2234529,"8/29/2020","8/29/2020","CABA","BARRACAS","4","masculino","59","confirmado","","no","","Contacto"</t>
  </si>
  <si>
    <t>2234885,"8/29/2020","8/29/2020","Buenos Aires","LOMAS DE ZAMORA","","masculino","25","confirmado","","no","","Contacto"</t>
  </si>
  <si>
    <t>2235462,"8/29/2020","8/29/2020","CABA","VILLA SOLDATI","8","femenino","72","confirmado","","no","","Contacto"</t>
  </si>
  <si>
    <t>2242968,"8/31/2020","8/31/2020","CABA","PARQUE PATRICIOS","4","masculino","81","confirmado","","no","","En InvestigaciÃ³n"</t>
  </si>
  <si>
    <t>2243057,"8/27/2020","8/28/2020","Buenos Aires","LOMAS DE ZAMORA","","femenino","57","confirmado","","no","","Comunitario"</t>
  </si>
  <si>
    <t>2243338,"8/31/2020","9/3/2020","CABA","SAN NICOLAS","1","femenino","54","confirmado","","no","","Comunitario"</t>
  </si>
  <si>
    <t>2244747,"8/29/2020","8/31/2020","Buenos Aires","LOMAS DE ZAMORA","","femenino","25","confirmado","","no","","Comunitario"</t>
  </si>
  <si>
    <t>2248377,"8/29/2020","8/29/2020","CABA","PALERMO","14","masculino","29","confirmado","","no","","Comunitario"</t>
  </si>
  <si>
    <t>2248776,"8/29/2020","8/29/2020","Buenos Aires","ENSENADA","","femenino","77","confirmado","","no","","Contacto"</t>
  </si>
  <si>
    <t>2249379,"8/29/2020","8/29/2020","CABA","COLEGIALES","13","masculino","69","confirmado","","no","","En InvestigaciÃ³n"</t>
  </si>
  <si>
    <t>2251380,"8/31/2020","9/1/2020","CABA","PALERMO","14","femenino","37","confirmado","","no","","Contacto"</t>
  </si>
  <si>
    <t>2252128,"8/30/2020","8/30/2020","Buenos Aires","LOMAS DE ZAMORA","","masculino","42","confirmado","","no","","Comunitario"</t>
  </si>
  <si>
    <t>2252397,"8/30/2020","8/30/2020","CABA","VILLA DEL PARQUE","11","masculino","54","confirmado","","no","","Comunitario"</t>
  </si>
  <si>
    <t>2252943,"8/31/2020","9/2/2020","CABA","MATADEROS","9","masculino","56","confirmado","","no","","Comunitario"</t>
  </si>
  <si>
    <t>2253722,"8/29/2020","8/31/2020","Buenos Aires","LANUS","","femenino","39","confirmado","","no","","Comunitario"</t>
  </si>
  <si>
    <t>2254014,"8/30/2020","8/30/2020","CABA","MONTE CASTRO","10","femenino","66","confirmado","","no","","Comunitario"</t>
  </si>
  <si>
    <t>2254062,"8/31/2020","8/31/2020","Buenos Aires","LOMAS DE ZAMORA","","masculino","52","confirmado","","no","","Contacto"</t>
  </si>
  <si>
    <t>2254461,"8/31/2020","8/31/2020","CABA","MATADEROS","9","masculino","35","confirmado","","no","","Contacto"</t>
  </si>
  <si>
    <t>2258234,"8/31/2020","8/31/2020","CABA","VILLA LURO","10","femenino","22","confirmado","","no","","Comunitario"</t>
  </si>
  <si>
    <t>2258248,"8/31/2020","8/31/2020","CABA","VILLA LURO","10","femenino","20","confirmado","","no","","Comunitario"</t>
  </si>
  <si>
    <t>2258356,"8/31/2020","8/31/2020","CABA","MATADEROS","9","masculino","53","confirmado","","no","","Comunitario"</t>
  </si>
  <si>
    <t>2259210,"8/31/2020","9/3/2020","CABA","VILLA URQUIZA","12","masculino","52","confirmado","","no","","Contacto"</t>
  </si>
  <si>
    <t>2260714,"9/1/2020","9/1/2020","Buenos Aires","LOMAS DE ZAMORA","","femenino","26","confirmado","","no","","Contacto"</t>
  </si>
  <si>
    <t>2261179,"9/1/2020","9/1/2020","Buenos Aires","LOMAS DE ZAMORA","","masculino","29","confirmado","","no","","Contacto"</t>
  </si>
  <si>
    <t>2261310,"9/1/2020","9/1/2020","Buenos Aires","ENSENADA","","femenino","36","confirmado","","no","","Trabajador de la Salud"</t>
  </si>
  <si>
    <t>2263324,"8/31/2020","9/1/2020","CABA","BALVANERA","3","femenino","26","confirmado","","no","","Comunitario"</t>
  </si>
  <si>
    <t>2265130,"9/1/2020","9/1/2020","CABA","MATADEROS","9","masculino","28","confirmado","","no","","Comunitario"</t>
  </si>
  <si>
    <t>2265300,"9/1/2020","9/1/2020","CABA","MATADEROS","9","masculino","26","confirmado","","no","","Comunitario"</t>
  </si>
  <si>
    <t>2265709,"9/1/2020","9/1/2020","Buenos Aires","LOMAS DE ZAMORA","","masculino","44","confirmado","","no","","Comunitario"</t>
  </si>
  <si>
    <t>2265794,"9/1/2020","9/1/2020","CABA","BALVANERA","3","masculino","13","confirmado","","no","","Comunitario"</t>
  </si>
  <si>
    <t>2268498,"8/31/2020","9/1/2020","CABA","ALMAGRO","5","masculino","91","confirmado","","no","","En InvestigaciÃ³n"</t>
  </si>
  <si>
    <t>2271252,"9/1/2020","9/1/2020","Buenos Aires","LANUS","","femenino","52","confirmado","","no","","Comunitario"</t>
  </si>
  <si>
    <t>2272987,"9/1/2020","9/1/2020","CABA","NUÃ‘EZ","13","femenino","54","confirmado","","no","","Comunitario"</t>
  </si>
  <si>
    <t>2273257,"8/29/2020","9/1/2020","Buenos Aires","LOMAS DE ZAMORA","","femenino","32","confirmado","","no","","Comunitario"</t>
  </si>
  <si>
    <t>2273357,"8/29/2020","9/1/2020","Buenos Aires","LOMAS DE ZAMORA","","masculino","35","confirmado","","no","","Comunitario"</t>
  </si>
  <si>
    <t>1810662,"8/11/2020","8/12/2020","Buenos Aires","LOMAS DE ZAMORA","","femenino","29","confirmado","","no","","Comunitario"</t>
  </si>
  <si>
    <t>2273497,"9/1/2020","9/1/2020","Buenos Aires","PILAR","","masculino","46","confirmado","","no","","Contacto"</t>
  </si>
  <si>
    <t>2274197,"9/1/2020","9/1/2020","CABA","CABALLITO","6","femenino","50","confirmado","","no","","Comunitario"</t>
  </si>
  <si>
    <t>2274859,"9/1/2020","9/2/2020","CABA","SAN CRISTOBAL","3","femenino","5","confirmado","","no","","Contacto"</t>
  </si>
  <si>
    <t>2275630,"9/1/2020","9/1/2020","Buenos Aires","LANUS","","femenino","29","confirmado","","no","","Contacto"</t>
  </si>
  <si>
    <t>2276307,"9/1/2020","9/2/2020","CABA","BOEDO","5","masculino","28","confirmado","","no","","Comunitario"</t>
  </si>
  <si>
    <t>2277476,"9/1/2020","9/2/2020","Buenos Aires","LOMAS DE ZAMORA","","masculino","9","confirmado","","no","","Contacto"</t>
  </si>
  <si>
    <t>2278879,"9/1/2020","9/2/2020","Buenos Aires","ENSENADA","","masculino","64","confirmado","","no","","Comunitario"</t>
  </si>
  <si>
    <t>2279879,"9/1/2020","9/2/2020","CABA","VERSALLES","10","femenino","49","confirmado","","no","","Comunitario"</t>
  </si>
  <si>
    <t>2280596,"9/1/2020","9/1/2020","CABA","ALMAGRO","5","femenino","28","confirmado","","no","","En InvestigaciÃ³n"</t>
  </si>
  <si>
    <t>2280634,"9/2/2020","9/3/2020","Buenos Aires","LOMAS DE ZAMORA","","masculino","66","confirmado","","no","","Contacto"</t>
  </si>
  <si>
    <t>2281014,"9/1/2020","9/1/2020","Buenos Aires","PILAR","","masculino","21","confirmado","","no","","En InvestigaciÃ³n"</t>
  </si>
  <si>
    <t>2256250,"9/2/2020","9/2/2020","Buenos Aires","ENSENADA","","femenino","29","confirmado","","no","","Comunitario"</t>
  </si>
  <si>
    <t>2256309,"8/31/2020","8/31/2020","CABA","SAN TELMO","1","masculino","19","confirmado","","no","","En InvestigaciÃ³n"</t>
  </si>
  <si>
    <t>2256377,"8/31/2020","8/31/2020","CABA","FLORES","7","masculino","53","confirmado","","no","","Comunitario"</t>
  </si>
  <si>
    <t>2257613,"8/31/2020","8/31/2020","Buenos Aires","LOMAS DE ZAMORA","","masculino","28","confirmado","","no","","Comunitario"</t>
  </si>
  <si>
    <t>2261929,"9/1/2020","9/2/2020","CABA","PALERMO","14","masculino","42","confirmado","","no","","Comunitario"</t>
  </si>
  <si>
    <t>2263462,"8/31/2020","9/1/2020","CABA","BALVANERA","3","masculino","36","confirmado","","no","","Contacto"</t>
  </si>
  <si>
    <t>2263829,"8/31/2020","9/1/2020","CABA","SAN CRISTOBAL","3","masculino","20","confirmado","","no","","Contacto"</t>
  </si>
  <si>
    <t>2264163,"8/30/2020","8/31/2020","CABA","VELEZ SARSFIELD","10","masculino","40","confirmado","","no","","En InvestigaciÃ³n"</t>
  </si>
  <si>
    <t>2264940,"8/31/2020","9/1/2020","CABA","BALVANERA","3","femenino","45","confirmado","","no","","Contacto"</t>
  </si>
  <si>
    <t>2266360,"8/30/2020","8/31/2020","Buenos Aires","LANUS","","masculino","51","confirmado","","no","","En InvestigaciÃ³n"</t>
  </si>
  <si>
    <t>2266859,"9/1/2020","9/1/2020","CABA","RECOLETA","2","masculino","45","confirmado","","no","","En InvestigaciÃ³n"</t>
  </si>
  <si>
    <t>2266992,"9/2/2020","9/3/2020","CABA","SAN NICOLAS","1","masculino","59","confirmado","","no","","En InvestigaciÃ³n"</t>
  </si>
  <si>
    <t>2267646,"9/1/2020","9/1/2020","CABA","SAN NICOLAS","1","masculino","49","confirmado","","no","","En InvestigaciÃ³n"</t>
  </si>
  <si>
    <t>2268479,"9/3/2020","9/3/2020","CABA","ALMAGRO","5","femenino","52","confirmado","","no","","Comunitario"</t>
  </si>
  <si>
    <t>2271947,"8/31/2020","9/1/2020","CABA","VILLA URQUIZA","12","femenino","43","confirmado","","no","","En InvestigaciÃ³n"</t>
  </si>
  <si>
    <t>2272829,"9/1/2020","9/1/2020","CABA","SAAVEDRA","12","masculino","66","confirmado","","no","","Contacto"</t>
  </si>
  <si>
    <t>2273192,"9/1/2020","9/1/2020","CABA","MONTE CASTRO","10","masculino","65","confirmado","","no","","Comunitario"</t>
  </si>
  <si>
    <t>2273311,"9/1/2020","9/1/2020","CABA","BOEDO","5","femenino","29","confirmado","","no","","Contacto"</t>
  </si>
  <si>
    <t>2273712,"8/30/2020","8/30/2020","CABA","PALERMO","14","masculino","27","confirmado","","no","","Comunitario"</t>
  </si>
  <si>
    <t>2278744,"8/31/2020","8/31/2020","CABA","MONSERRAT","1","femenino","28","confirmado","","no","","Comunitario"</t>
  </si>
  <si>
    <t>2279376,"8/31/2020","8/31/2020","CABA","BARRACAS","4","masculino","68","confirmado","","no","","Comunitario"</t>
  </si>
  <si>
    <t>2280258,"9/1/2020","9/1/2020","Buenos Aires","LOMAS DE ZAMORA","","masculino","30","confirmado","","no","","Contacto"</t>
  </si>
  <si>
    <t>2282115,"9/1/2020","9/1/2020","CABA","FLORES","7","femenino","51","confirmado","","no","","En InvestigaciÃ³n"</t>
  </si>
  <si>
    <t>2282671,"9/1/2020","9/1/2020","CABA","PARQUE CHACABUCO","7","femenino","43","confirmado","","no","","Comunitario"</t>
  </si>
  <si>
    <t>2284030,"9/1/2020","9/1/2020","Buenos Aires","LOMAS DE ZAMORA","","masculino","23","confirmado","","no","","Comunitario"</t>
  </si>
  <si>
    <t>2284049,"8/31/2020","8/31/2020","CABA","SAN CRISTOBAL","3","femenino","45","confirmado","","no","","Comunitario"</t>
  </si>
  <si>
    <t>2284066,"8/31/2020","9/1/2020","Buenos Aires","MORON","","masculino","40","confirmado","","no","","Comunitario"</t>
  </si>
  <si>
    <t>2284090,"9/1/2020","9/1/2020","CABA","PARQUE AVELLANEDA","9","femenino","28","confirmado","","no","","Comunitario"</t>
  </si>
  <si>
    <t>2284109,"8/31/2020","8/31/2020","CABA","BARRACAS","4","masculino","20","confirmado","","no","","Comunitario"</t>
  </si>
  <si>
    <t>2284162,"9/1/2020","9/1/2020","CABA","VILLA SOLDATI","8","masculino","49","confirmado","","no","","Comunitario"</t>
  </si>
  <si>
    <t>2284216,"9/1/2020","9/1/2020","Buenos Aires","PILAR","","masculino","47","confirmado","","no","","Comunitario"</t>
  </si>
  <si>
    <t>2284222,"8/31/2020","8/31/2020","CABA","PARQUE CHACABUCO","7","femenino","35","confirmado","","no","","Comunitario"</t>
  </si>
  <si>
    <t>2284268,"8/31/2020","8/31/2020","CABA","MATADEROS","9","femenino","20","confirmado","","no","","Comunitario"</t>
  </si>
  <si>
    <t>4045692,"11/1/2020","11/2/2020","CABA","BALVANERA","3","masculino","40","confirmado","","no","","Comunitario"</t>
  </si>
  <si>
    <t>4045693,"11/1/2020","11/2/2020","CABA","ALMAGRO","5","masculino","44","confirmado","","no","","Comunitario"</t>
  </si>
  <si>
    <t>4045696,"11/1/2020","11/2/2020","CABA","BALVANERA","3","femenino","38","confirmado","","no","","Comunitario"</t>
  </si>
  <si>
    <t>1197227,"8/25/2020","8/25/2020","CABA","CONSTITUCION","1","femenino","36","confirmado","","no","","Contacto"</t>
  </si>
  <si>
    <t>1615849,"9/4/2020","9/4/2020","CABA","VILLA RIACHUELO","8","femenino","20","confirmado","","no","","Contacto"</t>
  </si>
  <si>
    <t>1617992,"7/31/2020","7/31/2020","CABA","VILLA DEVOTO","11","masculino","65","confirmado","","no","","En InvestigaciÃ³n"</t>
  </si>
  <si>
    <t>1762069,"8/16/2020","8/16/2020","CABA","FLORES","7","masculino","82","confirmado","","no","","Contacto"</t>
  </si>
  <si>
    <t>1764580,"8/7/2020","8/9/2020","Buenos Aires","CAMPANA","","masculino","55","confirmado","","no","","Comunitario"</t>
  </si>
  <si>
    <t>1826237,"8/11/2020","8/11/2020","CABA","VILLA CRESPO","15","femenino","91","confirmado","","no","","Comunitario"</t>
  </si>
  <si>
    <t>1932765,"8/17/2020","8/17/2020","Buenos Aires","ENSENADA","","masculino","61","confirmado","","no","","Contacto"</t>
  </si>
  <si>
    <t>1939778,"8/26/2020","8/26/2020","CABA","VILLA LUGANO","8","masculino","31","confirmado","","no","","Comunitario"</t>
  </si>
  <si>
    <t>1942913,"8/17/2020","8/18/2020","Buenos Aires","LANUS","","femenino","84","confirmado","","no","","En InvestigaciÃ³n"</t>
  </si>
  <si>
    <t>1957914,"8/31/2020","8/31/2020","Buenos Aires","QUILMES","","masculino","46","confirmado","","no","","Comunitario"</t>
  </si>
  <si>
    <t>1989863,"8/17/2020","8/19/2020","CABA","MONSERRAT","1","masculino","73","confirmado","","no","","Comunitario"</t>
  </si>
  <si>
    <t>2007290,"8/20/2020","8/21/2020","CABA","ALMAGRO","5","masculino","63","confirmado","","no","","Trabajador de la Salud"</t>
  </si>
  <si>
    <t>2022740,"8/26/2020","8/26/2020","CABA","PARQUE AVELLANEDA","9","masculino","26","confirmado","","no","","Comunitario"</t>
  </si>
  <si>
    <t>2025918,"8/20/2020","8/21/2020","CABA","BELGRANO","13","masculino","53","confirmado","","no","","Comunitario"</t>
  </si>
  <si>
    <t>2033753,"8/21/2020","8/22/2020","CABA","PARQUE AVELLANEDA","9","masculino","72","confirmado","","no","","Comunitario"</t>
  </si>
  <si>
    <t>2036724,"8/21/2020","8/21/2020","CABA","CABALLITO","6","femenino","89","confirmado","","no","","Comunitario"</t>
  </si>
  <si>
    <t>2038443,"8/21/2020","8/22/2020","CABA","VELEZ SARSFIELD","10","femenino","42","confirmado","","no","","En InvestigaciÃ³n"</t>
  </si>
  <si>
    <t>2048466,"8/22/2020","8/22/2020","CABA","CONSTITUCION","1","femenino","56","confirmado","","no","","Comunitario"</t>
  </si>
  <si>
    <t>2049012,"8/23/2020","8/23/2020","CABA","ALMAGRO","5","femenino","87","confirmado","","no","","En InvestigaciÃ³n"</t>
  </si>
  <si>
    <t>2054868,"8/23/2020","8/23/2020","Buenos Aires","MORON","","masculino","61","confirmado","","no","","Comunitario"</t>
  </si>
  <si>
    <t>2057741,"9/4/2020","9/4/2020","CABA","CABALLITO","6","masculino","54","confirmado","","no","","Comunitario"</t>
  </si>
  <si>
    <t>2060703,"8/25/2020","8/27/2020","Buenos Aires","LOMAS DE ZAMORA","","masculino","45","confirmado","","no","","Comunitario"</t>
  </si>
  <si>
    <t>2075681,"8/24/2020","8/24/2020","Buenos Aires","LOMAS DE ZAMORA","","masculino","61","confirmado","","no","","Comunitario"</t>
  </si>
  <si>
    <t>2079668,"8/24/2020","8/24/2020","CABA","PALERMO","14","masculino","86","confirmado","","no","","En InvestigaciÃ³n"</t>
  </si>
  <si>
    <t>2083629,"8/24/2020","8/24/2020","CABA","BARRACAS","4","femenino","33","confirmado","","no","","Contacto"</t>
  </si>
  <si>
    <t>2084895,"8/25/2020","8/25/2020","CABA","SAN NICOLAS","1","femenino","25","confirmado","","no","","En InvestigaciÃ³n"</t>
  </si>
  <si>
    <t>2086513,"8/24/2020","8/24/2020","CABA","BARRACAS","4","masculino","30","confirmado","","no","","Comunitario"</t>
  </si>
  <si>
    <t>2088229,"8/24/2020","8/24/2020","CABA","SAN NICOLAS","1","masculino","31","confirmado","","no","","Comunitario"</t>
  </si>
  <si>
    <t>2088663,"8/24/2020","8/24/2020","CABA","VILLA SOLDATI","8","femenino","24","confirmado","","no","","En InvestigaciÃ³n"</t>
  </si>
  <si>
    <t>2098363,"8/25/2020","8/25/2020","Buenos Aires","QUILMES","","masculino","22","confirmado","","no","","Contacto"</t>
  </si>
  <si>
    <t>2100300,"8/25/2020","8/25/2020","CABA","MONSERRAT","1","masculino","25","confirmado","","no","","Contacto"</t>
  </si>
  <si>
    <t>2100320,"8/23/2020","8/24/2020","CABA","CABALLITO","6","masculino","61","confirmado","","no","","Comunitario"</t>
  </si>
  <si>
    <t>2100410,"8/25/2020","8/25/2020","CABA","MONSERRAT","1","femenino","24","confirmado","","no","","Contacto"</t>
  </si>
  <si>
    <t>2100708,"8/25/2020","8/25/2020","Buenos Aires","ENSENADA","","femenino","40","confirmado","","no","","Contacto"</t>
  </si>
  <si>
    <t>2101616,"8/25/2020","8/25/2020","CABA","MONTE CASTRO","10","masculino","15","confirmado","","no","","Comunitario"</t>
  </si>
  <si>
    <t>2102193,"8/25/2020","8/29/2020","Buenos Aires","LOMAS DE ZAMORA","","masculino","26","confirmado","","no","","Contacto"</t>
  </si>
  <si>
    <t>2103385,"8/24/2020","8/24/2020","CABA","MONTE CASTRO","10","masculino","80","confirmado","","no","","Comunitario"</t>
  </si>
  <si>
    <t>2103399,"8/25/2020","8/25/2020","CABA","ALMAGRO","5","femenino","73","confirmado","","no","","Comunitario"</t>
  </si>
  <si>
    <t>2103484,"8/25/2020","8/25/2020","CABA","CABALLITO","6","masculino","39","confirmado","","no","","Trabajador de la Salud"</t>
  </si>
  <si>
    <t>2104984,"8/25/2020","8/25/2020","CABA","CABALLITO","6","femenino","93","confirmado","","no","","Comunitario"</t>
  </si>
  <si>
    <t>2105397,"8/25/2020","8/25/2020","CABA","PATERNAL","15","femenino","37","confirmado","","no","","En InvestigaciÃ³n"</t>
  </si>
  <si>
    <t>2106899,"8/25/2020","8/25/2020","CABA","BOEDO","5","masculino","38","confirmado","","no","","En InvestigaciÃ³n"</t>
  </si>
  <si>
    <t>2108446,"8/25/2020","8/25/2020","CABA","VILLA RIACHUELO","8","masculino","9","confirmado","","no","","Contacto"</t>
  </si>
  <si>
    <t>2109611,"8/25/2020","8/25/2020","Buenos Aires","MORON","","masculino","43","confirmado","","no","","Contacto"</t>
  </si>
  <si>
    <t>2110023,"8/25/2020","8/25/2020","Buenos Aires","PILAR","","masculino","65","confirmado","","no","","En InvestigaciÃ³n"</t>
  </si>
  <si>
    <t>2110327,"8/25/2020","8/25/2020","CABA","BARRACAS","4","masculino","23","confirmado","","no","","Comunitario"</t>
  </si>
  <si>
    <t>2110614,"8/25/2020","8/25/2020","CABA","BARRACAS","4","femenino","50","confirmado","","no","","Comunitario"</t>
  </si>
  <si>
    <t>2110871,"8/25/2020","8/26/2020","CABA","BARRACAS","4","masculino","31","confirmado","","no","","Contacto"</t>
  </si>
  <si>
    <t>2111266,"8/25/2020","9/18/2020","Buenos Aires","PILAR","","masculino","6","confirmado","","no","","Contacto"</t>
  </si>
  <si>
    <t>2111357,"8/25/2020","8/25/2020","CABA","FLORES","7","femenino","52","confirmado","","no","","Contacto"</t>
  </si>
  <si>
    <t>2111388,"8/25/2020","8/25/2020","CABA","FLORES","7","masculino","18","confirmado","","no","","Contacto"</t>
  </si>
  <si>
    <t>2111392,"8/25/2020","10/1/2020","Buenos Aires","ENSENADA","","femenino","14","confirmado","","no","","Comunitario"</t>
  </si>
  <si>
    <t>2111532,"8/25/2020","8/25/2020","CABA","VILLA LURO","10","femenino","82","confirmado","","no","","En InvestigaciÃ³n"</t>
  </si>
  <si>
    <t>2111704,"8/25/2020","8/26/2020","CABA","BOCA","4","masculino","15","confirmado","","no","","Comunitario"</t>
  </si>
  <si>
    <t>2111705,"8/25/2020","8/29/2020","Buenos Aires","PILAR","","masculino","20","confirmado","","no","","Comunitario"</t>
  </si>
  <si>
    <t>2111746,"8/25/2020","8/26/2020","Buenos Aires","PILAR","","masculino","35","confirmado","","no","","Contacto"</t>
  </si>
  <si>
    <t>2112022,"8/25/2020","8/26/2020","CABA","BOCA","4","masculino","20","confirmado","","no","","Comunitario"</t>
  </si>
  <si>
    <t>2112685,"8/25/2020","8/26/2020","CABA","BOCA","4","masculino","50","confirmado","","no","","En InvestigaciÃ³n"</t>
  </si>
  <si>
    <t>2112761,"8/25/2020","8/26/2020","CABA","MONSERRAT","1","masculino","20","confirmado","","no","","En InvestigaciÃ³n"</t>
  </si>
  <si>
    <t>2112837,"8/25/2020","8/26/2020","CABA","BARRACAS","4","femenino","22","confirmado","","no","","Comunitario"</t>
  </si>
  <si>
    <t>2112887,"8/25/2020","8/26/2020","Buenos Aires","MORON","","femenino","3","confirmado","","no","","Comunitario"</t>
  </si>
  <si>
    <t>2113265,"8/25/2020","8/25/2020","CABA","BARRACAS","4","masculino","23","confirmado","","no","","Contacto"</t>
  </si>
  <si>
    <t>2113339,"8/25/2020","8/25/2020","CABA","BARRACAS","4","femenino","33","confirmado","","no","","Comunitario"</t>
  </si>
  <si>
    <t>2113359,"8/25/2020","8/25/2020","Buenos Aires","PILAR","","femenino","18","confirmado","","no","","Comunitario"</t>
  </si>
  <si>
    <t>2086752,"8/24/2020","8/24/2020","Buenos Aires","ENSENADA","","femenino","25","confirmado","","no","","Comunitario"</t>
  </si>
  <si>
    <t>2086769,"8/24/2020","8/24/2020","CABA","VILLA CRESPO","15","masculino","13","confirmado","","no","","Contacto"</t>
  </si>
  <si>
    <t>2086879,"8/24/2020","8/24/2020","Buenos Aires","PILAR","","masculino","59","confirmado","","no","","En InvestigaciÃ³n"</t>
  </si>
  <si>
    <t>2087306,"8/24/2020","8/24/2020","CABA","ALMAGRO","5","masculino","34","confirmado","","no","","Contacto"</t>
  </si>
  <si>
    <t>2087578,"8/24/2020","8/24/2020","CABA","NUEVA POMPEYA","4","masculino","68","confirmado","","no","","Contacto"</t>
  </si>
  <si>
    <t>2087603,"8/24/2020","8/24/2020","Buenos Aires","PILAR","","femenino","49","confirmado","","no","","Comunitario"</t>
  </si>
  <si>
    <t>2087604,"8/24/2020","8/24/2020","Buenos Aires","PILAR","","masculino","52","confirmado","","no","","Contacto"</t>
  </si>
  <si>
    <t>2087683,"8/24/2020","8/24/2020","CABA","LINIERS","9","masculino","35","confirmado","","no","","Contacto"</t>
  </si>
  <si>
    <t>2088083,"8/24/2020","8/24/2020","CABA","FLORESTA","10","masculino","36","confirmado","","no","","Contacto"</t>
  </si>
  <si>
    <t>2088271,"8/24/2020","8/24/2020","CABA","SAN NICOLAS","1","masculino","23","confirmado","","no","","Comunitario"</t>
  </si>
  <si>
    <t>2088316,"8/24/2020","8/24/2020","CABA","BOEDO","5","masculino","52","confirmado","","no","","Comunitario"</t>
  </si>
  <si>
    <t>2088380,"8/24/2020","8/24/2020","CABA","AGRONOMIA","15","masculino","26","confirmado","","no","","Comunitario"</t>
  </si>
  <si>
    <t>2088500,"8/24/2020","8/24/2020","La Rioja","LA RIOJA","","masculino","52","confirmado","","no","","Comunitario"</t>
  </si>
  <si>
    <t>2088348,"8/23/2020","8/25/2020","CABA","VILLA DEVOTO","11","femenino","42","confirmado","","no","","Trabajador de la Salud"</t>
  </si>
  <si>
    <t>2088550,"8/24/2020","8/24/2020","CABA","BALVANERA","3","femenino","35","confirmado","","no","","Comunitario"</t>
  </si>
  <si>
    <t>2088726,"8/24/2020","8/24/2020","Buenos Aires","ENSENADA","","masculino","28","confirmado","","no","","Comunitario"</t>
  </si>
  <si>
    <t>2088910,"8/24/2020","8/24/2020","CABA","MONSERRAT","1","femenino","46","confirmado","","no","","En InvestigaciÃ³n"</t>
  </si>
  <si>
    <t>2088928,"8/24/2020","8/24/2020","CABA","SAN CRISTOBAL","3","femenino","21","confirmado","","no","","En InvestigaciÃ³n"</t>
  </si>
  <si>
    <t>2088934,"8/24/2020","8/24/2020","CABA","PARQUE AVELLANEDA","9","masculino","29","confirmado","","no","","Contacto"</t>
  </si>
  <si>
    <t>2090469,"8/25/2020","8/25/2020","CABA","SAN TELMO","1","femenino","26","confirmado","","no","","Contacto"</t>
  </si>
  <si>
    <t>2090684,"8/24/2020","8/24/2020","CABA","VILLA ORTUZAR","15","femenino","28","confirmado","","no","","En InvestigaciÃ³n"</t>
  </si>
  <si>
    <t>2090726,"8/24/2020","8/24/2020","Buenos Aires","MORON","","femenino","39","confirmado","","no","","En InvestigaciÃ³n"</t>
  </si>
  <si>
    <t>2091388,"8/25/2020","8/25/2020","Buenos Aires","PILAR","","masculino","63","confirmado","","no","","Contacto"</t>
  </si>
  <si>
    <t>2093278,"8/24/2020","8/25/2020","CABA","BALVANERA","3","femenino","60","confirmado","","no","","Contacto"</t>
  </si>
  <si>
    <t>2093757,"8/24/2020","8/25/2020","CABA","COLEGIALES","13","femenino","82","confirmado","","no","","En InvestigaciÃ³n"</t>
  </si>
  <si>
    <t>2094511,"8/24/2020","8/25/2020","CABA","MATADEROS","9","masculino","30","confirmado","","no","","En InvestigaciÃ³n"</t>
  </si>
  <si>
    <t>2095000,"8/24/2020","8/25/2020","CABA","VILLA LUGANO","8","femenino","29","confirmado","","no","","Contacto"</t>
  </si>
  <si>
    <t>2097015,"8/24/2020","8/25/2020","CABA","CONSTITUCION","1","masculino","47","confirmado","","no","","Trabajador de la Salud"</t>
  </si>
  <si>
    <t>2099466,"8/25/2020","8/26/2020","Chaco","RESISTENCIA","","femenino","55","confirmado","","no","","Comunitario"</t>
  </si>
  <si>
    <t>2099934,"8/25/2020","8/25/2020","Buenos Aires","PILAR","","masculino","30","confirmado","","no","","En InvestigaciÃ³n"</t>
  </si>
  <si>
    <t>2100269,"8/24/2020","8/24/2020","CABA","RETIRO","1","masculino","24","confirmado","","no","","Contacto"</t>
  </si>
  <si>
    <t>2101267,"8/25/2020","8/29/2020","Buenos Aires","PILAR","","masculino","78","confirmado","","no","","Contacto"</t>
  </si>
  <si>
    <t>2102135,"8/25/2020","8/26/2020","Buenos Aires","PILAR","","masculino","36","confirmado","","no","","Contacto"</t>
  </si>
  <si>
    <t>2107724,"8/26/2020","8/26/2020","Buenos Aires","MORON","","masculino","68","confirmado","","no","","Trabajador de la Salud"</t>
  </si>
  <si>
    <t>2162528,"8/26/2020","8/27/2020","CABA","SAAVEDRA","12","masculino","39","confirmado","","no","","Contacto"</t>
  </si>
  <si>
    <t>2165337,"8/27/2020","8/27/2020","CABA","BALVANERA","3","masculino","2","confirmado","","no","","Contacto"</t>
  </si>
  <si>
    <t>2169637,"8/26/2020","8/26/2020","CABA","VELEZ SARSFIELD","10","masculino","22","confirmado","","no","","Comunitario"</t>
  </si>
  <si>
    <t>2169690,"8/27/2020","8/28/2020","Buenos Aires","LOMAS DE ZAMORA","","femenino","31","confirmado","","no","","En InvestigaciÃ³n"</t>
  </si>
  <si>
    <t>2169704,"8/26/2020","8/26/2020","CABA","BARRACAS","4","femenino","44","confirmado","","no","","Comunitario"</t>
  </si>
  <si>
    <t>2169734,"8/26/2020","8/26/2020","CABA","NUEVA POMPEYA","4","femenino","7","confirmado","","no","","Comunitario"</t>
  </si>
  <si>
    <t>2169761,"8/26/2020","8/27/2020","CABA","BARRACAS","4","femenino","25","confirmado","","no","","Comunitario"</t>
  </si>
  <si>
    <t>2169762,"8/26/2020","8/26/2020","CABA","BOCA","4","masculino","2","confirmado","","no","","Comunitario"</t>
  </si>
  <si>
    <t>2169823,"8/26/2020","8/26/2020","CABA","PARQUE AVELLANEDA","9","masculino","35","confirmado","","no","","Comunitario"</t>
  </si>
  <si>
    <t>2169835,"8/26/2020","8/26/2020","CABA","LINIERS","9","masculino","22","confirmado","","no","","Comunitario"</t>
  </si>
  <si>
    <t>2169864,"8/26/2020","8/26/2020","CABA","BELGRANO","13","masculino","22","confirmado","","no","","Comunitario"</t>
  </si>
  <si>
    <t>2169866,"8/27/2020","8/27/2020","CABA","VILLA SOLDATI","8","femenino","12","confirmado","","no","","Comunitario"</t>
  </si>
  <si>
    <t>2169875,"8/26/2020","8/26/2020","CABA","VILLA SOLDATI","8","femenino","37","confirmado","","no","","Comunitario"</t>
  </si>
  <si>
    <t>2170043,"8/26/2020","8/26/2020","Chaco","RESISTENCIA","","masculino","35","confirmado","","no","","Trabajador de la Salud"</t>
  </si>
  <si>
    <t>2170073,"8/26/2020","8/26/2020","CABA","CHACARITA","15","femenino","2","confirmado","","no","","Comunitario"</t>
  </si>
  <si>
    <t>2172752,"8/28/2020","8/28/2020","CABA","NUEVA POMPEYA","4","masculino","25","confirmado","","no","","Comunitario"</t>
  </si>
  <si>
    <t>2173190,"8/28/2020","9/2/2020","Buenos Aires","PILAR","","masculino","60","confirmado","","no","","En InvestigaciÃ³n"</t>
  </si>
  <si>
    <t>2173691,"8/27/2020","8/27/2020","CABA","BALVANERA","3","masculino","41","confirmado","","no","","Comunitario"</t>
  </si>
  <si>
    <t>2176072,"8/27/2020","8/28/2020","CABA","CABALLITO","6","femenino","83","confirmado","","no","","Contacto"</t>
  </si>
  <si>
    <t>2176231,"8/26/2020","8/26/2020","CABA","VILLA SOLDATI","8","masculino","38","confirmado","","no","","Comunitario"</t>
  </si>
  <si>
    <t>2176337,"8/26/2020","8/26/2020","CABA","VILLA SOLDATI","8","masculino","9","confirmado","","no","","Comunitario"</t>
  </si>
  <si>
    <t>2176451,"8/26/2020","8/26/2020","CABA","VILLA LUGANO","8","masculino","32","confirmado","","no","","Comunitario"</t>
  </si>
  <si>
    <t>2176532,"8/26/2020","8/26/2020","CABA","VILLA SOLDATI","8","femenino","15","confirmado","","no","","Comunitario"</t>
  </si>
  <si>
    <t>2178373,"8/27/2020","8/27/2020","CABA","VILLA CRESPO","15","femenino","32","confirmado","","no","","Comunitario"</t>
  </si>
  <si>
    <t>2182673,"8/26/2020","8/26/2020","CABA","BARRACAS","4","femenino","8","confirmado","","no","","Comunitario"</t>
  </si>
  <si>
    <t>2187297,"8/28/2020","8/28/2020","Buenos Aires","PILAR","","femenino","2","confirmado","","no","","En InvestigaciÃ³n"</t>
  </si>
  <si>
    <t>2190218,"8/28/2020","8/28/2020","CABA","RETIRO","1","masculino","49","confirmado","","no","","Contacto"</t>
  </si>
  <si>
    <t>2190738,"8/28/2020","8/28/2020","CABA","PARQUE PATRICIOS","4","masculino","45","confirmado","","no","","Comunitario"</t>
  </si>
  <si>
    <t>2191675,"8/28/2020","8/29/2020","CABA","SAN CRISTOBAL","3","masculino","53","confirmado","","no","","Comunitario"</t>
  </si>
  <si>
    <t>2192062,"8/28/2020","8/28/2020","CABA","PALERMO","14","femenino","40","confirmado","","no","","Contacto"</t>
  </si>
  <si>
    <t>2194090,"8/25/2020","8/25/2020","CABA","VILLA LUGANO","8","femenino","31","confirmado","","no","","Comunitario"</t>
  </si>
  <si>
    <t>2196574,"8/26/2020","8/26/2020","CABA","BALVANERA","3","masculino","10","confirmado","","no","","Comunitario"</t>
  </si>
  <si>
    <t>2196627,"8/26/2020","8/26/2020","CABA","CHACARITA","15","femenino","37","confirmado","","no","","Trabajador de la Salud"</t>
  </si>
  <si>
    <t>2196861,"8/26/2020","8/26/2020","CABA","PALERMO","14","femenino","28","confirmado","","no","","Comunitario"</t>
  </si>
  <si>
    <t>2197766,"8/29/2020","8/31/2020","Buenos Aires","PILAR","","femenino","54","confirmado","","no","","Comunitario"</t>
  </si>
  <si>
    <t>1572129,"7/28/2020","7/29/2020","Buenos Aires","MORON","","femenino","58","confirmado","","no","","Comunitario"</t>
  </si>
  <si>
    <t>1806915,"8/11/2020","8/11/2020","Buenos Aires","ENSENADA","","femenino","39","confirmado","","no","","Trabajador de la Salud"</t>
  </si>
  <si>
    <t>1841414,"8/11/2020","8/12/2020","Buenos Aires","PILAR","","masculino","34","confirmado","","no","","Comunitario"</t>
  </si>
  <si>
    <t>1956735,"8/18/2020","12/15/2020","CABA","BALVANERA","3","masculino","43","confirmado","","no","","En InvestigaciÃ³n"</t>
  </si>
  <si>
    <t>2014358,"8/20/2020","8/22/2020","Buenos Aires","PILAR","","masculino","61","confirmado","","no","","Comunitario"</t>
  </si>
  <si>
    <t>2030501,"8/20/2020","8/21/2020","Buenos Aires","ENSENADA","","femenino","47","confirmado","","no","","Comunitario"</t>
  </si>
  <si>
    <t>2044654,"8/22/2020","8/22/2020","CABA","PALERMO","14","masculino","79","confirmado","","no","","Contacto"</t>
  </si>
  <si>
    <t>2051491,"8/23/2020","8/23/2020","CABA","NUEVA POMPEYA","4","masculino","55","confirmado","","no","","Trabajador de la Salud"</t>
  </si>
  <si>
    <t>2081712,"8/14/2020","8/15/2020","CABA","RETIRO","1","masculino","59","confirmado","","no","","Comunitario"</t>
  </si>
  <si>
    <t>2084582,"8/24/2020","8/24/2020","Buenos Aires","MORON","","femenino","46","confirmado","","no","","Contacto"</t>
  </si>
  <si>
    <t>2094502,"8/25/2020","8/26/2020","CABA","BELGRANO","13","femenino","39","confirmado","","no","","Comunitario"</t>
  </si>
  <si>
    <t>2186349,"8/25/2020","8/26/2020","Buenos Aires","LANUS","","femenino","50","confirmado","","no","","Comunitario"</t>
  </si>
  <si>
    <t>2243860,"8/18/2020","8/19/2020","CABA","CHACARITA","15","femenino","32","confirmado","","no","","En InvestigaciÃ³n"</t>
  </si>
  <si>
    <t>4125523,"11/5/2020","11/5/2020","CABA","PARQUE PATRICIOS","4","masculino","28","confirmado","","no","","Comunitario"</t>
  </si>
  <si>
    <t>1293994,"7/6/2020","7/6/2020","Buenos Aires","MORON","","masculino","53","confirmado","","no","","Comunitario"</t>
  </si>
  <si>
    <t>1386038,"7/16/2020","7/17/2020","CABA","VILLA URQUIZA","12","femenino","88","confirmado","","no","","Comunitario"</t>
  </si>
  <si>
    <t>1423905,"7/19/2020","7/19/2020","CABA","VILLA CRESPO","15","masculino","72","confirmado","","no","","Contacto"</t>
  </si>
  <si>
    <t>1636325,"8/1/2020","8/1/2020","CABA","RETIRO","1","femenino","40","confirmado","","no","","Contacto"</t>
  </si>
  <si>
    <t>2006070,"8/20/2020","8/20/2020","CABA","VILLA LUGANO","8","masculino","18","confirmado","","no","","Comunitario"</t>
  </si>
  <si>
    <t>2006138,"8/20/2020","8/20/2020","CABA","VILLA LUGANO","8","masculino","38","confirmado","","no","","Comunitario"</t>
  </si>
  <si>
    <t>2006140,"8/20/2020","8/20/2020","CABA","VILLA SOLDATI","8","femenino","18","confirmado","","no","","Contacto"</t>
  </si>
  <si>
    <t>2006149,"8/20/2020","8/20/2020","CABA","BOCA","4","femenino","26","confirmado","","no","","Contacto"</t>
  </si>
  <si>
    <t>2006189,"8/20/2020","8/20/2020","CABA","VILLA LUGANO","8","femenino","14","confirmado","","no","","En InvestigaciÃ³n"</t>
  </si>
  <si>
    <t>2006223,"8/20/2020","8/20/2020","CABA","BOCA","4","masculino","4","confirmado","","no","","Contacto"</t>
  </si>
  <si>
    <t>2006453,"8/20/2020","8/20/2020","CABA","VILLA SOLDATI","8","masculino","13","confirmado","","no","","Contacto"</t>
  </si>
  <si>
    <t>2006485,"8/20/2020","8/20/2020","CABA","VILLA SOLDATI","8","femenino","61","confirmado","","no","","Contacto"</t>
  </si>
  <si>
    <t>2006539,"8/20/2020","8/20/2020","CABA","BARRACAS","4","masculino","36","confirmado","","no","","Comunitario"</t>
  </si>
  <si>
    <t>2006554,"8/20/2020","8/20/2020","CABA","VILLA LUGANO","8","femenino","41","confirmado","","no","","Trabajador de la Salud"</t>
  </si>
  <si>
    <t>2006634,"8/20/2020","8/20/2020","CABA","BARRACAS","4","femenino","16","confirmado","","no","","Contacto"</t>
  </si>
  <si>
    <t>2006724,"8/20/2020","8/20/2020","CABA","BOCA","4","femenino","29","confirmado","","no","","Contacto"</t>
  </si>
  <si>
    <t>2006740,"8/20/2020","8/20/2020","CABA","VILLA LUGANO","8","masculino","41","confirmado","","no","","En InvestigaciÃ³n"</t>
  </si>
  <si>
    <t>2006779,"8/20/2020","8/20/2020","CABA","VILLA CRESPO","15","masculino","10","confirmado","","no","","Contacto"</t>
  </si>
  <si>
    <t>2006817,"8/20/2020","8/20/2020","CABA","BOCA","4","femenino","7","confirmado","","no","","Contacto"</t>
  </si>
  <si>
    <t>2007118,"8/20/2020","8/20/2020","CABA","RECOLETA","2","masculino","72","confirmado","","no","","Trabajador de la Salud"</t>
  </si>
  <si>
    <t>2007194,"8/20/2020","8/20/2020","CABA","ALMAGRO","5","masculino","9","confirmado","","no","","En InvestigaciÃ³n"</t>
  </si>
  <si>
    <t>2007670,"8/20/2020","8/20/2020","Buenos Aires","LOMAS DE ZAMORA","","masculino","24","confirmado","","no","","En InvestigaciÃ³n"</t>
  </si>
  <si>
    <t>2007924,"8/20/2020","8/21/2020","CABA","VELEZ SARSFIELD","10","femenino","31","confirmado","","no","","Comunitario"</t>
  </si>
  <si>
    <t>2008565,"8/20/2020","8/20/2020","CABA","BARRACAS","4","masculino","18","confirmado","","no","","Contacto"</t>
  </si>
  <si>
    <t>2008587,"8/20/2020","8/20/2020","Buenos Aires","LOMAS DE ZAMORA","","femenino","63","confirmado","","no","","Comunitario"</t>
  </si>
  <si>
    <t>2008594,"8/20/2020","8/20/2020","CABA","MORON","4","masculino","3","confirmado","","no","","En InvestigaciÃ³n"</t>
  </si>
  <si>
    <t>Cantidad de casos confirmados</t>
  </si>
  <si>
    <t>Qué provincia tuvo mas casos confirmados? Que provincia tuvo mas fallecidos?</t>
  </si>
  <si>
    <t>Cantidad de fallecidos</t>
  </si>
  <si>
    <t>Fórmulas:</t>
  </si>
  <si>
    <t>"=MAX(E3:E18)"</t>
  </si>
  <si>
    <t>Cuántos fallecidos hubo en total? Cuántos casos confirmados en total?</t>
  </si>
  <si>
    <t>"=SUMA(F3:F18)"</t>
  </si>
  <si>
    <t>"=SUMA(E3:E18)"</t>
  </si>
  <si>
    <t>"=MAX(F3:F18)" y "=BUSCARX(E21;E3:E18;D3:D18;"";0;1)"</t>
  </si>
  <si>
    <t>"=CONTAR.SI.CONJUNTO('Dataset - Casos covid 19'!K:K;"si";'Dataset - Casos covid 19'!D:D;"provincia")"</t>
  </si>
  <si>
    <t>" =CONTAR.SI.CONJUNTO('Dataset - Casos covid 19'!I:I;"confirmado";'Dataset - Casos covid 19'!D:D;"provincia")"</t>
  </si>
  <si>
    <t>C) Cantidad de fallecidos total</t>
  </si>
  <si>
    <t>C) Cantidad de casos confirmados total</t>
  </si>
  <si>
    <t>A) Provincia con más fallecidos</t>
  </si>
  <si>
    <t>A) Provincia con más casos confirmados</t>
  </si>
  <si>
    <t>Casos de COVID-19 en la Ciudad de Buenos Aires</t>
  </si>
  <si>
    <t>Objetivo e introducción:</t>
  </si>
  <si>
    <t>Base de datos, alcance y aplicación:</t>
  </si>
  <si>
    <r>
      <rPr>
        <u/>
        <sz val="16"/>
        <color rgb="FF000000"/>
        <rFont val="Arial"/>
        <family val="2"/>
        <scheme val="minor"/>
      </rPr>
      <t>Alcance:</t>
    </r>
    <r>
      <rPr>
        <sz val="16"/>
        <color rgb="FF000000"/>
        <rFont val="Arial"/>
        <family val="2"/>
        <scheme val="minor"/>
      </rPr>
      <t xml:space="preserve"> Está dirigido a gestores de salud pública, analistas de datos, autoridades gubernamentales y académicos. O bien, todo aquel que quisiera investigar datos almacenados sobre los contagios de COVID-19 en la Ciudad Autónoma de Buenos Aires. </t>
    </r>
  </si>
  <si>
    <r>
      <rPr>
        <u/>
        <sz val="16"/>
        <color rgb="FF000000"/>
        <rFont val="Arial"/>
        <family val="2"/>
        <scheme val="minor"/>
      </rPr>
      <t>Aplicación:</t>
    </r>
    <r>
      <rPr>
        <sz val="16"/>
        <color rgb="FF000000"/>
        <rFont val="Arial"/>
        <family val="2"/>
        <scheme val="minor"/>
      </rPr>
      <t xml:space="preserve"> El objetivo es proporcionar  información a analistas para que monitoreen las operaciones/casos en tiempo real, y además se utilizará para decisiones operativas en la distribución de recursos y para generar estrategias a largo plazo en la gestión de la salud pública.</t>
    </r>
  </si>
  <si>
    <t xml:space="preserve">El proyecto abarca el diseño y la implementación de una base de datos relacional que almacena información sobre los casos de COVID-19,  incluyendo detalles sobre el paciente, la ubicación, el tipo de contagio y la clasificación del caso.                                                                                                                                                                                                          </t>
  </si>
  <si>
    <t xml:space="preserve">Este análisis permite comprender mejor las características de los contagios y proporcionar información clave para la toma de decisiones en la gestión de la pandemia y la implementación de medidas preventivas. </t>
  </si>
  <si>
    <t>El proyecto tiene como objetivo analizar los datos de COVID-19 registrados en la Ciudad de Buenos Aires. Este dataset proporciona información detallada  sobre los contagios, incluyendo variables como edad, género, fecha de diagnóstico, y lugar de residencia, entre otros. Con el fin de identificar patrones relacionados con la distribución geográfica, demográfica y temporal de los contagios.</t>
  </si>
  <si>
    <t>Cantidad de casos sospechosos</t>
  </si>
  <si>
    <t>"=CONTAR.SI.CONJUNTO('Dataset - Casos covid 19'!I:I;"sospechoso";'Dataset - Casos covid 19'!D:D;"provincia")"</t>
  </si>
  <si>
    <t>Etiquetas de fila</t>
  </si>
  <si>
    <t>Etiquetas de columna</t>
  </si>
  <si>
    <t>Recuento de Numero de casos</t>
  </si>
  <si>
    <t>Filtros</t>
  </si>
  <si>
    <t>Cuenta de Numero de caso</t>
  </si>
  <si>
    <t>"=SI.ERROR(IMPORTARDATOSDINAMICOS("Numero de caso";$A$1;"Clasificacion";"confirmado");"0")"</t>
  </si>
  <si>
    <t>"=SI.ERROR(IMPORTARDATOSDINAMICOS("Numero de caso";$A$1;"Clasificacion";"descartado");"0")"</t>
  </si>
  <si>
    <t>"=SI.ERROR(IMPORTARDATOSDINAMICOS("Numero de caso";$A$1;"Clasificacion";"sospechoso");"0")"</t>
  </si>
  <si>
    <t>estas formulas estan para que no muestre un error de referencia en el dashboard, en caso de que no encuentre datos, que arroje "0"</t>
  </si>
  <si>
    <t>"=BUSCARX(E21;E3:E18;D3:D18;"";0;1)"</t>
  </si>
  <si>
    <t>Cuántos fallecidos hubo por provincia? Cuántos casos confirmados, descartados y sospechosos hubo por provincia?</t>
  </si>
  <si>
    <t>Cantidad de casos descartados</t>
  </si>
  <si>
    <t>"=CONTAR.SI.CONJUNTO('Dataset - Casos covid 19'!I:I;"descartado";'Dataset - Casos covid 19'!D:D;"provincia")"</t>
  </si>
  <si>
    <t>Proyecto final: Casos de COVID-19 en la Ciudad de Buenos Aires</t>
  </si>
  <si>
    <r>
      <t>Autor:</t>
    </r>
    <r>
      <rPr>
        <b/>
        <sz val="18"/>
        <color rgb="FF000000"/>
        <rFont val="Arial"/>
        <family val="2"/>
        <scheme val="minor"/>
      </rPr>
      <t xml:space="preserve"> </t>
    </r>
    <r>
      <rPr>
        <sz val="18"/>
        <color rgb="FF000000"/>
        <rFont val="Arial"/>
        <family val="2"/>
        <scheme val="minor"/>
      </rPr>
      <t>Ramiro Nicolas Moreno</t>
    </r>
  </si>
  <si>
    <t>Objetivo general:</t>
  </si>
  <si>
    <t>Preguntas claves del análisis:</t>
  </si>
  <si>
    <t xml:space="preserve">1 - Qué provincia tuvo más casos confirmados? Qué provincia tuvo más fallecidos?                                                                                                                                                              </t>
  </si>
  <si>
    <t xml:space="preserve">4 - Cuántos fallecidos hubo en total? Cuántos casos confirmados en total?                                                                                                                                                  </t>
  </si>
  <si>
    <t xml:space="preserve">5 - Qué provincia tuvo más casos confirmados? Qué provincia tuvo más fallecidos?                                                                                                                                                              </t>
  </si>
  <si>
    <t xml:space="preserve">6 - Cómo evolucionaron los casos confirmados y fallecimientos a lo largo del tiempo?                                                                                                                               </t>
  </si>
  <si>
    <t>Herramientas y funciones utilizadas:</t>
  </si>
  <si>
    <t>1 - Tablas dinámicas para análisis por provincia, año, grupo etario y sexo</t>
  </si>
  <si>
    <t>2 -  Gráficos dinámicos conectados a segmentadores para mejorar la visualización.</t>
  </si>
  <si>
    <t>4 - Validación de datos mediante listas desplegables para filtros personalizados.</t>
  </si>
  <si>
    <t>5 - Dashboard con diseño limpio, uso de colores coherentes y segmentadores.</t>
  </si>
  <si>
    <t>Hallazgos claves:</t>
  </si>
  <si>
    <t>1 - La mayoría de los contagios están concentrados en el AMBA debido a su alta población en comparación al resto del país.</t>
  </si>
  <si>
    <t>2 - Se observa un aumento progresivo de casos y muertes, pero se puede evitar velozmente si el gobierno comienza a vacunar a la población.</t>
  </si>
  <si>
    <t>3 - Se observa que es un virus de expansión rápida debido a su presencia en diferentes provincias, además de la presencia global.</t>
  </si>
  <si>
    <t>4 - En caso de realizar futuras agregados de tipos de casos, los gráficos en el dashboard permiten visualizar las métricas de los mismos. Con esto se podrán aplicar distintas medidas estratégicas para reducir los contagios.</t>
  </si>
  <si>
    <t xml:space="preserve">3 - Cuántos fallecidos hubo por provincia? Cuántos casos confirmados, descartados y sospechoso hubo por provincia? Cómo se dividen por sexo?                                                                                                                                          </t>
  </si>
  <si>
    <t>D)</t>
  </si>
  <si>
    <t>Cuál es la letalidad por provincia?</t>
  </si>
  <si>
    <t>Cantidad fallecidos</t>
  </si>
  <si>
    <t>Cantidad total</t>
  </si>
  <si>
    <t>Tasa letalidad</t>
  </si>
  <si>
    <t>E)</t>
  </si>
  <si>
    <t xml:space="preserve">2 - Cuál es la tasa de letalidad por provincia?                                                                                                                                         </t>
  </si>
  <si>
    <t xml:space="preserve">Cómo evolucionaron los casos confirmados y fallecimientos a lo largo del tiempo?                     </t>
  </si>
  <si>
    <t xml:space="preserve"> Letalidad en %</t>
  </si>
  <si>
    <t>"=SI(H3=0;"No hay fallecidos";H3/E3)"</t>
  </si>
  <si>
    <t>Mes</t>
  </si>
  <si>
    <t>2020</t>
  </si>
  <si>
    <t>2021</t>
  </si>
  <si>
    <t>2022</t>
  </si>
  <si>
    <t>ene</t>
  </si>
  <si>
    <t>mar</t>
  </si>
  <si>
    <t>abr</t>
  </si>
  <si>
    <t>may</t>
  </si>
  <si>
    <t>jun</t>
  </si>
  <si>
    <t>jul</t>
  </si>
  <si>
    <t>ago</t>
  </si>
  <si>
    <t>sept</t>
  </si>
  <si>
    <t>oct</t>
  </si>
  <si>
    <t>nov</t>
  </si>
  <si>
    <t>dic</t>
  </si>
  <si>
    <t>F)</t>
  </si>
  <si>
    <t>G)</t>
  </si>
  <si>
    <t>Cuántos fallecidos hay en el AMBA? Cuantos no fallecidos?</t>
  </si>
  <si>
    <t>F) Cantidad de fallecidos en AMBA</t>
  </si>
  <si>
    <t>Cantidad de no fallecidos en AMBA</t>
  </si>
  <si>
    <t>Cantidad de casos no peligrosos</t>
  </si>
  <si>
    <t>Cuál es la cantidad de casos no peligrosos por provincia?</t>
  </si>
  <si>
    <t>3 -  Funciones como:
   - "SUMAR.SI.CONJUNTO" y "CONTAR.SI.CONJUNTO" para cálculos por múltiples criterios. O bien, un doble "SUMAR.SI.CONJUNTO", realizando una suma por criterios.
   - "SI.ERROR" para evitar errores en cálculos sin datos.
   - "BUSCARX" para combinar tablas.
   - "MAX" para identificar valores máximos.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</si>
</sst>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sz val="10"/>
      <name val="Arial"/>
      <family val="2"/>
      <scheme val="minor"/>
    </font>
    <font>
      <b/>
      <sz val="10"/>
      <name val="Arial"/>
      <family val="2"/>
      <scheme val="minor"/>
    </font>
    <font>
      <sz val="11"/>
      <color rgb="FF000000"/>
      <name val="Arial"/>
      <family val="2"/>
      <scheme val="minor"/>
    </font>
    <font>
      <sz val="12"/>
      <color rgb="FF000000"/>
      <name val="Arial"/>
      <family val="2"/>
      <scheme val="minor"/>
    </font>
    <font>
      <sz val="14"/>
      <color rgb="FF000000"/>
      <name val="Arial"/>
      <family val="2"/>
      <scheme val="minor"/>
    </font>
    <font>
      <sz val="16"/>
      <color rgb="FF000000"/>
      <name val="Arial"/>
      <family val="2"/>
      <scheme val="minor"/>
    </font>
    <font>
      <sz val="28"/>
      <color rgb="FF000000"/>
      <name val="Arial"/>
      <family val="2"/>
      <scheme val="minor"/>
    </font>
    <font>
      <sz val="10"/>
      <color rgb="FF000000"/>
      <name val="Arial"/>
      <family val="2"/>
      <scheme val="minor"/>
    </font>
    <font>
      <sz val="13"/>
      <color rgb="FF000000"/>
      <name val="Arial"/>
      <family val="2"/>
      <scheme val="minor"/>
    </font>
    <font>
      <b/>
      <sz val="16"/>
      <color rgb="FF000000"/>
      <name val="Arial"/>
      <family val="2"/>
      <scheme val="minor"/>
    </font>
    <font>
      <b/>
      <sz val="12"/>
      <color rgb="FF000000"/>
      <name val="Arial"/>
      <family val="2"/>
      <scheme val="minor"/>
    </font>
    <font>
      <b/>
      <sz val="13"/>
      <color rgb="FF000000"/>
      <name val="Arial"/>
      <family val="2"/>
      <scheme val="minor"/>
    </font>
    <font>
      <u/>
      <sz val="26"/>
      <color rgb="FF000000"/>
      <name val="Arial"/>
      <family val="2"/>
      <scheme val="minor"/>
    </font>
    <font>
      <u/>
      <sz val="16"/>
      <color rgb="FF000000"/>
      <name val="Arial"/>
      <family val="2"/>
      <scheme val="minor"/>
    </font>
    <font>
      <b/>
      <u/>
      <sz val="18"/>
      <color rgb="FF000000"/>
      <name val="Arial"/>
      <family val="2"/>
      <scheme val="minor"/>
    </font>
    <font>
      <sz val="18"/>
      <color rgb="FF000000"/>
      <name val="Arial"/>
      <family val="2"/>
      <scheme val="minor"/>
    </font>
    <font>
      <b/>
      <sz val="18"/>
      <color rgb="FF000000"/>
      <name val="Arial"/>
      <family val="2"/>
      <scheme val="minor"/>
    </font>
    <font>
      <b/>
      <u/>
      <sz val="26"/>
      <color rgb="FF000000"/>
      <name val="Arial"/>
      <family val="2"/>
      <scheme val="minor"/>
    </font>
    <font>
      <sz val="10"/>
      <color rgb="FF000000"/>
      <name val="Arial"/>
      <scheme val="minor"/>
    </font>
    <font>
      <sz val="8"/>
      <name val="Arial"/>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s>
  <borders count="37">
    <border>
      <left/>
      <right/>
      <top/>
      <bottom/>
      <diagonal/>
    </border>
    <border>
      <left/>
      <right/>
      <top style="thin">
        <color theme="4"/>
      </top>
      <bottom/>
      <diagonal/>
    </border>
    <border>
      <left/>
      <right/>
      <top/>
      <bottom style="thin">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s>
  <cellStyleXfs count="2">
    <xf numFmtId="0" fontId="0" fillId="0" borderId="0"/>
    <xf numFmtId="9" fontId="19" fillId="0" borderId="0" applyFont="0" applyFill="0" applyBorder="0" applyAlignment="0" applyProtection="0"/>
  </cellStyleXfs>
  <cellXfs count="130">
    <xf numFmtId="0" fontId="0" fillId="0" borderId="0" xfId="0"/>
    <xf numFmtId="0" fontId="1" fillId="0" borderId="0" xfId="0" applyFont="1"/>
    <xf numFmtId="14" fontId="1" fillId="0" borderId="0" xfId="0" applyNumberFormat="1" applyFont="1"/>
    <xf numFmtId="0" fontId="1" fillId="2" borderId="1" xfId="0" applyFont="1" applyFill="1" applyBorder="1"/>
    <xf numFmtId="14" fontId="1" fillId="2" borderId="1" xfId="0" applyNumberFormat="1" applyFont="1" applyFill="1" applyBorder="1"/>
    <xf numFmtId="0" fontId="1" fillId="2" borderId="0" xfId="0" applyFont="1" applyFill="1"/>
    <xf numFmtId="14" fontId="1" fillId="2" borderId="0" xfId="0" applyNumberFormat="1" applyFont="1" applyFill="1"/>
    <xf numFmtId="0" fontId="1" fillId="0" borderId="2" xfId="0" applyFont="1" applyBorder="1"/>
    <xf numFmtId="14" fontId="1" fillId="0" borderId="2" xfId="0" applyNumberFormat="1" applyFont="1" applyBorder="1"/>
    <xf numFmtId="14" fontId="0" fillId="0" borderId="0" xfId="0" applyNumberFormat="1"/>
    <xf numFmtId="0" fontId="2" fillId="0" borderId="0" xfId="0" applyFont="1"/>
    <xf numFmtId="0" fontId="0" fillId="0" borderId="0" xfId="0" applyAlignment="1">
      <alignment horizontal="center" vertical="center"/>
    </xf>
    <xf numFmtId="0" fontId="0" fillId="0" borderId="0" xfId="0" pivotButton="1"/>
    <xf numFmtId="0" fontId="0" fillId="0" borderId="0" xfId="0" applyAlignment="1">
      <alignment horizontal="left"/>
    </xf>
    <xf numFmtId="0" fontId="6" fillId="0" borderId="9" xfId="0" applyFont="1" applyBorder="1" applyAlignment="1">
      <alignment horizontal="center" vertical="center"/>
    </xf>
    <xf numFmtId="0" fontId="6" fillId="0" borderId="11" xfId="0" applyFont="1" applyBorder="1" applyAlignment="1">
      <alignment horizontal="center" vertical="center"/>
    </xf>
    <xf numFmtId="0" fontId="8" fillId="0" borderId="0" xfId="0" applyFont="1"/>
    <xf numFmtId="0" fontId="6" fillId="0" borderId="0" xfId="0" applyFont="1"/>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4" fillId="0" borderId="7"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4" fillId="0" borderId="5" xfId="0" applyFont="1" applyBorder="1" applyAlignment="1">
      <alignment horizontal="center" vertical="center"/>
    </xf>
    <xf numFmtId="0" fontId="3" fillId="0" borderId="6" xfId="0" applyFont="1" applyBorder="1"/>
    <xf numFmtId="0" fontId="3" fillId="0" borderId="8" xfId="0" applyFont="1" applyBorder="1"/>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6" fillId="0" borderId="13" xfId="0" applyFont="1" applyBorder="1" applyAlignment="1">
      <alignment horizontal="center" vertical="center"/>
    </xf>
    <xf numFmtId="0" fontId="0" fillId="3" borderId="0" xfId="0" applyFill="1"/>
    <xf numFmtId="0" fontId="6" fillId="3" borderId="0" xfId="0" applyFont="1" applyFill="1" applyAlignment="1">
      <alignment horizontal="left" vertical="center" wrapText="1"/>
    </xf>
    <xf numFmtId="0" fontId="0" fillId="3" borderId="5" xfId="0" applyFill="1" applyBorder="1"/>
    <xf numFmtId="0" fontId="0" fillId="3" borderId="6" xfId="0" applyFill="1" applyBorder="1"/>
    <xf numFmtId="0" fontId="6" fillId="3" borderId="5" xfId="0" applyFont="1" applyFill="1" applyBorder="1" applyAlignment="1">
      <alignment horizontal="left" vertical="center" wrapText="1"/>
    </xf>
    <xf numFmtId="0" fontId="6" fillId="3" borderId="0" xfId="0" applyFont="1" applyFill="1" applyAlignment="1">
      <alignment vertical="center" wrapText="1"/>
    </xf>
    <xf numFmtId="0" fontId="15" fillId="3" borderId="0" xfId="0" applyFont="1" applyFill="1"/>
    <xf numFmtId="0" fontId="13" fillId="3" borderId="0" xfId="0" applyFont="1" applyFill="1" applyAlignment="1">
      <alignment vertical="center"/>
    </xf>
    <xf numFmtId="0" fontId="0" fillId="3" borderId="7" xfId="0" applyFill="1" applyBorder="1"/>
    <xf numFmtId="0" fontId="0" fillId="3" borderId="26" xfId="0" applyFill="1" applyBorder="1"/>
    <xf numFmtId="0" fontId="0" fillId="3" borderId="8" xfId="0" applyFill="1" applyBorder="1"/>
    <xf numFmtId="0" fontId="0" fillId="3" borderId="5" xfId="0" applyFill="1" applyBorder="1" applyAlignment="1">
      <alignment horizontal="left"/>
    </xf>
    <xf numFmtId="0" fontId="0" fillId="3" borderId="0" xfId="0" applyFill="1" applyAlignment="1">
      <alignment horizontal="left"/>
    </xf>
    <xf numFmtId="0" fontId="0" fillId="3" borderId="6" xfId="0" applyFill="1" applyBorder="1" applyAlignment="1">
      <alignment horizontal="left"/>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12" fillId="0" borderId="27" xfId="0" applyFont="1" applyBorder="1" applyAlignment="1">
      <alignment horizontal="center" vertical="center"/>
    </xf>
    <xf numFmtId="0" fontId="13" fillId="3" borderId="3" xfId="0" applyFont="1" applyFill="1" applyBorder="1" applyAlignment="1">
      <alignment vertical="center"/>
    </xf>
    <xf numFmtId="0" fontId="13" fillId="3" borderId="19" xfId="0" applyFont="1" applyFill="1" applyBorder="1" applyAlignment="1">
      <alignment vertical="center"/>
    </xf>
    <xf numFmtId="0" fontId="13" fillId="3" borderId="4" xfId="0" applyFont="1" applyFill="1" applyBorder="1" applyAlignment="1">
      <alignment vertical="center"/>
    </xf>
    <xf numFmtId="0" fontId="13" fillId="3" borderId="5" xfId="0" applyFont="1" applyFill="1" applyBorder="1" applyAlignment="1">
      <alignment vertical="center"/>
    </xf>
    <xf numFmtId="0" fontId="13" fillId="3" borderId="6" xfId="0" applyFont="1" applyFill="1" applyBorder="1" applyAlignment="1">
      <alignment vertical="center"/>
    </xf>
    <xf numFmtId="0" fontId="13" fillId="3" borderId="7" xfId="0" applyFont="1" applyFill="1" applyBorder="1" applyAlignment="1">
      <alignment vertical="center"/>
    </xf>
    <xf numFmtId="0" fontId="13" fillId="3" borderId="26" xfId="0" applyFont="1" applyFill="1" applyBorder="1" applyAlignment="1">
      <alignment vertical="center"/>
    </xf>
    <xf numFmtId="0" fontId="13" fillId="3" borderId="8" xfId="0" applyFont="1" applyFill="1" applyBorder="1" applyAlignment="1">
      <alignment vertical="center"/>
    </xf>
    <xf numFmtId="0" fontId="6" fillId="3" borderId="6" xfId="0" applyFont="1" applyFill="1" applyBorder="1" applyAlignment="1">
      <alignment horizontal="left" vertical="center" wrapText="1"/>
    </xf>
    <xf numFmtId="0" fontId="15" fillId="3" borderId="5" xfId="0" applyFont="1" applyFill="1" applyBorder="1" applyAlignment="1">
      <alignment horizontal="center"/>
    </xf>
    <xf numFmtId="0" fontId="15" fillId="3" borderId="0" xfId="0" applyFont="1" applyFill="1" applyAlignment="1">
      <alignment horizontal="center"/>
    </xf>
    <xf numFmtId="0" fontId="15" fillId="3" borderId="6" xfId="0" applyFont="1" applyFill="1" applyBorder="1" applyAlignment="1">
      <alignment horizontal="center"/>
    </xf>
    <xf numFmtId="0" fontId="12" fillId="0" borderId="28" xfId="0" applyFont="1" applyBorder="1" applyAlignment="1">
      <alignment horizontal="center" vertical="center" wrapText="1"/>
    </xf>
    <xf numFmtId="0" fontId="12"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9" fontId="9" fillId="0" borderId="20" xfId="1" applyFont="1" applyBorder="1" applyAlignment="1">
      <alignment horizontal="center"/>
    </xf>
    <xf numFmtId="9" fontId="9" fillId="0" borderId="21" xfId="1" applyFont="1" applyBorder="1" applyAlignment="1">
      <alignment horizontal="center"/>
    </xf>
    <xf numFmtId="9" fontId="9" fillId="0" borderId="22" xfId="1" applyFont="1" applyBorder="1" applyAlignment="1">
      <alignment horizontal="center"/>
    </xf>
    <xf numFmtId="0" fontId="6" fillId="0" borderId="34" xfId="0" applyFont="1" applyBorder="1" applyAlignment="1">
      <alignment horizontal="center" vertical="center"/>
    </xf>
    <xf numFmtId="9" fontId="0" fillId="0" borderId="0" xfId="1" applyFont="1"/>
    <xf numFmtId="0" fontId="6" fillId="0" borderId="10" xfId="0" applyFont="1" applyBorder="1" applyAlignment="1">
      <alignment wrapText="1"/>
    </xf>
    <xf numFmtId="0" fontId="6" fillId="0" borderId="12" xfId="0" applyFont="1" applyBorder="1" applyAlignment="1">
      <alignment wrapText="1"/>
    </xf>
    <xf numFmtId="0" fontId="6" fillId="0" borderId="35" xfId="0" applyFont="1" applyBorder="1" applyAlignment="1">
      <alignment wrapText="1"/>
    </xf>
    <xf numFmtId="0" fontId="6" fillId="0" borderId="14" xfId="0" applyFont="1" applyBorder="1" applyAlignment="1">
      <alignment wrapText="1"/>
    </xf>
    <xf numFmtId="0" fontId="3" fillId="0" borderId="6" xfId="0" applyFont="1" applyBorder="1" applyAlignment="1">
      <alignment wrapText="1"/>
    </xf>
    <xf numFmtId="0" fontId="10" fillId="0" borderId="29" xfId="0" applyFont="1" applyBorder="1" applyAlignment="1">
      <alignment horizontal="center" vertical="center"/>
    </xf>
    <xf numFmtId="0" fontId="12" fillId="0" borderId="29" xfId="0" applyFont="1" applyBorder="1" applyAlignment="1">
      <alignment horizontal="center" vertical="center"/>
    </xf>
    <xf numFmtId="0" fontId="4" fillId="0" borderId="10" xfId="0" applyFont="1" applyBorder="1" applyAlignment="1">
      <alignment horizontal="center"/>
    </xf>
    <xf numFmtId="0" fontId="4" fillId="0" borderId="12" xfId="0" applyFont="1" applyBorder="1" applyAlignment="1">
      <alignment horizontal="center"/>
    </xf>
    <xf numFmtId="0" fontId="4" fillId="0" borderId="14" xfId="0" applyFont="1" applyBorder="1" applyAlignment="1">
      <alignment horizontal="center"/>
    </xf>
    <xf numFmtId="0" fontId="4" fillId="0" borderId="21" xfId="0" applyFont="1" applyBorder="1" applyAlignment="1">
      <alignment horizontal="center"/>
    </xf>
    <xf numFmtId="0" fontId="4" fillId="0" borderId="22" xfId="0" applyFont="1" applyBorder="1" applyAlignment="1">
      <alignment horizontal="center"/>
    </xf>
    <xf numFmtId="0" fontId="4" fillId="0" borderId="23" xfId="0" applyFont="1" applyBorder="1" applyAlignment="1">
      <alignment horizontal="center"/>
    </xf>
    <xf numFmtId="17" fontId="4" fillId="0" borderId="9" xfId="0" applyNumberFormat="1" applyFont="1" applyBorder="1" applyAlignment="1">
      <alignment horizontal="center"/>
    </xf>
    <xf numFmtId="17" fontId="4" fillId="0" borderId="17" xfId="0" applyNumberFormat="1" applyFont="1" applyBorder="1" applyAlignment="1">
      <alignment horizontal="center"/>
    </xf>
    <xf numFmtId="17" fontId="4" fillId="0" borderId="36" xfId="0" applyNumberFormat="1" applyFont="1" applyBorder="1" applyAlignment="1">
      <alignment horizontal="center"/>
    </xf>
    <xf numFmtId="0" fontId="0" fillId="0" borderId="0" xfId="0" applyAlignment="1">
      <alignment horizontal="left" indent="1"/>
    </xf>
    <xf numFmtId="0" fontId="13" fillId="3" borderId="5" xfId="0" applyFont="1" applyFill="1" applyBorder="1" applyAlignment="1">
      <alignment horizontal="center" vertical="center"/>
    </xf>
    <xf numFmtId="0" fontId="13" fillId="3" borderId="0" xfId="0" applyFont="1" applyFill="1" applyAlignment="1">
      <alignment horizontal="center" vertical="center"/>
    </xf>
    <xf numFmtId="0" fontId="13" fillId="3" borderId="26" xfId="0" applyFont="1" applyFill="1" applyBorder="1" applyAlignment="1">
      <alignment horizontal="center" vertical="center"/>
    </xf>
    <xf numFmtId="0" fontId="6" fillId="3" borderId="5" xfId="0" applyFont="1" applyFill="1" applyBorder="1" applyAlignment="1">
      <alignment horizontal="left" wrapText="1"/>
    </xf>
    <xf numFmtId="0" fontId="6" fillId="3" borderId="0" xfId="0" applyFont="1" applyFill="1" applyAlignment="1">
      <alignment horizontal="left" wrapText="1"/>
    </xf>
    <xf numFmtId="0" fontId="6" fillId="3" borderId="6" xfId="0" applyFont="1" applyFill="1" applyBorder="1" applyAlignment="1">
      <alignment horizontal="left" wrapText="1"/>
    </xf>
    <xf numFmtId="0" fontId="15" fillId="3" borderId="5" xfId="0" applyFont="1" applyFill="1" applyBorder="1" applyAlignment="1">
      <alignment horizontal="center"/>
    </xf>
    <xf numFmtId="0" fontId="15" fillId="3" borderId="0" xfId="0" applyFont="1" applyFill="1" applyAlignment="1">
      <alignment horizontal="center"/>
    </xf>
    <xf numFmtId="0" fontId="15" fillId="3" borderId="6" xfId="0" applyFont="1" applyFill="1" applyBorder="1" applyAlignment="1">
      <alignment horizontal="center"/>
    </xf>
    <xf numFmtId="0" fontId="6" fillId="3" borderId="5" xfId="0" applyFont="1" applyFill="1" applyBorder="1" applyAlignment="1">
      <alignment horizontal="left" vertical="center" wrapText="1"/>
    </xf>
    <xf numFmtId="0" fontId="6" fillId="3" borderId="0" xfId="0" applyFont="1" applyFill="1" applyAlignment="1">
      <alignment horizontal="left" vertical="center" wrapText="1"/>
    </xf>
    <xf numFmtId="0" fontId="6" fillId="3" borderId="6" xfId="0" applyFont="1" applyFill="1" applyBorder="1" applyAlignment="1">
      <alignment horizontal="left" vertical="center" wrapText="1"/>
    </xf>
    <xf numFmtId="0" fontId="18" fillId="3" borderId="3" xfId="0" applyFont="1" applyFill="1" applyBorder="1" applyAlignment="1">
      <alignment horizontal="center"/>
    </xf>
    <xf numFmtId="0" fontId="18" fillId="3" borderId="19" xfId="0" applyFont="1" applyFill="1" applyBorder="1" applyAlignment="1">
      <alignment horizontal="center"/>
    </xf>
    <xf numFmtId="0" fontId="18" fillId="3" borderId="4" xfId="0" applyFont="1" applyFill="1" applyBorder="1" applyAlignment="1">
      <alignment horizontal="center"/>
    </xf>
    <xf numFmtId="0" fontId="15" fillId="3" borderId="5" xfId="0" applyFont="1" applyFill="1" applyBorder="1" applyAlignment="1">
      <alignment horizontal="center" vertical="center"/>
    </xf>
    <xf numFmtId="0" fontId="15" fillId="3" borderId="0" xfId="0" applyFont="1" applyFill="1" applyAlignment="1">
      <alignment horizontal="center" vertical="center"/>
    </xf>
    <xf numFmtId="0" fontId="15" fillId="3" borderId="6" xfId="0" applyFont="1" applyFill="1" applyBorder="1" applyAlignment="1">
      <alignment horizontal="center" vertical="center"/>
    </xf>
    <xf numFmtId="0" fontId="15" fillId="3" borderId="7" xfId="0" applyFont="1" applyFill="1" applyBorder="1" applyAlignment="1">
      <alignment horizontal="center" vertical="top"/>
    </xf>
    <xf numFmtId="0" fontId="15" fillId="3" borderId="26" xfId="0" applyFont="1" applyFill="1" applyBorder="1" applyAlignment="1">
      <alignment horizontal="center" vertical="top"/>
    </xf>
    <xf numFmtId="0" fontId="15" fillId="3" borderId="8" xfId="0" applyFont="1" applyFill="1" applyBorder="1" applyAlignment="1">
      <alignment horizontal="center" vertical="top"/>
    </xf>
    <xf numFmtId="0" fontId="13" fillId="3" borderId="15" xfId="0" applyFont="1" applyFill="1" applyBorder="1" applyAlignment="1">
      <alignment horizontal="center" vertical="center"/>
    </xf>
    <xf numFmtId="0" fontId="13" fillId="3" borderId="25" xfId="0" applyFont="1" applyFill="1" applyBorder="1" applyAlignment="1">
      <alignment horizontal="center" vertical="center"/>
    </xf>
    <xf numFmtId="0" fontId="13" fillId="3" borderId="16" xfId="0" applyFont="1" applyFill="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7" fillId="0" borderId="15" xfId="0" applyFont="1" applyBorder="1" applyAlignment="1">
      <alignment horizontal="center"/>
    </xf>
    <xf numFmtId="0" fontId="7" fillId="0" borderId="16"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10" fillId="0" borderId="15"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12" fillId="0" borderId="30" xfId="0" applyFont="1" applyBorder="1" applyAlignment="1">
      <alignment horizontal="center" vertical="center" wrapText="1"/>
    </xf>
    <xf numFmtId="1" fontId="9" fillId="0" borderId="20" xfId="1" applyNumberFormat="1" applyFont="1" applyBorder="1" applyAlignment="1">
      <alignment horizontal="center"/>
    </xf>
    <xf numFmtId="0" fontId="9" fillId="0" borderId="21" xfId="1" applyNumberFormat="1" applyFont="1" applyBorder="1" applyAlignment="1">
      <alignment horizontal="center"/>
    </xf>
    <xf numFmtId="0" fontId="11" fillId="0" borderId="7" xfId="0" applyFont="1" applyBorder="1" applyAlignment="1">
      <alignment horizontal="center"/>
    </xf>
    <xf numFmtId="0" fontId="11" fillId="0" borderId="8" xfId="0" applyFont="1" applyBorder="1" applyAlignment="1">
      <alignment horizontal="center"/>
    </xf>
  </cellXfs>
  <cellStyles count="2">
    <cellStyle name="Normal" xfId="0" builtinId="0"/>
    <cellStyle name="Porcentaje" xfId="1" builtinId="5"/>
  </cellStyles>
  <dxfs count="8">
    <dxf>
      <font>
        <b val="0"/>
        <i val="0"/>
        <strike val="0"/>
        <condense val="0"/>
        <extend val="0"/>
        <outline val="0"/>
        <shadow val="0"/>
        <u val="none"/>
        <vertAlign val="baseline"/>
        <sz val="10"/>
        <color auto="1"/>
        <name val="Arial"/>
        <family val="2"/>
        <scheme val="minor"/>
      </font>
    </dxf>
    <dxf>
      <font>
        <b val="0"/>
        <i val="0"/>
        <strike val="0"/>
        <condense val="0"/>
        <extend val="0"/>
        <outline val="0"/>
        <shadow val="0"/>
        <u val="none"/>
        <vertAlign val="baseline"/>
        <sz val="10"/>
        <color auto="1"/>
        <name val="Arial"/>
        <family val="2"/>
        <scheme val="minor"/>
      </font>
    </dxf>
    <dxf>
      <font>
        <b val="0"/>
        <i val="0"/>
        <strike val="0"/>
        <condense val="0"/>
        <extend val="0"/>
        <outline val="0"/>
        <shadow val="0"/>
        <u val="none"/>
        <vertAlign val="baseline"/>
        <sz val="10"/>
        <color auto="1"/>
        <name val="Arial"/>
        <family val="2"/>
        <scheme val="minor"/>
      </font>
    </dxf>
    <dxf>
      <numFmt numFmtId="19" formatCode="d/m/yyyy"/>
    </dxf>
    <dxf>
      <numFmt numFmtId="19" formatCode="d/m/yyyy"/>
    </dxf>
    <dxf>
      <border outline="0">
        <top style="thin">
          <color theme="4"/>
        </top>
      </border>
    </dxf>
    <dxf>
      <font>
        <b val="0"/>
        <i val="0"/>
        <strike val="0"/>
        <condense val="0"/>
        <extend val="0"/>
        <outline val="0"/>
        <shadow val="0"/>
        <u val="none"/>
        <vertAlign val="baseline"/>
        <sz val="10"/>
        <color auto="1"/>
        <name val="Arial"/>
        <family val="2"/>
        <scheme val="minor"/>
      </font>
    </dxf>
    <dxf>
      <font>
        <b/>
        <i val="0"/>
        <strike val="0"/>
        <condense val="0"/>
        <extend val="0"/>
        <outline val="0"/>
        <shadow val="0"/>
        <u val="none"/>
        <vertAlign val="baseline"/>
        <sz val="10"/>
        <color auto="1"/>
        <name val="Arial"/>
        <family val="2"/>
        <scheme val="minor"/>
      </font>
    </dxf>
  </dxfs>
  <tableStyles count="0" defaultTableStyle="TableStyleMedium2" defaultPivotStyle="PivotStyleLight16"/>
  <colors>
    <mruColors>
      <color rgb="FFFFA3FF"/>
      <color rgb="FFA3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[ProyectoFinal_Moreno.xlsx]Tablas dinamicas!TablaDinámica3</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Distribución</a:t>
            </a:r>
            <a:r>
              <a:rPr lang="en-US" b="1" baseline="0">
                <a:solidFill>
                  <a:schemeClr val="tx1"/>
                </a:solidFill>
              </a:rPr>
              <a:t> de casos por género</a:t>
            </a:r>
          </a:p>
        </c:rich>
      </c:tx>
      <c:layout>
        <c:manualLayout>
          <c:xMode val="edge"/>
          <c:yMode val="edge"/>
          <c:x val="0.17592666588318251"/>
          <c:y val="6.398641346302300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A3FF"/>
          </a:solidFill>
          <a:ln w="19050">
            <a:solidFill>
              <a:srgbClr val="FFA3FF"/>
            </a:solidFill>
          </a:ln>
          <a:effectLst/>
        </c:spPr>
      </c:pivotFmt>
      <c:pivotFmt>
        <c:idx val="12"/>
        <c:spPr>
          <a:solidFill>
            <a:srgbClr val="FFA3FF"/>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w="19050">
            <a:solidFill>
              <a:schemeClr val="accent1">
                <a:lumMod val="60000"/>
                <a:lumOff val="40000"/>
              </a:schemeClr>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'Tablas dinamicas'!$B$1:$B$2</c:f>
              <c:strCache>
                <c:ptCount val="1"/>
                <c:pt idx="0">
                  <c:v>confirmado</c:v>
                </c:pt>
              </c:strCache>
            </c:strRef>
          </c:tx>
          <c:dPt>
            <c:idx val="0"/>
            <c:bubble3D val="0"/>
            <c:spPr>
              <a:solidFill>
                <a:srgbClr val="FFA3FF"/>
              </a:solidFill>
              <a:ln w="19050">
                <a:solidFill>
                  <a:srgbClr val="FFA3FF"/>
                </a:solidFill>
              </a:ln>
              <a:effectLst/>
            </c:spPr>
            <c:extLst>
              <c:ext xmlns:c16="http://schemas.microsoft.com/office/drawing/2014/chart" uri="{C3380CC4-5D6E-409C-BE32-E72D297353CC}">
                <c16:uniqueId val="{00000001-5679-4A79-B087-CB988735A6F4}"/>
              </c:ext>
            </c:extLst>
          </c:dPt>
          <c:dPt>
            <c:idx val="1"/>
            <c:bubble3D val="0"/>
            <c:spPr>
              <a:solidFill>
                <a:schemeClr val="accent1">
                  <a:lumMod val="60000"/>
                  <a:lumOff val="40000"/>
                </a:schemeClr>
              </a:solidFill>
              <a:ln w="19050">
                <a:solidFill>
                  <a:schemeClr val="accent1">
                    <a:lumMod val="60000"/>
                    <a:lumOff val="40000"/>
                  </a:schemeClr>
                </a:solidFill>
              </a:ln>
              <a:effectLst/>
            </c:spPr>
            <c:extLst>
              <c:ext xmlns:c16="http://schemas.microsoft.com/office/drawing/2014/chart" uri="{C3380CC4-5D6E-409C-BE32-E72D297353CC}">
                <c16:uniqueId val="{00000003-5679-4A79-B087-CB988735A6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79-4A79-B087-CB988735A6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'Tablas dinamicas'!$A$3:$A$5</c:f>
              <c:strCache>
                <c:ptCount val="2"/>
                <c:pt idx="0">
                  <c:v>femenino</c:v>
                </c:pt>
                <c:pt idx="1">
                  <c:v>masculino</c:v>
                </c:pt>
              </c:strCache>
            </c:strRef>
          </c:cat>
          <c:val>
            <c:numRef>
              <c:f>'Tablas dinamicas'!$B$3:$B$5</c:f>
              <c:numCache>
                <c:formatCode>General</c:formatCode>
                <c:ptCount val="2"/>
                <c:pt idx="0">
                  <c:v>777</c:v>
                </c:pt>
                <c:pt idx="1">
                  <c:v>844</c:v>
                </c:pt>
              </c:numCache>
            </c:numRef>
          </c:val>
          <c:extLst>
            <c:ext xmlns:c16="http://schemas.microsoft.com/office/drawing/2014/chart" uri="{C3380CC4-5D6E-409C-BE32-E72D297353CC}">
              <c16:uniqueId val="{00000006-5679-4A79-B087-CB988735A6F4}"/>
            </c:ext>
          </c:extLst>
        </c:ser>
        <c:ser>
          <c:idx val="1"/>
          <c:order val="1"/>
          <c:tx>
            <c:strRef>
              <c:f>'Tablas dinamicas'!$C$1:$C$2</c:f>
              <c:strCache>
                <c:ptCount val="1"/>
                <c:pt idx="0">
                  <c:v>descartado</c:v>
                </c:pt>
              </c:strCache>
            </c:strRef>
          </c:tx>
          <c:dPt>
            <c:idx val="0"/>
            <c:bubble3D val="0"/>
            <c:spPr>
              <a:solidFill>
                <a:srgbClr val="FFA3FF"/>
              </a:solidFill>
              <a:ln w="19050">
                <a:solidFill>
                  <a:schemeClr val="lt1"/>
                </a:solidFill>
              </a:ln>
              <a:effectLst/>
            </c:spPr>
            <c:extLst>
              <c:ext xmlns:c16="http://schemas.microsoft.com/office/drawing/2014/chart" uri="{C3380CC4-5D6E-409C-BE32-E72D297353CC}">
                <c16:uniqueId val="{00000007-1119-475E-A82C-F26D3841930E}"/>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9-1119-475E-A82C-F26D384193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'Tablas dinamicas'!$A$3:$A$5</c:f>
              <c:strCache>
                <c:ptCount val="2"/>
                <c:pt idx="0">
                  <c:v>femenino</c:v>
                </c:pt>
                <c:pt idx="1">
                  <c:v>masculino</c:v>
                </c:pt>
              </c:strCache>
            </c:strRef>
          </c:cat>
          <c:val>
            <c:numRef>
              <c:f>'Tablas dinamicas'!$C$3:$C$5</c:f>
              <c:numCache>
                <c:formatCode>General</c:formatCode>
                <c:ptCount val="2"/>
                <c:pt idx="0">
                  <c:v>184</c:v>
                </c:pt>
                <c:pt idx="1">
                  <c:v>176</c:v>
                </c:pt>
              </c:numCache>
            </c:numRef>
          </c:val>
          <c:extLst>
            <c:ext xmlns:c16="http://schemas.microsoft.com/office/drawing/2014/chart" uri="{C3380CC4-5D6E-409C-BE32-E72D297353CC}">
              <c16:uniqueId val="{00000011-4A1C-489F-AA7A-B75E52300832}"/>
            </c:ext>
          </c:extLst>
        </c:ser>
        <c:ser>
          <c:idx val="2"/>
          <c:order val="2"/>
          <c:tx>
            <c:strRef>
              <c:f>'Tablas dinamicas'!$D$1:$D$2</c:f>
              <c:strCache>
                <c:ptCount val="1"/>
                <c:pt idx="0">
                  <c:v>sospechoso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1119-475E-A82C-F26D384193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1119-475E-A82C-F26D384193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'Tablas dinamicas'!$A$3:$A$5</c:f>
              <c:strCache>
                <c:ptCount val="2"/>
                <c:pt idx="0">
                  <c:v>femenino</c:v>
                </c:pt>
                <c:pt idx="1">
                  <c:v>masculino</c:v>
                </c:pt>
              </c:strCache>
            </c:strRef>
          </c:cat>
          <c:val>
            <c:numRef>
              <c:f>'Tablas dinamicas'!$D$3:$D$5</c:f>
              <c:numCache>
                <c:formatCode>General</c:formatCode>
                <c:ptCount val="2"/>
                <c:pt idx="0">
                  <c:v>13</c:v>
                </c:pt>
                <c:pt idx="1">
                  <c:v>9</c:v>
                </c:pt>
              </c:numCache>
            </c:numRef>
          </c:val>
          <c:extLst>
            <c:ext xmlns:c16="http://schemas.microsoft.com/office/drawing/2014/chart" uri="{C3380CC4-5D6E-409C-BE32-E72D297353CC}">
              <c16:uniqueId val="{00000012-4A1C-489F-AA7A-B75E5230083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[ProyectoFinal_Moreno.xlsx]Tablas dinamicas!TablaDinámica3</c:name>
    <c:fmtId val="2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Comparación cantidad de </a:t>
            </a:r>
          </a:p>
          <a:p>
            <a:pPr>
              <a:defRPr sz="1400" b="1" i="0" u="none" strike="noStrike" kern="1200" spc="0" baseline="0">
                <a:solidFill>
                  <a:schemeClr val="tx1"/>
                </a:solidFill>
                <a:latin typeface="+mn-lt"/>
                <a:ea typeface="+mn-ea"/>
                <a:cs typeface="+mn-cs"/>
              </a:defRPr>
            </a:pPr>
            <a:r>
              <a:rPr lang="en-US" b="1">
                <a:solidFill>
                  <a:schemeClr val="tx1"/>
                </a:solidFill>
              </a:rPr>
              <a:t>casos vs género</a:t>
            </a:r>
            <a:endParaRPr lang="en-US" b="1" baseline="0">
              <a:solidFill>
                <a:schemeClr val="tx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2D050"/>
          </a:soli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 dinamicas'!$B$1:$B$2</c:f>
              <c:strCache>
                <c:ptCount val="1"/>
                <c:pt idx="0">
                  <c:v>confirmado</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 dinamicas'!$A$3:$A$5</c:f>
              <c:strCache>
                <c:ptCount val="2"/>
                <c:pt idx="0">
                  <c:v>femenino</c:v>
                </c:pt>
                <c:pt idx="1">
                  <c:v>masculino</c:v>
                </c:pt>
              </c:strCache>
            </c:strRef>
          </c:cat>
          <c:val>
            <c:numRef>
              <c:f>'Tablas dinamicas'!$B$3:$B$5</c:f>
              <c:numCache>
                <c:formatCode>General</c:formatCode>
                <c:ptCount val="2"/>
                <c:pt idx="0">
                  <c:v>777</c:v>
                </c:pt>
                <c:pt idx="1">
                  <c:v>844</c:v>
                </c:pt>
              </c:numCache>
            </c:numRef>
          </c:val>
          <c:extLst>
            <c:ext xmlns:c16="http://schemas.microsoft.com/office/drawing/2014/chart" uri="{C3380CC4-5D6E-409C-BE32-E72D297353CC}">
              <c16:uniqueId val="{00000021-919B-40F4-8CE4-D79C81AF0DFE}"/>
            </c:ext>
          </c:extLst>
        </c:ser>
        <c:ser>
          <c:idx val="1"/>
          <c:order val="1"/>
          <c:tx>
            <c:strRef>
              <c:f>'Tablas dinamicas'!$C$1:$C$2</c:f>
              <c:strCache>
                <c:ptCount val="1"/>
                <c:pt idx="0">
                  <c:v>descartado</c:v>
                </c:pt>
              </c:strCache>
            </c:strRef>
          </c:tx>
          <c:spPr>
            <a:solidFill>
              <a:srgbClr val="92D050"/>
            </a:solidFill>
            <a:ln>
              <a:solidFill>
                <a:srgbClr val="92D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'Tablas dinamicas'!$A$3:$A$5</c:f>
              <c:strCache>
                <c:ptCount val="2"/>
                <c:pt idx="0">
                  <c:v>femenino</c:v>
                </c:pt>
                <c:pt idx="1">
                  <c:v>masculino</c:v>
                </c:pt>
              </c:strCache>
            </c:strRef>
          </c:cat>
          <c:val>
            <c:numRef>
              <c:f>'Tablas dinamicas'!$C$3:$C$5</c:f>
              <c:numCache>
                <c:formatCode>General</c:formatCode>
                <c:ptCount val="2"/>
                <c:pt idx="0">
                  <c:v>184</c:v>
                </c:pt>
                <c:pt idx="1">
                  <c:v>176</c:v>
                </c:pt>
              </c:numCache>
            </c:numRef>
          </c:val>
          <c:extLst>
            <c:ext xmlns:c16="http://schemas.microsoft.com/office/drawing/2014/chart" uri="{C3380CC4-5D6E-409C-BE32-E72D297353CC}">
              <c16:uniqueId val="{00000003-68CE-47FB-9420-EA340F234BF7}"/>
            </c:ext>
          </c:extLst>
        </c:ser>
        <c:ser>
          <c:idx val="2"/>
          <c:order val="2"/>
          <c:tx>
            <c:strRef>
              <c:f>'Tablas dinamicas'!$D$1:$D$2</c:f>
              <c:strCache>
                <c:ptCount val="1"/>
                <c:pt idx="0">
                  <c:v>sospechoso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'Tablas dinamicas'!$A$3:$A$5</c:f>
              <c:strCache>
                <c:ptCount val="2"/>
                <c:pt idx="0">
                  <c:v>femenino</c:v>
                </c:pt>
                <c:pt idx="1">
                  <c:v>masculino</c:v>
                </c:pt>
              </c:strCache>
            </c:strRef>
          </c:cat>
          <c:val>
            <c:numRef>
              <c:f>'Tablas dinamicas'!$D$3:$D$5</c:f>
              <c:numCache>
                <c:formatCode>General</c:formatCode>
                <c:ptCount val="2"/>
                <c:pt idx="0">
                  <c:v>13</c:v>
                </c:pt>
                <c:pt idx="1">
                  <c:v>9</c:v>
                </c:pt>
              </c:numCache>
            </c:numRef>
          </c:val>
          <c:extLst>
            <c:ext xmlns:c16="http://schemas.microsoft.com/office/drawing/2014/chart" uri="{C3380CC4-5D6E-409C-BE32-E72D297353CC}">
              <c16:uniqueId val="{00000004-68CE-47FB-9420-EA340F234BF7}"/>
            </c:ext>
          </c:extLst>
        </c:ser>
        <c:dLbls>
          <c:dLblPos val="outEnd"/>
          <c:showLegendKey val="0"/>
          <c:showVal val="1"/>
          <c:showCatName val="0"/>
          <c:showSerName val="0"/>
          <c:showPercent val="0"/>
          <c:showBubbleSize val="0"/>
        </c:dLbls>
        <c:gapWidth val="219"/>
        <c:overlap val="-27"/>
        <c:axId val="466056800"/>
        <c:axId val="466054640"/>
      </c:barChart>
      <c:catAx>
        <c:axId val="466056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Género</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054640"/>
        <c:crosses val="autoZero"/>
        <c:auto val="1"/>
        <c:lblAlgn val="ctr"/>
        <c:lblOffset val="100"/>
        <c:noMultiLvlLbl val="0"/>
      </c:catAx>
      <c:valAx>
        <c:axId val="466054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Cantidad</a:t>
                </a:r>
                <a:r>
                  <a:rPr lang="en-US" baseline="0"/>
                  <a:t> de casos</a:t>
                </a:r>
                <a:endParaRPr lang="en-US"/>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05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[ProyectoFinal_Moreno.xlsx]Tablas dinamicas!TablaDinámica2</c:name>
    <c:fmtId val="3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chemeClr val="tx1"/>
                </a:solidFill>
              </a:rPr>
              <a:t>Cantidad de casos totales por provincia</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 dinamicas'!$H$44</c:f>
              <c:strCache>
                <c:ptCount val="1"/>
                <c:pt idx="0">
                  <c:v>Total</c:v>
                </c:pt>
              </c:strCache>
            </c:strRef>
          </c:tx>
          <c:spPr>
            <a:solidFill>
              <a:schemeClr val="tx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 dinamicas'!$G$45:$G$61</c:f>
              <c:strCache>
                <c:ptCount val="16"/>
                <c:pt idx="0">
                  <c:v>Buenos Aires</c:v>
                </c:pt>
                <c:pt idx="1">
                  <c:v>CABA</c:v>
                </c:pt>
                <c:pt idx="2">
                  <c:v>Chaco</c:v>
                </c:pt>
                <c:pt idx="3">
                  <c:v>Chubut</c:v>
                </c:pt>
                <c:pt idx="4">
                  <c:v>Córdoba</c:v>
                </c:pt>
                <c:pt idx="5">
                  <c:v>Corrientes</c:v>
                </c:pt>
                <c:pt idx="6">
                  <c:v>Formosa</c:v>
                </c:pt>
                <c:pt idx="7">
                  <c:v>Jujuy</c:v>
                </c:pt>
                <c:pt idx="8">
                  <c:v>La Rioja</c:v>
                </c:pt>
                <c:pt idx="9">
                  <c:v>Mendoza</c:v>
                </c:pt>
                <c:pt idx="10">
                  <c:v>Misiones</c:v>
                </c:pt>
                <c:pt idx="11">
                  <c:v>Río Negro</c:v>
                </c:pt>
                <c:pt idx="12">
                  <c:v>Salta</c:v>
                </c:pt>
                <c:pt idx="13">
                  <c:v>San Juan</c:v>
                </c:pt>
                <c:pt idx="14">
                  <c:v>San Luis</c:v>
                </c:pt>
                <c:pt idx="15">
                  <c:v>Tucumán</c:v>
                </c:pt>
              </c:strCache>
            </c:strRef>
          </c:cat>
          <c:val>
            <c:numRef>
              <c:f>'Tablas dinamicas'!$H$45:$H$61</c:f>
              <c:numCache>
                <c:formatCode>General</c:formatCode>
                <c:ptCount val="16"/>
                <c:pt idx="0">
                  <c:v>682</c:v>
                </c:pt>
                <c:pt idx="1">
                  <c:v>1291</c:v>
                </c:pt>
                <c:pt idx="2">
                  <c:v>5</c:v>
                </c:pt>
                <c:pt idx="3">
                  <c:v>2</c:v>
                </c:pt>
                <c:pt idx="4">
                  <c:v>4</c:v>
                </c:pt>
                <c:pt idx="5">
                  <c:v>3</c:v>
                </c:pt>
                <c:pt idx="6">
                  <c:v>1</c:v>
                </c:pt>
                <c:pt idx="7">
                  <c:v>2</c:v>
                </c:pt>
                <c:pt idx="8">
                  <c:v>2</c:v>
                </c:pt>
                <c:pt idx="9">
                  <c:v>1</c:v>
                </c:pt>
                <c:pt idx="10">
                  <c:v>3</c:v>
                </c:pt>
                <c:pt idx="11">
                  <c:v>1</c:v>
                </c:pt>
                <c:pt idx="12">
                  <c:v>2</c:v>
                </c:pt>
                <c:pt idx="13">
                  <c:v>1</c:v>
                </c:pt>
                <c:pt idx="14">
                  <c:v>1</c:v>
                </c:pt>
                <c:pt idx="15">
                  <c:v>2</c:v>
                </c:pt>
              </c:numCache>
            </c:numRef>
          </c:val>
          <c:extLst>
            <c:ext xmlns:c16="http://schemas.microsoft.com/office/drawing/2014/chart" uri="{C3380CC4-5D6E-409C-BE32-E72D297353CC}">
              <c16:uniqueId val="{00000000-4BFA-45C1-9AFC-6094434A1810}"/>
            </c:ext>
          </c:extLst>
        </c:ser>
        <c:dLbls>
          <c:dLblPos val="outEnd"/>
          <c:showLegendKey val="0"/>
          <c:showVal val="1"/>
          <c:showCatName val="0"/>
          <c:showSerName val="0"/>
          <c:showPercent val="0"/>
          <c:showBubbleSize val="0"/>
        </c:dLbls>
        <c:gapWidth val="219"/>
        <c:overlap val="-27"/>
        <c:axId val="833211304"/>
        <c:axId val="833207704"/>
      </c:barChart>
      <c:catAx>
        <c:axId val="833211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207704"/>
        <c:crosses val="autoZero"/>
        <c:auto val="1"/>
        <c:lblAlgn val="ctr"/>
        <c:lblOffset val="100"/>
        <c:noMultiLvlLbl val="0"/>
      </c:catAx>
      <c:valAx>
        <c:axId val="833207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211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[ProyectoFinal_Moreno.xlsx]Tablas dinamicas!TablaDinámica5</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Evolución en</a:t>
            </a:r>
            <a:r>
              <a:rPr lang="en-US" b="1" baseline="0">
                <a:solidFill>
                  <a:sysClr val="windowText" lastClr="000000"/>
                </a:solidFill>
              </a:rPr>
              <a:t> el tiempo</a:t>
            </a:r>
            <a:endParaRPr lang="en-US" b="1">
              <a:solidFill>
                <a:sysClr val="windowText" lastClr="000000"/>
              </a:solidFill>
            </a:endParaRPr>
          </a:p>
        </c:rich>
      </c:tx>
      <c:layout>
        <c:manualLayout>
          <c:xMode val="edge"/>
          <c:yMode val="edge"/>
          <c:x val="0.32305411572297182"/>
          <c:y val="2.37670781427843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 dinamicas'!$N$45:$N$46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'Tablas dinamicas'!$M$47:$M$67</c:f>
              <c:multiLvlStrCache>
                <c:ptCount val="17"/>
                <c:lvl>
                  <c:pt idx="0">
                    <c:v>ene</c:v>
                  </c:pt>
                  <c:pt idx="1">
                    <c:v>mar</c:v>
                  </c:pt>
                  <c:pt idx="2">
                    <c:v>abr</c:v>
                  </c:pt>
                  <c:pt idx="3">
                    <c:v>may</c:v>
                  </c:pt>
                  <c:pt idx="4">
                    <c:v>jun</c:v>
                  </c:pt>
                  <c:pt idx="5">
                    <c:v>jul</c:v>
                  </c:pt>
                  <c:pt idx="6">
                    <c:v>ago</c:v>
                  </c:pt>
                  <c:pt idx="7">
                    <c:v>sept</c:v>
                  </c:pt>
                  <c:pt idx="8">
                    <c:v>oct</c:v>
                  </c:pt>
                  <c:pt idx="9">
                    <c:v>nov</c:v>
                  </c:pt>
                  <c:pt idx="10">
                    <c:v>dic</c:v>
                  </c:pt>
                  <c:pt idx="11">
                    <c:v>ene</c:v>
                  </c:pt>
                  <c:pt idx="12">
                    <c:v>mar</c:v>
                  </c:pt>
                  <c:pt idx="13">
                    <c:v>abr</c:v>
                  </c:pt>
                  <c:pt idx="14">
                    <c:v>may</c:v>
                  </c:pt>
                  <c:pt idx="15">
                    <c:v>dic</c:v>
                  </c:pt>
                  <c:pt idx="16">
                    <c:v>ene</c:v>
                  </c:pt>
                </c:lvl>
                <c:lvl>
                  <c:pt idx="0">
                    <c:v>2020</c:v>
                  </c:pt>
                  <c:pt idx="11">
                    <c:v>2021</c:v>
                  </c:pt>
                  <c:pt idx="16">
                    <c:v>2022</c:v>
                  </c:pt>
                </c:lvl>
              </c:multiLvlStrCache>
            </c:multiLvlStrRef>
          </c:cat>
          <c:val>
            <c:numRef>
              <c:f>'Tablas dinamicas'!$N$47:$N$67</c:f>
              <c:numCache>
                <c:formatCode>General</c:formatCode>
                <c:ptCount val="17"/>
                <c:pt idx="0">
                  <c:v>1</c:v>
                </c:pt>
                <c:pt idx="1">
                  <c:v>3</c:v>
                </c:pt>
                <c:pt idx="2">
                  <c:v>17</c:v>
                </c:pt>
                <c:pt idx="3">
                  <c:v>27</c:v>
                </c:pt>
                <c:pt idx="4">
                  <c:v>48</c:v>
                </c:pt>
                <c:pt idx="5">
                  <c:v>408</c:v>
                </c:pt>
                <c:pt idx="6">
                  <c:v>379</c:v>
                </c:pt>
                <c:pt idx="7">
                  <c:v>493</c:v>
                </c:pt>
                <c:pt idx="8">
                  <c:v>104</c:v>
                </c:pt>
                <c:pt idx="9">
                  <c:v>89</c:v>
                </c:pt>
                <c:pt idx="10">
                  <c:v>109</c:v>
                </c:pt>
                <c:pt idx="11">
                  <c:v>3</c:v>
                </c:pt>
                <c:pt idx="12">
                  <c:v>2</c:v>
                </c:pt>
                <c:pt idx="13">
                  <c:v>1</c:v>
                </c:pt>
                <c:pt idx="15">
                  <c:v>1</c:v>
                </c:pt>
                <c:pt idx="16">
                  <c:v>1</c:v>
                </c:pt>
              </c:numCache>
            </c:numRef>
          </c:val>
          <c:extLst>
            <c:ext xmlns:c16="http://schemas.microsoft.com/office/drawing/2014/chart" uri="{C3380CC4-5D6E-409C-BE32-E72D297353CC}">
              <c16:uniqueId val="{00000000-C8E3-4AC5-8237-FAE7E06AF4E6}"/>
            </c:ext>
          </c:extLst>
        </c:ser>
        <c:ser>
          <c:idx val="1"/>
          <c:order val="1"/>
          <c:tx>
            <c:strRef>
              <c:f>'Tablas dinamicas'!$O$45:$O$46</c:f>
              <c:strCache>
                <c:ptCount val="1"/>
                <c:pt idx="0">
                  <c:v>si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'Tablas dinamicas'!$M$47:$M$67</c:f>
              <c:multiLvlStrCache>
                <c:ptCount val="17"/>
                <c:lvl>
                  <c:pt idx="0">
                    <c:v>ene</c:v>
                  </c:pt>
                  <c:pt idx="1">
                    <c:v>mar</c:v>
                  </c:pt>
                  <c:pt idx="2">
                    <c:v>abr</c:v>
                  </c:pt>
                  <c:pt idx="3">
                    <c:v>may</c:v>
                  </c:pt>
                  <c:pt idx="4">
                    <c:v>jun</c:v>
                  </c:pt>
                  <c:pt idx="5">
                    <c:v>jul</c:v>
                  </c:pt>
                  <c:pt idx="6">
                    <c:v>ago</c:v>
                  </c:pt>
                  <c:pt idx="7">
                    <c:v>sept</c:v>
                  </c:pt>
                  <c:pt idx="8">
                    <c:v>oct</c:v>
                  </c:pt>
                  <c:pt idx="9">
                    <c:v>nov</c:v>
                  </c:pt>
                  <c:pt idx="10">
                    <c:v>dic</c:v>
                  </c:pt>
                  <c:pt idx="11">
                    <c:v>ene</c:v>
                  </c:pt>
                  <c:pt idx="12">
                    <c:v>mar</c:v>
                  </c:pt>
                  <c:pt idx="13">
                    <c:v>abr</c:v>
                  </c:pt>
                  <c:pt idx="14">
                    <c:v>may</c:v>
                  </c:pt>
                  <c:pt idx="15">
                    <c:v>dic</c:v>
                  </c:pt>
                  <c:pt idx="16">
                    <c:v>ene</c:v>
                  </c:pt>
                </c:lvl>
                <c:lvl>
                  <c:pt idx="0">
                    <c:v>2020</c:v>
                  </c:pt>
                  <c:pt idx="11">
                    <c:v>2021</c:v>
                  </c:pt>
                  <c:pt idx="16">
                    <c:v>2022</c:v>
                  </c:pt>
                </c:lvl>
              </c:multiLvlStrCache>
            </c:multiLvlStrRef>
          </c:cat>
          <c:val>
            <c:numRef>
              <c:f>'Tablas dinamicas'!$O$47:$O$67</c:f>
              <c:numCache>
                <c:formatCode>General</c:formatCode>
                <c:ptCount val="17"/>
                <c:pt idx="1">
                  <c:v>1</c:v>
                </c:pt>
                <c:pt idx="2">
                  <c:v>7</c:v>
                </c:pt>
                <c:pt idx="3">
                  <c:v>8</c:v>
                </c:pt>
                <c:pt idx="4">
                  <c:v>34</c:v>
                </c:pt>
                <c:pt idx="5">
                  <c:v>82</c:v>
                </c:pt>
                <c:pt idx="6">
                  <c:v>69</c:v>
                </c:pt>
                <c:pt idx="7">
                  <c:v>49</c:v>
                </c:pt>
                <c:pt idx="8">
                  <c:v>28</c:v>
                </c:pt>
                <c:pt idx="9">
                  <c:v>17</c:v>
                </c:pt>
                <c:pt idx="10">
                  <c:v>17</c:v>
                </c:pt>
                <c:pt idx="11">
                  <c:v>2</c:v>
                </c:pt>
                <c:pt idx="13">
                  <c:v>1</c:v>
                </c:pt>
                <c:pt idx="14">
                  <c:v>2</c:v>
                </c:pt>
              </c:numCache>
            </c:numRef>
          </c:val>
          <c:extLst>
            <c:ext xmlns:c16="http://schemas.microsoft.com/office/drawing/2014/chart" uri="{C3380CC4-5D6E-409C-BE32-E72D297353CC}">
              <c16:uniqueId val="{00000002-05A9-48CE-B147-8F9C9C8B5685}"/>
            </c:ext>
          </c:extLst>
        </c:ser>
        <c:dLbls>
          <c:dLblPos val="outEnd"/>
          <c:showLegendKey val="0"/>
          <c:showVal val="1"/>
          <c:showCatName val="0"/>
          <c:showSerName val="0"/>
          <c:showPercent val="0"/>
          <c:showBubbleSize val="0"/>
        </c:dLbls>
        <c:gapWidth val="219"/>
        <c:overlap val="-27"/>
        <c:axId val="563838752"/>
        <c:axId val="563837312"/>
      </c:barChart>
      <c:catAx>
        <c:axId val="56383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837312"/>
        <c:crosses val="autoZero"/>
        <c:auto val="1"/>
        <c:lblAlgn val="ctr"/>
        <c:lblOffset val="100"/>
        <c:noMultiLvlLbl val="0"/>
      </c:catAx>
      <c:valAx>
        <c:axId val="563837312"/>
        <c:scaling>
          <c:orientation val="minMax"/>
        </c:scaling>
        <c:delete val="0"/>
        <c:axPos val="l"/>
        <c:majorGridlines>
          <c:spPr>
            <a:ln w="12700"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838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161925</xdr:colOff>
      <xdr:row>1</xdr:row>
      <xdr:rowOff>76200</xdr:rowOff>
    </xdr:from>
    <xdr:to>
      <xdr:col>3</xdr:col>
      <xdr:colOff>228600</xdr:colOff>
      <xdr:row>2</xdr:row>
      <xdr:rowOff>180975</xdr:rowOff>
    </xdr:to>
    <xdr:sp macro="" textlink="'Tablas dinamicas'!H2">
      <xdr:nvSpPr>
        <xdr:cNvPr id="5" name="CuadroTexto 4">
          <a:extLst>
            <a:ext uri="{FF2B5EF4-FFF2-40B4-BE49-F238E27FC236}">
              <a16:creationId xmlns:a16="http://schemas.microsoft.com/office/drawing/2014/main" id="{0176D1A8-5E1B-4768-9265-666757EE0CC0}"/>
            </a:ext>
          </a:extLst>
        </xdr:cNvPr>
        <xdr:cNvSpPr txBox="1"/>
      </xdr:nvSpPr>
      <xdr:spPr>
        <a:xfrm>
          <a:off x="923925" y="838200"/>
          <a:ext cx="1590675" cy="523875"/>
        </a:xfrm>
        <a:prstGeom prst="rect">
          <a:avLst/>
        </a:prstGeom>
        <a:solidFill>
          <a:schemeClr val="accent2">
            <a:lumMod val="20000"/>
            <a:lumOff val="80000"/>
          </a:schemeClr>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923D7EF-4E81-4DBC-A920-FE468F9954C8}" type="TxLink">
            <a:rPr lang="en-US" sz="2000" b="0" i="0" u="none" strike="noStrike">
              <a:solidFill>
                <a:srgbClr val="000000"/>
              </a:solidFill>
              <a:latin typeface="Arial"/>
              <a:ea typeface="+mn-ea"/>
              <a:cs typeface="Arial"/>
            </a:rPr>
            <a:pPr marL="0" indent="0" algn="ctr"/>
            <a:t>1621</a:t>
          </a:fld>
          <a:endParaRPr lang="es-AR" sz="2000" b="0" i="0" u="none" strike="noStrike">
            <a:solidFill>
              <a:srgbClr val="FF0000"/>
            </a:solidFill>
            <a:latin typeface="Aptos Narrow"/>
            <a:ea typeface="+mn-ea"/>
            <a:cs typeface="+mn-cs"/>
          </a:endParaRPr>
        </a:p>
      </xdr:txBody>
    </xdr:sp>
    <xdr:clientData/>
  </xdr:twoCellAnchor>
  <xdr:twoCellAnchor>
    <xdr:from>
      <xdr:col>6</xdr:col>
      <xdr:colOff>742950</xdr:colOff>
      <xdr:row>1</xdr:row>
      <xdr:rowOff>76200</xdr:rowOff>
    </xdr:from>
    <xdr:to>
      <xdr:col>9</xdr:col>
      <xdr:colOff>76950</xdr:colOff>
      <xdr:row>2</xdr:row>
      <xdr:rowOff>219075</xdr:rowOff>
    </xdr:to>
    <xdr:sp macro="" textlink="'Tablas dinamicas'!H3">
      <xdr:nvSpPr>
        <xdr:cNvPr id="6" name="CuadroTexto 5">
          <a:extLst>
            <a:ext uri="{FF2B5EF4-FFF2-40B4-BE49-F238E27FC236}">
              <a16:creationId xmlns:a16="http://schemas.microsoft.com/office/drawing/2014/main" id="{6FBAA12E-DC08-4401-A4D9-3CB746052A07}"/>
            </a:ext>
          </a:extLst>
        </xdr:cNvPr>
        <xdr:cNvSpPr txBox="1"/>
      </xdr:nvSpPr>
      <xdr:spPr>
        <a:xfrm>
          <a:off x="5314950" y="838200"/>
          <a:ext cx="1620000" cy="561975"/>
        </a:xfrm>
        <a:prstGeom prst="rect">
          <a:avLst/>
        </a:prstGeom>
        <a:solidFill>
          <a:schemeClr val="accent4">
            <a:lumMod val="20000"/>
            <a:lumOff val="80000"/>
          </a:schemeClr>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984D58-EA25-4522-AB84-D2F3DB316822}" type="TxLink">
            <a:rPr lang="en-US" sz="2000" b="0" i="0" u="none" strike="noStrike">
              <a:solidFill>
                <a:srgbClr val="000000"/>
              </a:solidFill>
              <a:latin typeface="Arial"/>
              <a:ea typeface="+mn-ea"/>
              <a:cs typeface="Arial"/>
            </a:rPr>
            <a:pPr marL="0" indent="0" algn="ctr"/>
            <a:t>360</a:t>
          </a:fld>
          <a:endParaRPr lang="es-AR" sz="2000" b="1" i="0" u="none" strike="noStrike">
            <a:solidFill>
              <a:srgbClr val="FF0000"/>
            </a:solidFill>
            <a:latin typeface="Aptos Narrow"/>
            <a:ea typeface="+mn-ea"/>
            <a:cs typeface="+mn-cs"/>
          </a:endParaRPr>
        </a:p>
      </xdr:txBody>
    </xdr:sp>
    <xdr:clientData/>
  </xdr:twoCellAnchor>
  <xdr:twoCellAnchor>
    <xdr:from>
      <xdr:col>4</xdr:col>
      <xdr:colOff>76200</xdr:colOff>
      <xdr:row>1</xdr:row>
      <xdr:rowOff>104776</xdr:rowOff>
    </xdr:from>
    <xdr:to>
      <xdr:col>6</xdr:col>
      <xdr:colOff>172200</xdr:colOff>
      <xdr:row>2</xdr:row>
      <xdr:rowOff>200026</xdr:rowOff>
    </xdr:to>
    <xdr:sp macro="" textlink="'Tablas dinamicas'!H4">
      <xdr:nvSpPr>
        <xdr:cNvPr id="7" name="CuadroTexto 6">
          <a:extLst>
            <a:ext uri="{FF2B5EF4-FFF2-40B4-BE49-F238E27FC236}">
              <a16:creationId xmlns:a16="http://schemas.microsoft.com/office/drawing/2014/main" id="{218FAD8B-938E-4CFE-AC3B-ED28A8EB3CFB}"/>
            </a:ext>
          </a:extLst>
        </xdr:cNvPr>
        <xdr:cNvSpPr txBox="1"/>
      </xdr:nvSpPr>
      <xdr:spPr>
        <a:xfrm>
          <a:off x="3124200" y="866776"/>
          <a:ext cx="1620000" cy="514350"/>
        </a:xfrm>
        <a:prstGeom prst="rect">
          <a:avLst/>
        </a:prstGeom>
        <a:solidFill>
          <a:schemeClr val="accent3">
            <a:lumMod val="20000"/>
            <a:lumOff val="80000"/>
          </a:schemeClr>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31282C-4E43-485A-8D64-358BEDC299A6}" type="TxLink">
            <a:rPr lang="en-US" sz="2000" b="0" i="0" u="none" strike="noStrike">
              <a:solidFill>
                <a:srgbClr val="000000"/>
              </a:solidFill>
              <a:latin typeface="Arial"/>
              <a:ea typeface="+mn-ea"/>
              <a:cs typeface="Arial"/>
            </a:rPr>
            <a:pPr marL="0" indent="0" algn="ctr"/>
            <a:t>22</a:t>
          </a:fld>
          <a:endParaRPr lang="es-AR" sz="2000" b="1" i="0" u="none" strike="noStrike">
            <a:solidFill>
              <a:srgbClr val="FF0000"/>
            </a:solidFill>
            <a:latin typeface="Aptos Narrow"/>
            <a:ea typeface="+mn-ea"/>
            <a:cs typeface="+mn-cs"/>
          </a:endParaRPr>
        </a:p>
      </xdr:txBody>
    </xdr:sp>
    <xdr:clientData/>
  </xdr:twoCellAnchor>
  <xdr:twoCellAnchor>
    <xdr:from>
      <xdr:col>4</xdr:col>
      <xdr:colOff>76200</xdr:colOff>
      <xdr:row>2</xdr:row>
      <xdr:rowOff>257174</xdr:rowOff>
    </xdr:from>
    <xdr:to>
      <xdr:col>6</xdr:col>
      <xdr:colOff>172200</xdr:colOff>
      <xdr:row>3</xdr:row>
      <xdr:rowOff>333375</xdr:rowOff>
    </xdr:to>
    <xdr:sp macro="" textlink="">
      <xdr:nvSpPr>
        <xdr:cNvPr id="8" name="CuadroTexto 7">
          <a:extLst>
            <a:ext uri="{FF2B5EF4-FFF2-40B4-BE49-F238E27FC236}">
              <a16:creationId xmlns:a16="http://schemas.microsoft.com/office/drawing/2014/main" id="{00ED74CD-6B41-4BEB-8078-C74261C9BE18}"/>
            </a:ext>
          </a:extLst>
        </xdr:cNvPr>
        <xdr:cNvSpPr txBox="1"/>
      </xdr:nvSpPr>
      <xdr:spPr>
        <a:xfrm>
          <a:off x="3124200" y="1438274"/>
          <a:ext cx="1620000" cy="495301"/>
        </a:xfrm>
        <a:prstGeom prst="rect">
          <a:avLst/>
        </a:prstGeom>
        <a:solidFill>
          <a:schemeClr val="accent3">
            <a:lumMod val="20000"/>
            <a:lumOff val="80000"/>
          </a:schemeClr>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i="0" u="none" strike="noStrike">
              <a:solidFill>
                <a:srgbClr val="000000"/>
              </a:solidFill>
              <a:latin typeface="Arial"/>
              <a:ea typeface="+mn-ea"/>
              <a:cs typeface="Arial"/>
            </a:rPr>
            <a:t>Cantidad</a:t>
          </a:r>
          <a:r>
            <a:rPr lang="en-US" sz="1000" b="0" i="0" u="none" strike="noStrike" baseline="0">
              <a:solidFill>
                <a:srgbClr val="000000"/>
              </a:solidFill>
              <a:latin typeface="Arial"/>
              <a:ea typeface="+mn-ea"/>
              <a:cs typeface="Arial"/>
            </a:rPr>
            <a:t> de casos sospechosos</a:t>
          </a:r>
        </a:p>
      </xdr:txBody>
    </xdr:sp>
    <xdr:clientData/>
  </xdr:twoCellAnchor>
  <xdr:twoCellAnchor>
    <xdr:from>
      <xdr:col>7</xdr:col>
      <xdr:colOff>0</xdr:colOff>
      <xdr:row>2</xdr:row>
      <xdr:rowOff>276226</xdr:rowOff>
    </xdr:from>
    <xdr:to>
      <xdr:col>9</xdr:col>
      <xdr:colOff>76950</xdr:colOff>
      <xdr:row>3</xdr:row>
      <xdr:rowOff>371476</xdr:rowOff>
    </xdr:to>
    <xdr:sp macro="" textlink="">
      <xdr:nvSpPr>
        <xdr:cNvPr id="9" name="CuadroTexto 8">
          <a:extLst>
            <a:ext uri="{FF2B5EF4-FFF2-40B4-BE49-F238E27FC236}">
              <a16:creationId xmlns:a16="http://schemas.microsoft.com/office/drawing/2014/main" id="{EB0CA957-BA5C-40AE-8832-3D143F46A098}"/>
            </a:ext>
          </a:extLst>
        </xdr:cNvPr>
        <xdr:cNvSpPr txBox="1"/>
      </xdr:nvSpPr>
      <xdr:spPr>
        <a:xfrm>
          <a:off x="5334000" y="1457326"/>
          <a:ext cx="1600950" cy="514350"/>
        </a:xfrm>
        <a:prstGeom prst="rect">
          <a:avLst/>
        </a:prstGeom>
        <a:solidFill>
          <a:schemeClr val="accent4">
            <a:lumMod val="20000"/>
            <a:lumOff val="80000"/>
          </a:schemeClr>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i="0" u="none" strike="noStrike">
              <a:solidFill>
                <a:srgbClr val="000000"/>
              </a:solidFill>
              <a:latin typeface="Arial"/>
              <a:ea typeface="+mn-ea"/>
              <a:cs typeface="Arial"/>
            </a:rPr>
            <a:t>Cantidad</a:t>
          </a:r>
          <a:r>
            <a:rPr lang="en-US" sz="1000" b="0" i="0" u="none" strike="noStrike" baseline="0">
              <a:solidFill>
                <a:srgbClr val="000000"/>
              </a:solidFill>
              <a:latin typeface="Arial"/>
              <a:ea typeface="+mn-ea"/>
              <a:cs typeface="Arial"/>
            </a:rPr>
            <a:t> de casos descartados</a:t>
          </a:r>
        </a:p>
      </xdr:txBody>
    </xdr:sp>
    <xdr:clientData/>
  </xdr:twoCellAnchor>
  <xdr:twoCellAnchor>
    <xdr:from>
      <xdr:col>1</xdr:col>
      <xdr:colOff>142875</xdr:colOff>
      <xdr:row>2</xdr:row>
      <xdr:rowOff>266701</xdr:rowOff>
    </xdr:from>
    <xdr:to>
      <xdr:col>3</xdr:col>
      <xdr:colOff>266700</xdr:colOff>
      <xdr:row>3</xdr:row>
      <xdr:rowOff>361951</xdr:rowOff>
    </xdr:to>
    <xdr:sp macro="" textlink="">
      <xdr:nvSpPr>
        <xdr:cNvPr id="10" name="CuadroTexto 9">
          <a:extLst>
            <a:ext uri="{FF2B5EF4-FFF2-40B4-BE49-F238E27FC236}">
              <a16:creationId xmlns:a16="http://schemas.microsoft.com/office/drawing/2014/main" id="{4D0DC4C2-5F7B-4D22-AC9E-D09EF7FF84E4}"/>
            </a:ext>
          </a:extLst>
        </xdr:cNvPr>
        <xdr:cNvSpPr txBox="1"/>
      </xdr:nvSpPr>
      <xdr:spPr>
        <a:xfrm>
          <a:off x="904875" y="1447801"/>
          <a:ext cx="1647825" cy="514350"/>
        </a:xfrm>
        <a:prstGeom prst="rect">
          <a:avLst/>
        </a:prstGeom>
        <a:solidFill>
          <a:schemeClr val="accent2">
            <a:lumMod val="20000"/>
            <a:lumOff val="80000"/>
          </a:schemeClr>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i="0" u="none" strike="noStrike">
              <a:solidFill>
                <a:srgbClr val="000000"/>
              </a:solidFill>
              <a:latin typeface="Arial"/>
              <a:ea typeface="+mn-ea"/>
              <a:cs typeface="Arial"/>
            </a:rPr>
            <a:t>Cantidad</a:t>
          </a:r>
          <a:r>
            <a:rPr lang="en-US" sz="1000" b="0" i="0" u="none" strike="noStrike" baseline="0">
              <a:solidFill>
                <a:srgbClr val="000000"/>
              </a:solidFill>
              <a:latin typeface="Arial"/>
              <a:ea typeface="+mn-ea"/>
              <a:cs typeface="Arial"/>
            </a:rPr>
            <a:t> de casos confirmados</a:t>
          </a:r>
        </a:p>
      </xdr:txBody>
    </xdr:sp>
    <xdr:clientData/>
  </xdr:twoCellAnchor>
  <xdr:twoCellAnchor editAs="oneCell">
    <xdr:from>
      <xdr:col>16</xdr:col>
      <xdr:colOff>695325</xdr:colOff>
      <xdr:row>4</xdr:row>
      <xdr:rowOff>209550</xdr:rowOff>
    </xdr:from>
    <xdr:to>
      <xdr:col>18</xdr:col>
      <xdr:colOff>381000</xdr:colOff>
      <xdr:row>6</xdr:row>
      <xdr:rowOff>342900</xdr:rowOff>
    </xdr:to>
    <mc:AlternateContent xmlns:mc="http://schemas.openxmlformats.org/markup-compatibility/2006" xmlns:a14="http://schemas.microsoft.com/office/drawing/2010/main">
      <mc:Choice Requires="a14">
        <xdr:graphicFrame macro="">
          <xdr:nvGraphicFramePr>
            <xdr:cNvPr id="14" name="Genero 1">
              <a:extLst>
                <a:ext uri="{FF2B5EF4-FFF2-40B4-BE49-F238E27FC236}">
                  <a16:creationId xmlns:a16="http://schemas.microsoft.com/office/drawing/2014/main" id="{1C3FBC81-2553-4CBC-B189-C6EE87441639}"/>
                </a:ext>
              </a:extLst>
            </xdr:cNvPr>
            <xdr:cNvGraphicFramePr/>
          </xdr:nvGraphicFramePr>
          <xdr:xfrm>
            <a:off x="0" y="0"/>
            <a:ext cx="0" cy="0"/>
          </xdr:xfrm>
          <a:graphic>
            <a:graphicData uri="http://schemas.microsoft.com/office/drawing/2010/slicer">
              <sle:slicer xmlns:sle="http://schemas.microsoft.com/office/drawing/2010/slicer" name="Genero 1"/>
            </a:graphicData>
          </a:graphic>
        </xdr:graphicFrame>
      </mc:Choice>
      <mc:Fallback xmlns="">
        <xdr:sp macro="" textlink="">
          <xdr:nvSpPr>
            <xdr:cNvPr id="0" name=""/>
            <xdr:cNvSpPr>
              <a:spLocks noTextEdit="1"/>
            </xdr:cNvSpPr>
          </xdr:nvSpPr>
          <xdr:spPr>
            <a:xfrm>
              <a:off x="12887325" y="2238375"/>
              <a:ext cx="1209675" cy="971550"/>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0</xdr:col>
      <xdr:colOff>76200</xdr:colOff>
      <xdr:row>4</xdr:row>
      <xdr:rowOff>161925</xdr:rowOff>
    </xdr:from>
    <xdr:to>
      <xdr:col>5</xdr:col>
      <xdr:colOff>733425</xdr:colOff>
      <xdr:row>10</xdr:row>
      <xdr:rowOff>390525</xdr:rowOff>
    </xdr:to>
    <xdr:graphicFrame macro="">
      <xdr:nvGraphicFramePr>
        <xdr:cNvPr id="15" name="Gráfico 14">
          <a:extLst>
            <a:ext uri="{FF2B5EF4-FFF2-40B4-BE49-F238E27FC236}">
              <a16:creationId xmlns:a16="http://schemas.microsoft.com/office/drawing/2014/main" id="{FC7E4925-0A74-4F01-B503-90CA1D07F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438151</xdr:colOff>
      <xdr:row>4</xdr:row>
      <xdr:rowOff>209550</xdr:rowOff>
    </xdr:from>
    <xdr:to>
      <xdr:col>20</xdr:col>
      <xdr:colOff>180975</xdr:colOff>
      <xdr:row>6</xdr:row>
      <xdr:rowOff>323850</xdr:rowOff>
    </xdr:to>
    <mc:AlternateContent xmlns:mc="http://schemas.openxmlformats.org/markup-compatibility/2006" xmlns:a14="http://schemas.microsoft.com/office/drawing/2010/main">
      <mc:Choice Requires="a14">
        <xdr:graphicFrame macro="">
          <xdr:nvGraphicFramePr>
            <xdr:cNvPr id="16" name="Fallecido">
              <a:extLst>
                <a:ext uri="{FF2B5EF4-FFF2-40B4-BE49-F238E27FC236}">
                  <a16:creationId xmlns:a16="http://schemas.microsoft.com/office/drawing/2014/main" id="{B2E4BB13-22DB-4F1B-9B6A-EE635352810D}"/>
                </a:ext>
              </a:extLst>
            </xdr:cNvPr>
            <xdr:cNvGraphicFramePr/>
          </xdr:nvGraphicFramePr>
          <xdr:xfrm>
            <a:off x="0" y="0"/>
            <a:ext cx="0" cy="0"/>
          </xdr:xfrm>
          <a:graphic>
            <a:graphicData uri="http://schemas.microsoft.com/office/drawing/2010/slicer">
              <sle:slicer xmlns:sle="http://schemas.microsoft.com/office/drawing/2010/slicer" name="Fallecido"/>
            </a:graphicData>
          </a:graphic>
        </xdr:graphicFrame>
      </mc:Choice>
      <mc:Fallback xmlns="">
        <xdr:sp macro="" textlink="">
          <xdr:nvSpPr>
            <xdr:cNvPr id="0" name=""/>
            <xdr:cNvSpPr>
              <a:spLocks noTextEdit="1"/>
            </xdr:cNvSpPr>
          </xdr:nvSpPr>
          <xdr:spPr>
            <a:xfrm>
              <a:off x="14154151" y="2238375"/>
              <a:ext cx="1266824" cy="952500"/>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6</xdr:col>
      <xdr:colOff>57152</xdr:colOff>
      <xdr:row>4</xdr:row>
      <xdr:rowOff>161925</xdr:rowOff>
    </xdr:from>
    <xdr:to>
      <xdr:col>12</xdr:col>
      <xdr:colOff>123825</xdr:colOff>
      <xdr:row>18</xdr:row>
      <xdr:rowOff>400050</xdr:rowOff>
    </xdr:to>
    <xdr:graphicFrame macro="">
      <xdr:nvGraphicFramePr>
        <xdr:cNvPr id="17" name="Gráfico 16">
          <a:extLst>
            <a:ext uri="{FF2B5EF4-FFF2-40B4-BE49-F238E27FC236}">
              <a16:creationId xmlns:a16="http://schemas.microsoft.com/office/drawing/2014/main" id="{A4AE7204-4232-472E-BEB7-E8D5AAA2D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38099</xdr:colOff>
      <xdr:row>1</xdr:row>
      <xdr:rowOff>57149</xdr:rowOff>
    </xdr:from>
    <xdr:to>
      <xdr:col>16</xdr:col>
      <xdr:colOff>657225</xdr:colOff>
      <xdr:row>6</xdr:row>
      <xdr:rowOff>342899</xdr:rowOff>
    </xdr:to>
    <mc:AlternateContent xmlns:mc="http://schemas.openxmlformats.org/markup-compatibility/2006" xmlns:a14="http://schemas.microsoft.com/office/drawing/2010/main">
      <mc:Choice Requires="a14">
        <xdr:graphicFrame macro="">
          <xdr:nvGraphicFramePr>
            <xdr:cNvPr id="18" name="Provincia">
              <a:extLst>
                <a:ext uri="{FF2B5EF4-FFF2-40B4-BE49-F238E27FC236}">
                  <a16:creationId xmlns:a16="http://schemas.microsoft.com/office/drawing/2014/main" id="{1A02A17A-33AE-4A5E-8205-66447157C70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vincia"/>
            </a:graphicData>
          </a:graphic>
        </xdr:graphicFrame>
      </mc:Choice>
      <mc:Fallback xmlns="">
        <xdr:sp macro="" textlink="">
          <xdr:nvSpPr>
            <xdr:cNvPr id="0" name=""/>
            <xdr:cNvSpPr>
              <a:spLocks noTextEdit="1"/>
            </xdr:cNvSpPr>
          </xdr:nvSpPr>
          <xdr:spPr>
            <a:xfrm>
              <a:off x="9944099" y="819149"/>
              <a:ext cx="2905126" cy="2390775"/>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21</xdr:col>
      <xdr:colOff>266700</xdr:colOff>
      <xdr:row>1</xdr:row>
      <xdr:rowOff>95250</xdr:rowOff>
    </xdr:from>
    <xdr:to>
      <xdr:col>23</xdr:col>
      <xdr:colOff>571499</xdr:colOff>
      <xdr:row>4</xdr:row>
      <xdr:rowOff>104775</xdr:rowOff>
    </xdr:to>
    <mc:AlternateContent xmlns:mc="http://schemas.openxmlformats.org/markup-compatibility/2006" xmlns:a14="http://schemas.microsoft.com/office/drawing/2010/main">
      <mc:Choice Requires="a14">
        <xdr:graphicFrame macro="">
          <xdr:nvGraphicFramePr>
            <xdr:cNvPr id="2" name="Clasificacion">
              <a:extLst>
                <a:ext uri="{FF2B5EF4-FFF2-40B4-BE49-F238E27FC236}">
                  <a16:creationId xmlns:a16="http://schemas.microsoft.com/office/drawing/2014/main" id="{7E579F70-0303-44E0-AF59-EE57DDEB316B}"/>
                </a:ext>
              </a:extLst>
            </xdr:cNvPr>
            <xdr:cNvGraphicFramePr/>
          </xdr:nvGraphicFramePr>
          <xdr:xfrm>
            <a:off x="0" y="0"/>
            <a:ext cx="0" cy="0"/>
          </xdr:xfrm>
          <a:graphic>
            <a:graphicData uri="http://schemas.microsoft.com/office/drawing/2010/slicer">
              <sle:slicer xmlns:sle="http://schemas.microsoft.com/office/drawing/2010/slicer" name="Clasificacion"/>
            </a:graphicData>
          </a:graphic>
        </xdr:graphicFrame>
      </mc:Choice>
      <mc:Fallback xmlns="">
        <xdr:sp macro="" textlink="">
          <xdr:nvSpPr>
            <xdr:cNvPr id="0" name=""/>
            <xdr:cNvSpPr>
              <a:spLocks noTextEdit="1"/>
            </xdr:cNvSpPr>
          </xdr:nvSpPr>
          <xdr:spPr>
            <a:xfrm>
              <a:off x="16268700" y="857250"/>
              <a:ext cx="1828799" cy="1276350"/>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9</xdr:col>
      <xdr:colOff>571500</xdr:colOff>
      <xdr:row>2</xdr:row>
      <xdr:rowOff>390524</xdr:rowOff>
    </xdr:from>
    <xdr:to>
      <xdr:col>11</xdr:col>
      <xdr:colOff>628650</xdr:colOff>
      <xdr:row>3</xdr:row>
      <xdr:rowOff>380999</xdr:rowOff>
    </xdr:to>
    <xdr:sp macro="" textlink="">
      <xdr:nvSpPr>
        <xdr:cNvPr id="3" name="CuadroTexto 2">
          <a:extLst>
            <a:ext uri="{FF2B5EF4-FFF2-40B4-BE49-F238E27FC236}">
              <a16:creationId xmlns:a16="http://schemas.microsoft.com/office/drawing/2014/main" id="{7035C143-F7EB-480B-9D4E-3301915B604F}"/>
            </a:ext>
          </a:extLst>
        </xdr:cNvPr>
        <xdr:cNvSpPr txBox="1"/>
      </xdr:nvSpPr>
      <xdr:spPr>
        <a:xfrm>
          <a:off x="7429500" y="1571624"/>
          <a:ext cx="1581150" cy="409575"/>
        </a:xfrm>
        <a:prstGeom prst="rect">
          <a:avLst/>
        </a:prstGeom>
        <a:solidFill>
          <a:srgbClr val="A3A3A3"/>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0" i="0" u="none" strike="noStrike">
              <a:solidFill>
                <a:srgbClr val="000000"/>
              </a:solidFill>
              <a:latin typeface="Arial"/>
              <a:ea typeface="+mn-ea"/>
              <a:cs typeface="Arial"/>
            </a:rPr>
            <a:t>Tasa</a:t>
          </a:r>
          <a:r>
            <a:rPr lang="en-US" sz="1000" b="0" i="0" u="none" strike="noStrike" baseline="0">
              <a:solidFill>
                <a:srgbClr val="000000"/>
              </a:solidFill>
              <a:latin typeface="Arial"/>
              <a:ea typeface="+mn-ea"/>
              <a:cs typeface="Arial"/>
            </a:rPr>
            <a:t> de letalidad</a:t>
          </a:r>
        </a:p>
      </xdr:txBody>
    </xdr:sp>
    <xdr:clientData/>
  </xdr:twoCellAnchor>
  <xdr:twoCellAnchor>
    <xdr:from>
      <xdr:col>9</xdr:col>
      <xdr:colOff>571500</xdr:colOff>
      <xdr:row>1</xdr:row>
      <xdr:rowOff>66675</xdr:rowOff>
    </xdr:from>
    <xdr:to>
      <xdr:col>11</xdr:col>
      <xdr:colOff>638175</xdr:colOff>
      <xdr:row>2</xdr:row>
      <xdr:rowOff>352425</xdr:rowOff>
    </xdr:to>
    <xdr:sp macro="" textlink="'Tablas dinamicas'!N24">
      <xdr:nvSpPr>
        <xdr:cNvPr id="11" name="CuadroTexto 10">
          <a:extLst>
            <a:ext uri="{FF2B5EF4-FFF2-40B4-BE49-F238E27FC236}">
              <a16:creationId xmlns:a16="http://schemas.microsoft.com/office/drawing/2014/main" id="{06B93C0D-B15F-4722-B53A-7FE52F1534E7}"/>
            </a:ext>
          </a:extLst>
        </xdr:cNvPr>
        <xdr:cNvSpPr txBox="1"/>
      </xdr:nvSpPr>
      <xdr:spPr>
        <a:xfrm>
          <a:off x="7429500" y="828675"/>
          <a:ext cx="1590675" cy="704850"/>
        </a:xfrm>
        <a:prstGeom prst="rect">
          <a:avLst/>
        </a:prstGeom>
        <a:solidFill>
          <a:srgbClr val="A3A3A3"/>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FB4-559B-4F8F-B3C7-4B00CC1ADA5C}" type="TxLink">
            <a:rPr lang="en-US" sz="2000" b="0" i="0" u="none" strike="noStrike">
              <a:solidFill>
                <a:srgbClr val="000000"/>
              </a:solidFill>
              <a:latin typeface="Arial"/>
              <a:ea typeface="+mn-ea"/>
              <a:cs typeface="Arial"/>
            </a:rPr>
            <a:pPr marL="0" indent="0" algn="ctr"/>
            <a:t>16%</a:t>
          </a:fld>
          <a:endParaRPr lang="es-AR" sz="2000" b="1" i="0" u="none" strike="noStrike">
            <a:solidFill>
              <a:srgbClr val="FF0000"/>
            </a:solidFill>
            <a:latin typeface="Aptos Narrow"/>
            <a:ea typeface="+mn-ea"/>
            <a:cs typeface="+mn-cs"/>
          </a:endParaRPr>
        </a:p>
      </xdr:txBody>
    </xdr:sp>
    <xdr:clientData/>
  </xdr:twoCellAnchor>
  <xdr:twoCellAnchor>
    <xdr:from>
      <xdr:col>0</xdr:col>
      <xdr:colOff>66674</xdr:colOff>
      <xdr:row>11</xdr:row>
      <xdr:rowOff>19050</xdr:rowOff>
    </xdr:from>
    <xdr:to>
      <xdr:col>5</xdr:col>
      <xdr:colOff>742949</xdr:colOff>
      <xdr:row>18</xdr:row>
      <xdr:rowOff>381000</xdr:rowOff>
    </xdr:to>
    <xdr:graphicFrame macro="">
      <xdr:nvGraphicFramePr>
        <xdr:cNvPr id="12" name="Gráfico 11">
          <a:extLst>
            <a:ext uri="{FF2B5EF4-FFF2-40B4-BE49-F238E27FC236}">
              <a16:creationId xmlns:a16="http://schemas.microsoft.com/office/drawing/2014/main" id="{2A2A7F68-9C65-401E-B72F-26F954BD8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742950</xdr:colOff>
      <xdr:row>7</xdr:row>
      <xdr:rowOff>66674</xdr:rowOff>
    </xdr:from>
    <xdr:to>
      <xdr:col>21</xdr:col>
      <xdr:colOff>523875</xdr:colOff>
      <xdr:row>19</xdr:row>
      <xdr:rowOff>0</xdr:rowOff>
    </xdr:to>
    <xdr:graphicFrame macro="">
      <xdr:nvGraphicFramePr>
        <xdr:cNvPr id="20" name="Gráfico 19">
          <a:extLst>
            <a:ext uri="{FF2B5EF4-FFF2-40B4-BE49-F238E27FC236}">
              <a16:creationId xmlns:a16="http://schemas.microsoft.com/office/drawing/2014/main" id="{CA1BA04F-72D2-471A-929B-CC43689A1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xdr:colOff>
      <xdr:row>1</xdr:row>
      <xdr:rowOff>57150</xdr:rowOff>
    </xdr:from>
    <xdr:to>
      <xdr:col>21</xdr:col>
      <xdr:colOff>114300</xdr:colOff>
      <xdr:row>4</xdr:row>
      <xdr:rowOff>142875</xdr:rowOff>
    </xdr:to>
    <mc:AlternateContent xmlns:mc="http://schemas.openxmlformats.org/markup-compatibility/2006" xmlns:tsle="http://schemas.microsoft.com/office/drawing/2012/timeslicer">
      <mc:Choice Requires="tsle">
        <xdr:graphicFrame macro="">
          <xdr:nvGraphicFramePr>
            <xdr:cNvPr id="22" name="Fecha clasificacion 1">
              <a:extLst>
                <a:ext uri="{FF2B5EF4-FFF2-40B4-BE49-F238E27FC236}">
                  <a16:creationId xmlns:a16="http://schemas.microsoft.com/office/drawing/2014/main" id="{7DC291A7-E07B-4FC8-B15F-75D7EDE5D39D}"/>
                </a:ext>
              </a:extLst>
            </xdr:cNvPr>
            <xdr:cNvGraphicFramePr/>
          </xdr:nvGraphicFramePr>
          <xdr:xfrm>
            <a:off x="0" y="0"/>
            <a:ext cx="0" cy="0"/>
          </xdr:xfrm>
          <a:graphic>
            <a:graphicData uri="http://schemas.microsoft.com/office/drawing/2012/timeslicer">
              <tsle:timeslicer name="Fecha clasificacion 1"/>
            </a:graphicData>
          </a:graphic>
        </xdr:graphicFrame>
      </mc:Choice>
      <mc:Fallback xmlns="">
        <xdr:sp macro="" textlink="">
          <xdr:nvSpPr>
            <xdr:cNvPr id="0" name=""/>
            <xdr:cNvSpPr>
              <a:spLocks noTextEdit="1"/>
            </xdr:cNvSpPr>
          </xdr:nvSpPr>
          <xdr:spPr>
            <a:xfrm>
              <a:off x="12954001" y="819150"/>
              <a:ext cx="3162299" cy="1352550"/>
            </a:xfrm>
            <a:prstGeom prst="rect">
              <a:avLst/>
            </a:prstGeom>
            <a:solidFill>
              <a:prstClr val="white"/>
            </a:solidFill>
            <a:ln w="1">
              <a:solidFill>
                <a:prstClr val="green"/>
              </a:solidFill>
            </a:ln>
          </xdr:spPr>
          <xdr:txBody>
            <a:bodyPr vertOverflow="clip" horzOverflow="clip"/>
            <a:lstStyle/>
            <a:p>
              <a:r>
                <a:rPr lang="en-US" sz="1100"/>
                <a:t>Línea de tiempo: Funciona en Excel 2013 o superior. No mover ni cambiar el tamaño.</a:t>
              </a:r>
            </a:p>
          </xdr:txBody>
        </xdr:sp>
      </mc:Fallback>
    </mc:AlternateContent>
    <xdr:clientData/>
  </xdr:twoCellAnchor>
  <xdr:twoCellAnchor editAs="oneCell">
    <xdr:from>
      <xdr:col>20</xdr:col>
      <xdr:colOff>228601</xdr:colOff>
      <xdr:row>4</xdr:row>
      <xdr:rowOff>228601</xdr:rowOff>
    </xdr:from>
    <xdr:to>
      <xdr:col>23</xdr:col>
      <xdr:colOff>714375</xdr:colOff>
      <xdr:row>6</xdr:row>
      <xdr:rowOff>266700</xdr:rowOff>
    </xdr:to>
    <mc:AlternateContent xmlns:mc="http://schemas.openxmlformats.org/markup-compatibility/2006" xmlns:a14="http://schemas.microsoft.com/office/drawing/2010/main">
      <mc:Choice Requires="a14">
        <xdr:graphicFrame macro="">
          <xdr:nvGraphicFramePr>
            <xdr:cNvPr id="25" name="Tipo de contagio">
              <a:extLst>
                <a:ext uri="{FF2B5EF4-FFF2-40B4-BE49-F238E27FC236}">
                  <a16:creationId xmlns:a16="http://schemas.microsoft.com/office/drawing/2014/main" id="{BBE4B5F1-767E-47A1-A2FF-2347B5E929F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Tipo de contagio"/>
            </a:graphicData>
          </a:graphic>
        </xdr:graphicFrame>
      </mc:Choice>
      <mc:Fallback xmlns="">
        <xdr:sp macro="" textlink="">
          <xdr:nvSpPr>
            <xdr:cNvPr id="0" name=""/>
            <xdr:cNvSpPr>
              <a:spLocks noTextEdit="1"/>
            </xdr:cNvSpPr>
          </xdr:nvSpPr>
          <xdr:spPr>
            <a:xfrm>
              <a:off x="15468601" y="2257426"/>
              <a:ext cx="2771774" cy="876299"/>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i" refreshedDate="45778.712547800926" createdVersion="8" refreshedVersion="8" minRefreshableVersion="3" recordCount="2003" xr:uid="{0170472A-0C25-4384-8758-0240AD654860}">
  <cacheSource type="worksheet">
    <worksheetSource name="Tabla1"/>
  </cacheSource>
  <cacheFields count="16">
    <cacheField name="Numero de caso" numFmtId="0">
      <sharedItems containsSemiMixedTypes="0" containsString="0" containsNumber="1" containsInteger="1" minValue="755713" maxValue="5803251"/>
    </cacheField>
    <cacheField name="Fecha toma muestra" numFmtId="14">
      <sharedItems containsSemiMixedTypes="0" containsNonDate="0" containsDate="1" containsString="0" minDate="2020-03-13T00:00:00" maxDate="2022-01-11T00:00:00"/>
    </cacheField>
    <cacheField name="Fecha clasificacion" numFmtId="14">
      <sharedItems containsSemiMixedTypes="0" containsNonDate="0" containsDate="1" containsString="0" minDate="2020-01-18T00:00:00" maxDate="2022-01-12T00:00:00" count="265">
        <d v="2020-08-06T00:00:00"/>
        <d v="2020-09-06T00:00:00"/>
        <d v="2020-06-11T00:00:00"/>
        <d v="2020-08-27T00:00:00"/>
        <d v="2020-07-10T00:00:00"/>
        <d v="2020-09-12T00:00:00"/>
        <d v="2020-07-24T00:00:00"/>
        <d v="2020-09-09T00:00:00"/>
        <d v="2020-08-10T00:00:00"/>
        <d v="2020-07-11T00:00:00"/>
        <d v="2020-06-15T00:00:00"/>
        <d v="2020-08-20T00:00:00"/>
        <d v="2020-11-12T00:00:00"/>
        <d v="2020-05-10T00:00:00"/>
        <d v="2020-09-22T00:00:00"/>
        <d v="2020-11-26T00:00:00"/>
        <d v="2020-07-21T00:00:00"/>
        <d v="2020-07-17T00:00:00"/>
        <d v="2020-07-14T00:00:00"/>
        <d v="2020-05-18T00:00:00"/>
        <d v="2020-07-29T00:00:00"/>
        <d v="2020-09-29T00:00:00"/>
        <d v="2020-08-11T00:00:00"/>
        <d v="2020-11-14T00:00:00"/>
        <d v="2020-09-16T00:00:00"/>
        <d v="2020-12-11T00:00:00"/>
        <d v="2020-04-29T00:00:00"/>
        <d v="2020-10-07T00:00:00"/>
        <d v="2020-06-23T00:00:00"/>
        <d v="2020-08-04T00:00:00"/>
        <d v="2020-06-17T00:00:00"/>
        <d v="2020-10-04T00:00:00"/>
        <d v="2020-08-19T00:00:00"/>
        <d v="2020-09-05T00:00:00"/>
        <d v="2020-06-26T00:00:00"/>
        <d v="2020-04-23T00:00:00"/>
        <d v="2020-12-12T00:00:00"/>
        <d v="2020-08-24T00:00:00"/>
        <d v="2020-09-07T00:00:00"/>
        <d v="2020-07-09T00:00:00"/>
        <d v="2020-07-02T00:00:00"/>
        <d v="2020-09-14T00:00:00"/>
        <d v="2020-07-01T00:00:00"/>
        <d v="2020-04-09T00:00:00"/>
        <d v="2020-09-02T00:00:00"/>
        <d v="2020-11-20T00:00:00"/>
        <d v="2020-09-28T00:00:00"/>
        <d v="2020-06-10T00:00:00"/>
        <d v="2020-05-14T00:00:00"/>
        <d v="2020-09-23T00:00:00"/>
        <d v="2020-08-23T00:00:00"/>
        <d v="2020-10-20T00:00:00"/>
        <d v="2020-08-01T00:00:00"/>
        <d v="2020-08-09T00:00:00"/>
        <d v="2020-07-23T00:00:00"/>
        <d v="2020-08-16T00:00:00"/>
        <d v="2020-10-15T00:00:00"/>
        <d v="2020-12-01T00:00:00"/>
        <d v="2020-09-01T00:00:00"/>
        <d v="2020-06-03T00:00:00"/>
        <d v="2020-07-31T00:00:00"/>
        <d v="2020-06-06T00:00:00"/>
        <d v="2020-07-18T00:00:00"/>
        <d v="2020-10-08T00:00:00"/>
        <d v="2020-08-30T00:00:00"/>
        <d v="2020-09-20T00:00:00"/>
        <d v="2020-07-16T00:00:00"/>
        <d v="2020-07-15T00:00:00"/>
        <d v="2020-07-22T00:00:00"/>
        <d v="2020-07-08T00:00:00"/>
        <d v="2020-11-18T00:00:00"/>
        <d v="2020-10-16T00:00:00"/>
        <d v="2020-06-01T00:00:00"/>
        <d v="2020-10-22T00:00:00"/>
        <d v="2020-11-25T00:00:00"/>
        <d v="2021-01-04T00:00:00"/>
        <d v="2020-12-10T00:00:00"/>
        <d v="2020-04-05T00:00:00"/>
        <d v="2020-07-27T00:00:00"/>
        <d v="2020-12-06T00:00:00"/>
        <d v="2020-08-31T00:00:00"/>
        <d v="2020-07-05T00:00:00"/>
        <d v="2020-04-03T00:00:00"/>
        <d v="2020-05-21T00:00:00"/>
        <d v="2020-06-13T00:00:00"/>
        <d v="2020-03-31T00:00:00"/>
        <d v="2020-05-22T00:00:00"/>
        <d v="2020-10-28T00:00:00"/>
        <d v="2020-08-05T00:00:00"/>
        <d v="2020-09-08T00:00:00"/>
        <d v="2020-11-03T00:00:00"/>
        <d v="2020-12-23T00:00:00"/>
        <d v="2020-06-28T00:00:00"/>
        <d v="2020-07-03T00:00:00"/>
        <d v="2020-06-18T00:00:00"/>
        <d v="2020-08-26T00:00:00"/>
        <d v="2020-12-30T00:00:00"/>
        <d v="2020-05-29T00:00:00"/>
        <d v="2020-11-23T00:00:00"/>
        <d v="2020-06-16T00:00:00"/>
        <d v="2020-05-11T00:00:00"/>
        <d v="2020-04-04T00:00:00"/>
        <d v="2020-09-10T00:00:00"/>
        <d v="2020-12-27T00:00:00"/>
        <d v="2020-10-14T00:00:00"/>
        <d v="2020-10-11T00:00:00"/>
        <d v="2020-10-21T00:00:00"/>
        <d v="2020-08-18T00:00:00"/>
        <d v="2020-09-17T00:00:00"/>
        <d v="2020-05-31T00:00:00"/>
        <d v="2020-12-05T00:00:00"/>
        <d v="2020-10-27T00:00:00"/>
        <d v="2021-01-21T00:00:00"/>
        <d v="2020-05-13T00:00:00"/>
        <d v="2020-11-21T00:00:00"/>
        <d v="2020-03-22T00:00:00"/>
        <d v="2020-08-22T00:00:00"/>
        <d v="2020-04-01T00:00:00"/>
        <d v="2020-07-06T00:00:00"/>
        <d v="2020-04-19T00:00:00"/>
        <d v="2020-07-20T00:00:00"/>
        <d v="2020-12-21T00:00:00"/>
        <d v="2020-08-13T00:00:00"/>
        <d v="2020-05-15T00:00:00"/>
        <d v="2020-07-26T00:00:00"/>
        <d v="2020-12-16T00:00:00"/>
        <d v="2020-12-26T00:00:00"/>
        <d v="2020-11-30T00:00:00"/>
        <d v="2020-09-03T00:00:00"/>
        <d v="2020-10-06T00:00:00"/>
        <d v="2020-12-14T00:00:00"/>
        <d v="2020-08-25T00:00:00"/>
        <d v="2020-04-20T00:00:00"/>
        <d v="2020-04-27T00:00:00"/>
        <d v="2020-12-24T00:00:00"/>
        <d v="2020-06-02T00:00:00"/>
        <d v="2020-08-17T00:00:00"/>
        <d v="2020-07-19T00:00:00"/>
        <d v="2020-08-12T00:00:00"/>
        <d v="2020-05-19T00:00:00"/>
        <d v="2020-09-27T00:00:00"/>
        <d v="2020-09-21T00:00:00"/>
        <d v="2020-09-11T00:00:00"/>
        <d v="2020-08-08T00:00:00"/>
        <d v="2020-06-22T00:00:00"/>
        <d v="2020-09-26T00:00:00"/>
        <d v="2020-07-30T00:00:00"/>
        <d v="2020-08-21T00:00:00"/>
        <d v="2020-09-04T00:00:00"/>
        <d v="2020-11-22T00:00:00"/>
        <d v="2020-09-18T00:00:00"/>
        <d v="2020-06-12T00:00:00"/>
        <d v="2020-07-07T00:00:00"/>
        <d v="2020-10-02T00:00:00"/>
        <d v="2020-04-25T00:00:00"/>
        <d v="2020-08-14T00:00:00"/>
        <d v="2020-08-15T00:00:00"/>
        <d v="2020-06-14T00:00:00"/>
        <d v="2020-08-28T00:00:00"/>
        <d v="2020-09-19T00:00:00"/>
        <d v="2020-06-19T00:00:00"/>
        <d v="2020-06-25T00:00:00"/>
        <d v="2020-11-10T00:00:00"/>
        <d v="2020-10-23T00:00:00"/>
        <d v="2020-10-13T00:00:00"/>
        <d v="2020-10-01T00:00:00"/>
        <d v="2020-06-30T00:00:00"/>
        <d v="2020-12-17T00:00:00"/>
        <d v="2020-11-19T00:00:00"/>
        <d v="2020-10-05T00:00:00"/>
        <d v="2020-07-13T00:00:00"/>
        <d v="2020-09-24T00:00:00"/>
        <d v="2020-09-13T00:00:00"/>
        <d v="2020-06-21T00:00:00"/>
        <d v="2020-11-04T00:00:00"/>
        <d v="2020-11-15T00:00:00"/>
        <d v="2020-08-29T00:00:00"/>
        <d v="2020-05-30T00:00:00"/>
        <d v="2020-05-07T00:00:00"/>
        <d v="2020-06-07T00:00:00"/>
        <d v="2020-05-27T00:00:00"/>
        <d v="2021-05-18T00:00:00"/>
        <d v="2020-04-10T00:00:00"/>
        <d v="2020-11-11T00:00:00"/>
        <d v="2020-12-07T00:00:00"/>
        <d v="2020-04-18T00:00:00"/>
        <d v="2021-05-03T00:00:00"/>
        <d v="2020-07-04T00:00:00"/>
        <d v="2020-06-29T00:00:00"/>
        <d v="2020-11-28T00:00:00"/>
        <d v="2020-10-25T00:00:00"/>
        <d v="2020-07-25T00:00:00"/>
        <d v="2020-09-25T00:00:00"/>
        <d v="2021-04-20T00:00:00"/>
        <d v="2020-12-28T00:00:00"/>
        <d v="2020-10-09T00:00:00"/>
        <d v="2020-12-09T00:00:00"/>
        <d v="2020-11-13T00:00:00"/>
        <d v="2020-11-06T00:00:00"/>
        <d v="2020-12-31T00:00:00"/>
        <d v="2020-12-13T00:00:00"/>
        <d v="2020-12-22T00:00:00"/>
        <d v="2020-10-19T00:00:00"/>
        <d v="2020-08-07T00:00:00"/>
        <d v="2020-07-28T00:00:00"/>
        <d v="2020-11-02T00:00:00"/>
        <d v="2020-10-29T00:00:00"/>
        <d v="2020-08-03T00:00:00"/>
        <d v="2020-05-02T00:00:00"/>
        <d v="2020-12-25T00:00:00"/>
        <d v="2020-09-15T00:00:00"/>
        <d v="2020-12-29T00:00:00"/>
        <d v="2020-12-20T00:00:00"/>
        <d v="2020-11-07T00:00:00"/>
        <d v="2020-11-24T00:00:00"/>
        <d v="2020-11-16T00:00:00"/>
        <d v="2020-05-17T00:00:00"/>
        <d v="2020-10-30T00:00:00"/>
        <d v="2020-12-04T00:00:00"/>
        <d v="2020-12-02T00:00:00"/>
        <d v="2020-11-27T00:00:00"/>
        <d v="2020-04-14T00:00:00"/>
        <d v="2020-10-10T00:00:00"/>
        <d v="2021-03-01T00:00:00"/>
        <d v="2020-11-08T00:00:00"/>
        <d v="2020-11-17T00:00:00"/>
        <d v="2020-11-29T00:00:00"/>
        <d v="2020-11-01T00:00:00"/>
        <d v="2020-12-15T00:00:00"/>
        <d v="2020-10-17T00:00:00"/>
        <d v="2020-10-12T00:00:00"/>
        <d v="2020-10-26T00:00:00"/>
        <d v="2021-01-10T00:00:00"/>
        <d v="2022-01-11T00:00:00"/>
        <d v="2020-05-05T00:00:00"/>
        <d v="2020-12-19T00:00:00"/>
        <d v="2020-08-02T00:00:00"/>
        <d v="2020-04-07T00:00:00"/>
        <d v="2020-07-12T00:00:00"/>
        <d v="2020-12-03T00:00:00"/>
        <d v="2020-12-08T00:00:00"/>
        <d v="2020-10-24T00:00:00"/>
        <d v="2020-06-20T00:00:00"/>
        <d v="2020-10-31T00:00:00"/>
        <d v="2020-12-18T00:00:00"/>
        <d v="2021-12-30T00:00:00"/>
        <d v="2020-04-24T00:00:00"/>
        <d v="2020-05-25T00:00:00"/>
        <d v="2021-03-31T00:00:00"/>
        <d v="2020-10-03T00:00:00"/>
        <d v="2020-11-09T00:00:00"/>
        <d v="2021-01-11T00:00:00"/>
        <d v="2020-06-24T00:00:00"/>
        <d v="2020-11-05T00:00:00"/>
        <d v="2021-04-09T00:00:00"/>
        <d v="2020-05-06T00:00:00"/>
        <d v="2020-10-18T00:00:00"/>
        <d v="2020-09-30T00:00:00"/>
        <d v="2020-04-02T00:00:00"/>
        <d v="2020-03-13T00:00:00"/>
        <d v="2020-04-30T00:00:00"/>
        <d v="2020-05-20T00:00:00"/>
        <d v="2020-05-28T00:00:00"/>
        <d v="2020-05-09T00:00:00"/>
        <d v="2020-01-18T00:00:00"/>
      </sharedItems>
      <fieldGroup par="15"/>
    </cacheField>
    <cacheField name="Provincia" numFmtId="0">
      <sharedItems count="16">
        <s v="CABA"/>
        <s v="Buenos Aires"/>
        <s v="Córdoba"/>
        <s v="La Rioja"/>
        <s v="Misiones"/>
        <s v="Jujuy"/>
        <s v="Chubut"/>
        <s v="Corrientes"/>
        <s v="Mendoza"/>
        <s v="San Luis"/>
        <s v="Formosa"/>
        <s v="Tucumán"/>
        <s v="Salta"/>
        <s v="San Juan"/>
        <s v="Río Negro"/>
        <s v="Chaco"/>
      </sharedItems>
    </cacheField>
    <cacheField name="Barrio" numFmtId="0">
      <sharedItems count="96">
        <s v="CHACARITA"/>
        <s v="BERAZATEGUI"/>
        <s v="BALVANERA"/>
        <s v="COLEGIALES"/>
        <s v="FLORES"/>
        <s v="CAMPANA"/>
        <s v="ALMAGRO"/>
        <s v="CABALLITO"/>
        <s v="MONSERRAT"/>
        <s v="LANUS"/>
        <s v="RECOLETA"/>
        <s v="PALERMO"/>
        <s v="LOMAS DE ZAMORA"/>
        <s v="LA PLATA"/>
        <s v="VILLA CRESPO"/>
        <s v="CONSTITUCION"/>
        <s v="ALMIRANTE BROWN"/>
        <s v="VILLA LUGANO"/>
        <s v="AGRONOMIA"/>
        <s v="MALVINAS ARGENTINAS"/>
        <s v="SAN MIGUEL"/>
        <s v="TIGRE"/>
        <s v="VERSALLES"/>
        <s v="PARQUE AVELLANEDA"/>
        <s v="PARQUE PATRICIOS"/>
        <s v="BOCA"/>
        <s v="VILLA DEVOTO"/>
        <s v="SAAVEDRA"/>
        <s v="PARQUE CHAS"/>
        <s v="VICENTE LOPEZ"/>
        <s v="ENSENADA"/>
        <s v="VILLA LURO"/>
        <s v="VILLA REAL"/>
        <s v="ESTEBAN ECHEVERRIA"/>
        <s v="BELGRANO"/>
        <s v="MATADEROS"/>
        <s v="SAN CRISTOBAL"/>
        <s v="RETIRO"/>
        <s v="NUÑEZ"/>
        <s v="VILLA URQUIZA"/>
        <s v="VILLA SOLDATI"/>
        <s v="SAN NICOLAS"/>
        <s v="NUEVA POMPEYA"/>
        <s v="VILLA DEL PARQUE"/>
        <s v="VELEZ SARSFIELD"/>
        <s v="LINIERS"/>
        <s v="BARRACAS"/>
        <s v="SAN VICENTE"/>
        <s v="BOEDO"/>
        <s v="VILLA PUEYRREDON"/>
        <s v="HURLINGHAM"/>
        <s v="FLORENCIO VARELA"/>
        <s v="SAN ISIDRO"/>
        <s v="MARCOS PAZ"/>
        <s v="MONTE CASTRO"/>
        <s v="TRES DE FEBRERO"/>
        <s v="RIO CUARTO"/>
        <s v="SAN TELMO"/>
        <s v="PATERNAL"/>
        <s v="VILLA GRAL. MITRE"/>
        <s v="VILLA SANTA RITA"/>
        <s v="AVELLANEDA"/>
        <s v="QUILMES"/>
        <s v="MORENO"/>
        <s v="PARQUE CHACABUCO"/>
        <s v="MORON"/>
        <s v="LA RIOJA"/>
        <s v="LUJAN"/>
        <s v="PUERTO MADERO"/>
        <s v="FLORESTA"/>
        <s v="POSADAS"/>
        <s v="TILCARA"/>
        <s v="ITUZAINGO"/>
        <s v="COGHLAN"/>
        <s v="COMODORO RIVADAVIA"/>
        <s v="MERCEDES"/>
        <s v="VILLA CARLOS PAZ"/>
        <s v="CORDOBA"/>
        <s v="ZARATE"/>
        <s v="SAN RAFAEL"/>
        <s v="BERISSO"/>
        <s v="SAN LUIS"/>
        <s v="FORMOSA"/>
        <s v="SAN MIGUEL DE TUCUMAN"/>
        <s v="SALTA"/>
        <s v="VILLA RIACHUELO"/>
        <s v="SAN JUAN"/>
        <s v="CORRIENTES"/>
        <s v="VIEDMA"/>
        <s v="RESISTENCIA"/>
        <s v="SAN SALVADOR DE JUJUY"/>
        <s v="SAN MARTIN"/>
        <s v="PILAR"/>
        <s v="SAN FERNANDO"/>
        <s v="MERLO"/>
        <s v="VILLA ORTUZAR"/>
      </sharedItems>
    </cacheField>
    <cacheField name="Comuna" numFmtId="0">
      <sharedItems containsString="0" containsBlank="1" containsNumber="1" containsInteger="1" minValue="1" maxValue="15"/>
    </cacheField>
    <cacheField name="Genero" numFmtId="0">
      <sharedItems count="2">
        <s v="femenino"/>
        <s v="masculino"/>
      </sharedItems>
    </cacheField>
    <cacheField name="Edad" numFmtId="0">
      <sharedItems containsSemiMixedTypes="0" containsString="0" containsNumber="1" containsInteger="1" minValue="2" maxValue="103" count="102">
        <n v="60"/>
        <n v="78"/>
        <n v="59"/>
        <n v="63"/>
        <n v="83"/>
        <n v="65"/>
        <n v="85"/>
        <n v="77"/>
        <n v="79"/>
        <n v="84"/>
        <n v="91"/>
        <n v="66"/>
        <n v="64"/>
        <n v="92"/>
        <n v="86"/>
        <n v="82"/>
        <n v="67"/>
        <n v="95"/>
        <n v="53"/>
        <n v="74"/>
        <n v="70"/>
        <n v="73"/>
        <n v="88"/>
        <n v="80"/>
        <n v="56"/>
        <n v="71"/>
        <n v="62"/>
        <n v="94"/>
        <n v="87"/>
        <n v="81"/>
        <n v="72"/>
        <n v="33"/>
        <n v="44"/>
        <n v="76"/>
        <n v="97"/>
        <n v="48"/>
        <n v="102"/>
        <n v="75"/>
        <n v="90"/>
        <n v="52"/>
        <n v="96"/>
        <n v="55"/>
        <n v="69"/>
        <n v="32"/>
        <n v="89"/>
        <n v="34"/>
        <n v="51"/>
        <n v="99"/>
        <n v="36"/>
        <n v="93"/>
        <n v="20"/>
        <n v="26"/>
        <n v="39"/>
        <n v="98"/>
        <n v="58"/>
        <n v="47"/>
        <n v="57"/>
        <n v="45"/>
        <n v="100"/>
        <n v="68"/>
        <n v="46"/>
        <n v="54"/>
        <n v="103"/>
        <n v="61"/>
        <n v="49"/>
        <n v="50"/>
        <n v="101"/>
        <n v="42"/>
        <n v="35"/>
        <n v="28"/>
        <n v="22"/>
        <n v="30"/>
        <n v="27"/>
        <n v="21"/>
        <n v="18"/>
        <n v="15"/>
        <n v="40"/>
        <n v="37"/>
        <n v="31"/>
        <n v="25"/>
        <n v="23"/>
        <n v="41"/>
        <n v="12"/>
        <n v="43"/>
        <n v="13"/>
        <n v="8"/>
        <n v="17"/>
        <n v="29"/>
        <n v="4"/>
        <n v="3"/>
        <n v="10"/>
        <n v="2"/>
        <n v="24"/>
        <n v="38"/>
        <n v="5"/>
        <n v="19"/>
        <n v="16"/>
        <n v="7"/>
        <n v="11"/>
        <n v="9"/>
        <n v="14"/>
        <n v="6"/>
      </sharedItems>
    </cacheField>
    <cacheField name="Clasificacion" numFmtId="0">
      <sharedItems count="3">
        <s v="confirmado"/>
        <s v="descartado"/>
        <s v="sospechoso"/>
      </sharedItems>
    </cacheField>
    <cacheField name="Fecha de fallecimiento" numFmtId="0">
      <sharedItems containsNonDate="0" containsDate="1" containsString="0" containsBlank="1" minDate="2020-04-04T00:00:00" maxDate="2021-05-16T00:00:00"/>
    </cacheField>
    <cacheField name="Fallecido" numFmtId="0">
      <sharedItems count="2">
        <s v="si"/>
        <s v="no"/>
      </sharedItems>
    </cacheField>
    <cacheField name="Fecha de alta" numFmtId="0">
      <sharedItems containsNonDate="0" containsDate="1" containsString="0" containsBlank="1" minDate="2020-03-24T00:00:00" maxDate="2021-10-15T00:00:00"/>
    </cacheField>
    <cacheField name="Tipo de contagio" numFmtId="0">
      <sharedItems containsBlank="1" count="5">
        <s v="Comunitario"/>
        <s v="Contacto"/>
        <m/>
        <s v="En Investigación"/>
        <s v="Trabajador de la Salud"/>
      </sharedItems>
    </cacheField>
    <cacheField name="Meses (Fecha clasificacion)" numFmtId="0" databaseField="0">
      <fieldGroup base="2">
        <rangePr groupBy="months" startDate="2020-01-18T00:00:00" endDate="2022-01-12T00:00:00"/>
        <groupItems count="14">
          <s v="&lt;18/1/2020"/>
          <s v="ene"/>
          <s v="feb"/>
          <s v="mar"/>
          <s v="abr"/>
          <s v="may"/>
          <s v="jun"/>
          <s v="jul"/>
          <s v="ago"/>
          <s v="sept"/>
          <s v="oct"/>
          <s v="nov"/>
          <s v="dic"/>
          <s v="&gt;12/1/2022"/>
        </groupItems>
      </fieldGroup>
    </cacheField>
    <cacheField name="Trimestres (Fecha clasificacion)" numFmtId="0" databaseField="0">
      <fieldGroup base="2">
        <rangePr groupBy="quarters" startDate="2020-01-18T00:00:00" endDate="2022-01-12T00:00:00"/>
        <groupItems count="6">
          <s v="&lt;18/1/2020"/>
          <s v="Trim.1"/>
          <s v="Trim.2"/>
          <s v="Trim.3"/>
          <s v="Trim.4"/>
          <s v="&gt;12/1/2022"/>
        </groupItems>
      </fieldGroup>
    </cacheField>
    <cacheField name="Años (Fecha clasificacion)" numFmtId="0" databaseField="0">
      <fieldGroup base="2">
        <rangePr groupBy="years" startDate="2020-01-18T00:00:00" endDate="2022-01-12T00:00:00"/>
        <groupItems count="5">
          <s v="&lt;18/1/2020"/>
          <s v="2020"/>
          <s v="2021"/>
          <s v="2022"/>
          <s v="&gt;12/1/2022"/>
        </groupItems>
      </fieldGroup>
    </cacheField>
  </cacheFields>
  <extLst>
    <ext xmlns:x14="http://schemas.microsoft.com/office/spreadsheetml/2009/9/main" uri="{725AE2AE-9491-48be-B2B4-4EB974FC3084}">
      <x14:pivotCacheDefinition pivotCacheId="116562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3">
  <r>
    <n v="1723045"/>
    <d v="2020-08-05T00:00:00"/>
    <x v="0"/>
    <x v="0"/>
    <x v="0"/>
    <n v="15"/>
    <x v="0"/>
    <x v="0"/>
    <x v="0"/>
    <d v="2020-09-10T00:00:00"/>
    <x v="0"/>
    <m/>
    <x v="0"/>
  </r>
  <r>
    <n v="2399359"/>
    <d v="2020-09-06T00:00:00"/>
    <x v="1"/>
    <x v="1"/>
    <x v="1"/>
    <m/>
    <x v="1"/>
    <x v="1"/>
    <x v="0"/>
    <d v="2020-09-13T00:00:00"/>
    <x v="0"/>
    <m/>
    <x v="0"/>
  </r>
  <r>
    <n v="1060680"/>
    <d v="2020-06-11T00:00:00"/>
    <x v="2"/>
    <x v="0"/>
    <x v="2"/>
    <n v="3"/>
    <x v="1"/>
    <x v="2"/>
    <x v="0"/>
    <d v="2020-08-07T00:00:00"/>
    <x v="0"/>
    <m/>
    <x v="0"/>
  </r>
  <r>
    <n v="2145842"/>
    <d v="2020-08-26T00:00:00"/>
    <x v="3"/>
    <x v="0"/>
    <x v="3"/>
    <n v="13"/>
    <x v="1"/>
    <x v="3"/>
    <x v="0"/>
    <d v="2020-09-12T00:00:00"/>
    <x v="0"/>
    <m/>
    <x v="0"/>
  </r>
  <r>
    <n v="1194644"/>
    <d v="2020-07-10T00:00:00"/>
    <x v="4"/>
    <x v="0"/>
    <x v="4"/>
    <n v="7"/>
    <x v="1"/>
    <x v="4"/>
    <x v="0"/>
    <d v="2020-07-12T00:00:00"/>
    <x v="0"/>
    <m/>
    <x v="0"/>
  </r>
  <r>
    <n v="1054863"/>
    <d v="2020-06-10T00:00:00"/>
    <x v="2"/>
    <x v="0"/>
    <x v="4"/>
    <n v="7"/>
    <x v="0"/>
    <x v="4"/>
    <x v="0"/>
    <d v="2020-06-18T00:00:00"/>
    <x v="0"/>
    <m/>
    <x v="1"/>
  </r>
  <r>
    <n v="2546740"/>
    <d v="2020-09-11T00:00:00"/>
    <x v="5"/>
    <x v="1"/>
    <x v="5"/>
    <m/>
    <x v="1"/>
    <x v="5"/>
    <x v="0"/>
    <d v="2020-09-21T00:00:00"/>
    <x v="0"/>
    <m/>
    <x v="0"/>
  </r>
  <r>
    <n v="1516977"/>
    <d v="2020-07-24T00:00:00"/>
    <x v="6"/>
    <x v="0"/>
    <x v="6"/>
    <n v="5"/>
    <x v="0"/>
    <x v="6"/>
    <x v="0"/>
    <d v="2020-07-25T00:00:00"/>
    <x v="0"/>
    <m/>
    <x v="0"/>
  </r>
  <r>
    <n v="2146461"/>
    <d v="2020-09-04T00:00:00"/>
    <x v="7"/>
    <x v="0"/>
    <x v="7"/>
    <n v="6"/>
    <x v="0"/>
    <x v="7"/>
    <x v="0"/>
    <d v="2020-09-18T00:00:00"/>
    <x v="0"/>
    <m/>
    <x v="0"/>
  </r>
  <r>
    <n v="1780895"/>
    <d v="2020-08-09T00:00:00"/>
    <x v="8"/>
    <x v="0"/>
    <x v="8"/>
    <n v="1"/>
    <x v="1"/>
    <x v="8"/>
    <x v="0"/>
    <d v="2020-10-05T00:00:00"/>
    <x v="0"/>
    <m/>
    <x v="0"/>
  </r>
  <r>
    <n v="1326323"/>
    <d v="2020-07-11T00:00:00"/>
    <x v="9"/>
    <x v="1"/>
    <x v="9"/>
    <m/>
    <x v="1"/>
    <x v="9"/>
    <x v="0"/>
    <d v="2020-07-20T00:00:00"/>
    <x v="0"/>
    <m/>
    <x v="0"/>
  </r>
  <r>
    <n v="1084184"/>
    <d v="2020-06-15T00:00:00"/>
    <x v="10"/>
    <x v="0"/>
    <x v="10"/>
    <n v="2"/>
    <x v="0"/>
    <x v="10"/>
    <x v="0"/>
    <d v="2020-06-18T00:00:00"/>
    <x v="0"/>
    <m/>
    <x v="0"/>
  </r>
  <r>
    <n v="2150392"/>
    <d v="2020-08-20T00:00:00"/>
    <x v="11"/>
    <x v="0"/>
    <x v="11"/>
    <n v="14"/>
    <x v="1"/>
    <x v="11"/>
    <x v="0"/>
    <d v="2020-09-22T00:00:00"/>
    <x v="0"/>
    <m/>
    <x v="0"/>
  </r>
  <r>
    <n v="4995210"/>
    <d v="2020-11-11T00:00:00"/>
    <x v="12"/>
    <x v="1"/>
    <x v="12"/>
    <m/>
    <x v="0"/>
    <x v="12"/>
    <x v="0"/>
    <d v="2020-11-26T00:00:00"/>
    <x v="0"/>
    <m/>
    <x v="0"/>
  </r>
  <r>
    <n v="976322"/>
    <d v="2020-05-10T00:00:00"/>
    <x v="13"/>
    <x v="0"/>
    <x v="7"/>
    <n v="6"/>
    <x v="0"/>
    <x v="13"/>
    <x v="1"/>
    <m/>
    <x v="1"/>
    <m/>
    <x v="2"/>
  </r>
  <r>
    <n v="2800578"/>
    <d v="2020-09-22T00:00:00"/>
    <x v="14"/>
    <x v="1"/>
    <x v="13"/>
    <m/>
    <x v="1"/>
    <x v="14"/>
    <x v="0"/>
    <d v="2020-10-06T00:00:00"/>
    <x v="0"/>
    <m/>
    <x v="0"/>
  </r>
  <r>
    <n v="3860158"/>
    <d v="2020-11-25T00:00:00"/>
    <x v="15"/>
    <x v="0"/>
    <x v="14"/>
    <n v="15"/>
    <x v="0"/>
    <x v="9"/>
    <x v="0"/>
    <d v="2020-12-10T00:00:00"/>
    <x v="0"/>
    <m/>
    <x v="1"/>
  </r>
  <r>
    <n v="1451243"/>
    <d v="2020-07-20T00:00:00"/>
    <x v="16"/>
    <x v="0"/>
    <x v="10"/>
    <n v="2"/>
    <x v="1"/>
    <x v="15"/>
    <x v="0"/>
    <d v="2020-07-25T00:00:00"/>
    <x v="0"/>
    <m/>
    <x v="0"/>
  </r>
  <r>
    <n v="1381824"/>
    <d v="2020-07-15T00:00:00"/>
    <x v="17"/>
    <x v="0"/>
    <x v="11"/>
    <n v="14"/>
    <x v="1"/>
    <x v="15"/>
    <x v="0"/>
    <d v="2020-08-01T00:00:00"/>
    <x v="0"/>
    <m/>
    <x v="0"/>
  </r>
  <r>
    <n v="1349872"/>
    <d v="2020-07-13T00:00:00"/>
    <x v="18"/>
    <x v="0"/>
    <x v="10"/>
    <n v="2"/>
    <x v="1"/>
    <x v="16"/>
    <x v="0"/>
    <d v="2020-07-13T00:00:00"/>
    <x v="0"/>
    <m/>
    <x v="0"/>
  </r>
  <r>
    <n v="935654"/>
    <d v="2020-05-18T00:00:00"/>
    <x v="19"/>
    <x v="0"/>
    <x v="2"/>
    <n v="3"/>
    <x v="1"/>
    <x v="9"/>
    <x v="1"/>
    <m/>
    <x v="1"/>
    <m/>
    <x v="2"/>
  </r>
  <r>
    <n v="1632320"/>
    <d v="2020-07-28T00:00:00"/>
    <x v="20"/>
    <x v="0"/>
    <x v="15"/>
    <n v="1"/>
    <x v="0"/>
    <x v="17"/>
    <x v="0"/>
    <d v="2020-08-13T00:00:00"/>
    <x v="0"/>
    <m/>
    <x v="1"/>
  </r>
  <r>
    <n v="2981190"/>
    <d v="2020-09-28T00:00:00"/>
    <x v="21"/>
    <x v="1"/>
    <x v="16"/>
    <m/>
    <x v="0"/>
    <x v="18"/>
    <x v="0"/>
    <d v="2020-10-20T00:00:00"/>
    <x v="0"/>
    <m/>
    <x v="0"/>
  </r>
  <r>
    <n v="1793396"/>
    <d v="2020-08-10T00:00:00"/>
    <x v="22"/>
    <x v="0"/>
    <x v="4"/>
    <n v="7"/>
    <x v="0"/>
    <x v="19"/>
    <x v="0"/>
    <d v="2020-08-14T00:00:00"/>
    <x v="0"/>
    <m/>
    <x v="0"/>
  </r>
  <r>
    <n v="2478476"/>
    <d v="2020-09-08T00:00:00"/>
    <x v="7"/>
    <x v="0"/>
    <x v="11"/>
    <n v="14"/>
    <x v="1"/>
    <x v="20"/>
    <x v="0"/>
    <d v="2020-09-29T00:00:00"/>
    <x v="0"/>
    <m/>
    <x v="0"/>
  </r>
  <r>
    <n v="900942"/>
    <d v="2020-07-10T00:00:00"/>
    <x v="4"/>
    <x v="0"/>
    <x v="17"/>
    <n v="8"/>
    <x v="1"/>
    <x v="11"/>
    <x v="0"/>
    <d v="2020-08-17T00:00:00"/>
    <x v="0"/>
    <m/>
    <x v="0"/>
  </r>
  <r>
    <n v="4404251"/>
    <d v="2020-11-13T00:00:00"/>
    <x v="23"/>
    <x v="0"/>
    <x v="18"/>
    <n v="15"/>
    <x v="0"/>
    <x v="9"/>
    <x v="0"/>
    <d v="2020-11-20T00:00:00"/>
    <x v="0"/>
    <m/>
    <x v="0"/>
  </r>
  <r>
    <n v="2525060"/>
    <d v="2020-09-16T00:00:00"/>
    <x v="24"/>
    <x v="1"/>
    <x v="19"/>
    <m/>
    <x v="0"/>
    <x v="21"/>
    <x v="0"/>
    <d v="2020-09-18T00:00:00"/>
    <x v="0"/>
    <m/>
    <x v="3"/>
  </r>
  <r>
    <n v="5131042"/>
    <d v="2020-12-11T00:00:00"/>
    <x v="25"/>
    <x v="1"/>
    <x v="20"/>
    <m/>
    <x v="0"/>
    <x v="9"/>
    <x v="2"/>
    <m/>
    <x v="1"/>
    <m/>
    <x v="3"/>
  </r>
  <r>
    <n v="870294"/>
    <d v="2020-04-28T00:00:00"/>
    <x v="26"/>
    <x v="1"/>
    <x v="21"/>
    <m/>
    <x v="0"/>
    <x v="22"/>
    <x v="0"/>
    <d v="2020-04-26T00:00:00"/>
    <x v="0"/>
    <m/>
    <x v="0"/>
  </r>
  <r>
    <n v="3196861"/>
    <d v="2020-10-07T00:00:00"/>
    <x v="27"/>
    <x v="0"/>
    <x v="2"/>
    <n v="3"/>
    <x v="1"/>
    <x v="10"/>
    <x v="0"/>
    <d v="2020-10-10T00:00:00"/>
    <x v="0"/>
    <m/>
    <x v="0"/>
  </r>
  <r>
    <n v="1150538"/>
    <d v="2020-06-22T00:00:00"/>
    <x v="28"/>
    <x v="0"/>
    <x v="7"/>
    <n v="6"/>
    <x v="0"/>
    <x v="23"/>
    <x v="0"/>
    <d v="2020-07-07T00:00:00"/>
    <x v="0"/>
    <m/>
    <x v="4"/>
  </r>
  <r>
    <n v="1772044"/>
    <d v="2020-08-03T00:00:00"/>
    <x v="29"/>
    <x v="0"/>
    <x v="22"/>
    <n v="10"/>
    <x v="1"/>
    <x v="23"/>
    <x v="0"/>
    <d v="2020-08-07T00:00:00"/>
    <x v="0"/>
    <m/>
    <x v="0"/>
  </r>
  <r>
    <n v="1103204"/>
    <d v="2020-06-17T00:00:00"/>
    <x v="30"/>
    <x v="0"/>
    <x v="23"/>
    <n v="9"/>
    <x v="0"/>
    <x v="24"/>
    <x v="1"/>
    <m/>
    <x v="1"/>
    <m/>
    <x v="2"/>
  </r>
  <r>
    <n v="3086141"/>
    <d v="2020-10-01T00:00:00"/>
    <x v="31"/>
    <x v="0"/>
    <x v="23"/>
    <n v="9"/>
    <x v="1"/>
    <x v="25"/>
    <x v="0"/>
    <d v="2020-10-22T00:00:00"/>
    <x v="0"/>
    <m/>
    <x v="0"/>
  </r>
  <r>
    <n v="2073770"/>
    <d v="2020-08-19T00:00:00"/>
    <x v="32"/>
    <x v="0"/>
    <x v="3"/>
    <n v="13"/>
    <x v="1"/>
    <x v="3"/>
    <x v="0"/>
    <d v="2020-09-21T00:00:00"/>
    <x v="0"/>
    <m/>
    <x v="0"/>
  </r>
  <r>
    <n v="2361706"/>
    <d v="2020-09-03T00:00:00"/>
    <x v="33"/>
    <x v="0"/>
    <x v="24"/>
    <n v="4"/>
    <x v="1"/>
    <x v="26"/>
    <x v="0"/>
    <d v="2020-09-29T00:00:00"/>
    <x v="0"/>
    <m/>
    <x v="3"/>
  </r>
  <r>
    <n v="1054950"/>
    <d v="2020-06-24T00:00:00"/>
    <x v="34"/>
    <x v="0"/>
    <x v="2"/>
    <n v="3"/>
    <x v="0"/>
    <x v="22"/>
    <x v="0"/>
    <d v="2020-07-26T00:00:00"/>
    <x v="0"/>
    <m/>
    <x v="0"/>
  </r>
  <r>
    <n v="833697"/>
    <d v="2020-04-18T00:00:00"/>
    <x v="35"/>
    <x v="0"/>
    <x v="4"/>
    <n v="7"/>
    <x v="0"/>
    <x v="27"/>
    <x v="0"/>
    <d v="2020-05-01T00:00:00"/>
    <x v="0"/>
    <m/>
    <x v="1"/>
  </r>
  <r>
    <n v="1508961"/>
    <d v="2020-07-24T00:00:00"/>
    <x v="6"/>
    <x v="0"/>
    <x v="25"/>
    <n v="4"/>
    <x v="0"/>
    <x v="28"/>
    <x v="0"/>
    <d v="2020-08-07T00:00:00"/>
    <x v="0"/>
    <m/>
    <x v="0"/>
  </r>
  <r>
    <n v="5134348"/>
    <d v="2020-12-11T00:00:00"/>
    <x v="36"/>
    <x v="0"/>
    <x v="26"/>
    <n v="11"/>
    <x v="0"/>
    <x v="23"/>
    <x v="0"/>
    <d v="2020-12-17T00:00:00"/>
    <x v="0"/>
    <m/>
    <x v="0"/>
  </r>
  <r>
    <n v="2055066"/>
    <d v="2020-08-22T00:00:00"/>
    <x v="37"/>
    <x v="0"/>
    <x v="27"/>
    <n v="12"/>
    <x v="1"/>
    <x v="29"/>
    <x v="0"/>
    <d v="2020-09-24T00:00:00"/>
    <x v="0"/>
    <m/>
    <x v="0"/>
  </r>
  <r>
    <n v="2416399"/>
    <d v="2020-09-07T00:00:00"/>
    <x v="38"/>
    <x v="0"/>
    <x v="6"/>
    <n v="5"/>
    <x v="0"/>
    <x v="14"/>
    <x v="0"/>
    <d v="2020-09-20T00:00:00"/>
    <x v="0"/>
    <m/>
    <x v="0"/>
  </r>
  <r>
    <n v="1305813"/>
    <d v="2020-07-09T00:00:00"/>
    <x v="39"/>
    <x v="0"/>
    <x v="28"/>
    <n v="15"/>
    <x v="0"/>
    <x v="30"/>
    <x v="1"/>
    <m/>
    <x v="1"/>
    <m/>
    <x v="2"/>
  </r>
  <r>
    <n v="1239087"/>
    <d v="2020-07-01T00:00:00"/>
    <x v="40"/>
    <x v="1"/>
    <x v="29"/>
    <m/>
    <x v="0"/>
    <x v="21"/>
    <x v="0"/>
    <d v="2020-07-05T00:00:00"/>
    <x v="0"/>
    <m/>
    <x v="1"/>
  </r>
  <r>
    <n v="1179129"/>
    <d v="2020-06-16T00:00:00"/>
    <x v="30"/>
    <x v="1"/>
    <x v="30"/>
    <m/>
    <x v="1"/>
    <x v="31"/>
    <x v="1"/>
    <m/>
    <x v="1"/>
    <m/>
    <x v="2"/>
  </r>
  <r>
    <n v="2302328"/>
    <d v="2020-09-14T00:00:00"/>
    <x v="41"/>
    <x v="0"/>
    <x v="14"/>
    <n v="15"/>
    <x v="1"/>
    <x v="32"/>
    <x v="0"/>
    <d v="2020-09-30T00:00:00"/>
    <x v="0"/>
    <m/>
    <x v="3"/>
  </r>
  <r>
    <n v="1213903"/>
    <d v="2020-06-29T00:00:00"/>
    <x v="42"/>
    <x v="0"/>
    <x v="31"/>
    <n v="10"/>
    <x v="0"/>
    <x v="22"/>
    <x v="0"/>
    <d v="2020-07-25T00:00:00"/>
    <x v="0"/>
    <m/>
    <x v="1"/>
  </r>
  <r>
    <n v="805612"/>
    <d v="2020-04-09T00:00:00"/>
    <x v="43"/>
    <x v="0"/>
    <x v="32"/>
    <n v="10"/>
    <x v="1"/>
    <x v="27"/>
    <x v="1"/>
    <m/>
    <x v="1"/>
    <m/>
    <x v="2"/>
  </r>
  <r>
    <n v="2307156"/>
    <d v="2020-09-02T00:00:00"/>
    <x v="44"/>
    <x v="0"/>
    <x v="4"/>
    <n v="7"/>
    <x v="0"/>
    <x v="10"/>
    <x v="0"/>
    <d v="2020-09-20T00:00:00"/>
    <x v="0"/>
    <m/>
    <x v="1"/>
  </r>
  <r>
    <n v="4580876"/>
    <d v="2020-11-20T00:00:00"/>
    <x v="45"/>
    <x v="1"/>
    <x v="33"/>
    <m/>
    <x v="0"/>
    <x v="16"/>
    <x v="0"/>
    <d v="2020-12-12T00:00:00"/>
    <x v="0"/>
    <m/>
    <x v="0"/>
  </r>
  <r>
    <n v="2993167"/>
    <d v="2020-09-27T00:00:00"/>
    <x v="46"/>
    <x v="0"/>
    <x v="4"/>
    <n v="7"/>
    <x v="0"/>
    <x v="33"/>
    <x v="1"/>
    <m/>
    <x v="1"/>
    <m/>
    <x v="2"/>
  </r>
  <r>
    <n v="1321395"/>
    <d v="2020-07-11T00:00:00"/>
    <x v="9"/>
    <x v="0"/>
    <x v="34"/>
    <n v="13"/>
    <x v="0"/>
    <x v="15"/>
    <x v="1"/>
    <m/>
    <x v="1"/>
    <m/>
    <x v="2"/>
  </r>
  <r>
    <n v="1362683"/>
    <d v="2020-07-14T00:00:00"/>
    <x v="17"/>
    <x v="0"/>
    <x v="35"/>
    <n v="9"/>
    <x v="0"/>
    <x v="13"/>
    <x v="0"/>
    <d v="2020-08-09T00:00:00"/>
    <x v="0"/>
    <m/>
    <x v="1"/>
  </r>
  <r>
    <n v="1054123"/>
    <d v="2020-06-10T00:00:00"/>
    <x v="47"/>
    <x v="1"/>
    <x v="16"/>
    <m/>
    <x v="0"/>
    <x v="14"/>
    <x v="1"/>
    <m/>
    <x v="1"/>
    <m/>
    <x v="2"/>
  </r>
  <r>
    <n v="1618127"/>
    <d v="2020-08-01T00:00:00"/>
    <x v="29"/>
    <x v="0"/>
    <x v="11"/>
    <n v="14"/>
    <x v="1"/>
    <x v="30"/>
    <x v="0"/>
    <d v="2020-08-06T00:00:00"/>
    <x v="0"/>
    <m/>
    <x v="0"/>
  </r>
  <r>
    <n v="913656"/>
    <d v="2020-05-13T00:00:00"/>
    <x v="48"/>
    <x v="0"/>
    <x v="36"/>
    <n v="3"/>
    <x v="0"/>
    <x v="34"/>
    <x v="0"/>
    <d v="2020-05-26T00:00:00"/>
    <x v="0"/>
    <m/>
    <x v="0"/>
  </r>
  <r>
    <n v="2873215"/>
    <d v="2020-09-23T00:00:00"/>
    <x v="49"/>
    <x v="1"/>
    <x v="5"/>
    <m/>
    <x v="0"/>
    <x v="25"/>
    <x v="0"/>
    <d v="2020-10-01T00:00:00"/>
    <x v="0"/>
    <m/>
    <x v="1"/>
  </r>
  <r>
    <n v="1218256"/>
    <d v="2020-06-30T00:00:00"/>
    <x v="42"/>
    <x v="0"/>
    <x v="37"/>
    <n v="1"/>
    <x v="1"/>
    <x v="30"/>
    <x v="0"/>
    <d v="2020-07-19T00:00:00"/>
    <x v="0"/>
    <m/>
    <x v="0"/>
  </r>
  <r>
    <n v="1667386"/>
    <d v="2020-08-04T00:00:00"/>
    <x v="29"/>
    <x v="0"/>
    <x v="35"/>
    <n v="9"/>
    <x v="1"/>
    <x v="7"/>
    <x v="0"/>
    <d v="2020-08-04T00:00:00"/>
    <x v="0"/>
    <m/>
    <x v="0"/>
  </r>
  <r>
    <n v="1059629"/>
    <d v="2020-06-11T00:00:00"/>
    <x v="2"/>
    <x v="0"/>
    <x v="36"/>
    <n v="3"/>
    <x v="1"/>
    <x v="24"/>
    <x v="0"/>
    <d v="2020-06-15T00:00:00"/>
    <x v="0"/>
    <m/>
    <x v="1"/>
  </r>
  <r>
    <n v="2051753"/>
    <d v="2020-08-23T00:00:00"/>
    <x v="50"/>
    <x v="0"/>
    <x v="4"/>
    <n v="7"/>
    <x v="1"/>
    <x v="7"/>
    <x v="0"/>
    <d v="2020-09-03T00:00:00"/>
    <x v="0"/>
    <m/>
    <x v="3"/>
  </r>
  <r>
    <n v="3565757"/>
    <d v="2020-10-19T00:00:00"/>
    <x v="51"/>
    <x v="0"/>
    <x v="14"/>
    <n v="15"/>
    <x v="0"/>
    <x v="6"/>
    <x v="0"/>
    <d v="2020-10-22T00:00:00"/>
    <x v="0"/>
    <m/>
    <x v="0"/>
  </r>
  <r>
    <n v="1634473"/>
    <d v="2020-08-01T00:00:00"/>
    <x v="52"/>
    <x v="0"/>
    <x v="38"/>
    <n v="13"/>
    <x v="0"/>
    <x v="13"/>
    <x v="0"/>
    <d v="2020-08-01T00:00:00"/>
    <x v="0"/>
    <m/>
    <x v="0"/>
  </r>
  <r>
    <n v="1782949"/>
    <d v="2020-08-09T00:00:00"/>
    <x v="53"/>
    <x v="0"/>
    <x v="4"/>
    <n v="7"/>
    <x v="0"/>
    <x v="35"/>
    <x v="0"/>
    <d v="2020-09-01T00:00:00"/>
    <x v="0"/>
    <m/>
    <x v="0"/>
  </r>
  <r>
    <n v="1446416"/>
    <d v="2020-07-21T00:00:00"/>
    <x v="54"/>
    <x v="0"/>
    <x v="23"/>
    <n v="9"/>
    <x v="1"/>
    <x v="20"/>
    <x v="0"/>
    <d v="2020-07-29T00:00:00"/>
    <x v="0"/>
    <m/>
    <x v="0"/>
  </r>
  <r>
    <n v="1917162"/>
    <d v="2020-08-16T00:00:00"/>
    <x v="55"/>
    <x v="0"/>
    <x v="6"/>
    <n v="5"/>
    <x v="0"/>
    <x v="36"/>
    <x v="0"/>
    <d v="2020-09-08T00:00:00"/>
    <x v="0"/>
    <m/>
    <x v="0"/>
  </r>
  <r>
    <n v="3507924"/>
    <d v="2020-10-14T00:00:00"/>
    <x v="56"/>
    <x v="1"/>
    <x v="9"/>
    <m/>
    <x v="1"/>
    <x v="14"/>
    <x v="0"/>
    <d v="2020-10-16T00:00:00"/>
    <x v="0"/>
    <m/>
    <x v="0"/>
  </r>
  <r>
    <n v="1319138"/>
    <d v="2020-07-10T00:00:00"/>
    <x v="4"/>
    <x v="0"/>
    <x v="39"/>
    <n v="12"/>
    <x v="1"/>
    <x v="13"/>
    <x v="0"/>
    <d v="2020-07-13T00:00:00"/>
    <x v="0"/>
    <m/>
    <x v="0"/>
  </r>
  <r>
    <n v="2428469"/>
    <d v="2020-09-07T00:00:00"/>
    <x v="38"/>
    <x v="0"/>
    <x v="24"/>
    <n v="4"/>
    <x v="1"/>
    <x v="33"/>
    <x v="0"/>
    <d v="2020-09-08T00:00:00"/>
    <x v="0"/>
    <m/>
    <x v="0"/>
  </r>
  <r>
    <n v="1729302"/>
    <d v="2020-08-06T00:00:00"/>
    <x v="0"/>
    <x v="0"/>
    <x v="28"/>
    <n v="15"/>
    <x v="1"/>
    <x v="37"/>
    <x v="0"/>
    <d v="2020-08-13T00:00:00"/>
    <x v="0"/>
    <m/>
    <x v="3"/>
  </r>
  <r>
    <n v="1307282"/>
    <d v="2020-07-09T00:00:00"/>
    <x v="4"/>
    <x v="0"/>
    <x v="2"/>
    <n v="3"/>
    <x v="0"/>
    <x v="15"/>
    <x v="1"/>
    <m/>
    <x v="1"/>
    <m/>
    <x v="2"/>
  </r>
  <r>
    <n v="4854952"/>
    <d v="2020-12-01T00:00:00"/>
    <x v="57"/>
    <x v="1"/>
    <x v="21"/>
    <m/>
    <x v="1"/>
    <x v="31"/>
    <x v="1"/>
    <m/>
    <x v="1"/>
    <m/>
    <x v="2"/>
  </r>
  <r>
    <n v="2316211"/>
    <d v="2020-09-01T00:00:00"/>
    <x v="58"/>
    <x v="0"/>
    <x v="27"/>
    <n v="12"/>
    <x v="0"/>
    <x v="38"/>
    <x v="0"/>
    <d v="2020-09-07T00:00:00"/>
    <x v="0"/>
    <m/>
    <x v="0"/>
  </r>
  <r>
    <n v="1013431"/>
    <d v="2020-06-02T00:00:00"/>
    <x v="59"/>
    <x v="1"/>
    <x v="12"/>
    <m/>
    <x v="1"/>
    <x v="14"/>
    <x v="0"/>
    <d v="2020-06-06T00:00:00"/>
    <x v="0"/>
    <m/>
    <x v="1"/>
  </r>
  <r>
    <n v="1619130"/>
    <d v="2020-07-31T00:00:00"/>
    <x v="60"/>
    <x v="0"/>
    <x v="40"/>
    <n v="8"/>
    <x v="0"/>
    <x v="39"/>
    <x v="0"/>
    <d v="2020-08-22T00:00:00"/>
    <x v="0"/>
    <m/>
    <x v="0"/>
  </r>
  <r>
    <n v="1028316"/>
    <d v="2020-06-05T00:00:00"/>
    <x v="61"/>
    <x v="0"/>
    <x v="37"/>
    <n v="1"/>
    <x v="1"/>
    <x v="23"/>
    <x v="0"/>
    <d v="2020-06-05T00:00:00"/>
    <x v="0"/>
    <m/>
    <x v="0"/>
  </r>
  <r>
    <n v="1469528"/>
    <d v="2020-07-17T00:00:00"/>
    <x v="62"/>
    <x v="0"/>
    <x v="11"/>
    <n v="14"/>
    <x v="0"/>
    <x v="28"/>
    <x v="0"/>
    <d v="2020-07-28T00:00:00"/>
    <x v="0"/>
    <m/>
    <x v="0"/>
  </r>
  <r>
    <n v="3255203"/>
    <d v="2020-10-06T00:00:00"/>
    <x v="63"/>
    <x v="1"/>
    <x v="20"/>
    <m/>
    <x v="1"/>
    <x v="29"/>
    <x v="0"/>
    <d v="2020-10-14T00:00:00"/>
    <x v="0"/>
    <m/>
    <x v="0"/>
  </r>
  <r>
    <n v="2216091"/>
    <d v="2020-08-30T00:00:00"/>
    <x v="64"/>
    <x v="0"/>
    <x v="25"/>
    <n v="4"/>
    <x v="1"/>
    <x v="15"/>
    <x v="1"/>
    <m/>
    <x v="1"/>
    <m/>
    <x v="2"/>
  </r>
  <r>
    <n v="1667935"/>
    <d v="2020-08-03T00:00:00"/>
    <x v="29"/>
    <x v="0"/>
    <x v="41"/>
    <n v="1"/>
    <x v="0"/>
    <x v="35"/>
    <x v="0"/>
    <d v="2020-08-05T00:00:00"/>
    <x v="0"/>
    <m/>
    <x v="3"/>
  </r>
  <r>
    <n v="2729339"/>
    <d v="2020-09-18T00:00:00"/>
    <x v="65"/>
    <x v="0"/>
    <x v="35"/>
    <n v="9"/>
    <x v="0"/>
    <x v="37"/>
    <x v="0"/>
    <d v="2020-10-09T00:00:00"/>
    <x v="0"/>
    <m/>
    <x v="0"/>
  </r>
  <r>
    <n v="1391778"/>
    <d v="2020-07-16T00:00:00"/>
    <x v="66"/>
    <x v="0"/>
    <x v="6"/>
    <n v="5"/>
    <x v="1"/>
    <x v="19"/>
    <x v="0"/>
    <d v="2020-08-25T00:00:00"/>
    <x v="0"/>
    <m/>
    <x v="0"/>
  </r>
  <r>
    <n v="1376585"/>
    <d v="2020-07-15T00:00:00"/>
    <x v="67"/>
    <x v="1"/>
    <x v="16"/>
    <m/>
    <x v="1"/>
    <x v="40"/>
    <x v="0"/>
    <d v="2020-07-27T00:00:00"/>
    <x v="0"/>
    <m/>
    <x v="0"/>
  </r>
  <r>
    <n v="1389983"/>
    <d v="2020-07-16T00:00:00"/>
    <x v="66"/>
    <x v="1"/>
    <x v="9"/>
    <m/>
    <x v="0"/>
    <x v="4"/>
    <x v="0"/>
    <d v="2020-08-02T00:00:00"/>
    <x v="0"/>
    <m/>
    <x v="1"/>
  </r>
  <r>
    <n v="1470319"/>
    <d v="2020-07-22T00:00:00"/>
    <x v="68"/>
    <x v="1"/>
    <x v="12"/>
    <m/>
    <x v="0"/>
    <x v="41"/>
    <x v="0"/>
    <d v="2020-08-16T00:00:00"/>
    <x v="0"/>
    <m/>
    <x v="1"/>
  </r>
  <r>
    <n v="1281167"/>
    <d v="2020-07-07T00:00:00"/>
    <x v="69"/>
    <x v="0"/>
    <x v="2"/>
    <n v="3"/>
    <x v="1"/>
    <x v="16"/>
    <x v="0"/>
    <d v="2020-07-13T00:00:00"/>
    <x v="0"/>
    <m/>
    <x v="3"/>
  </r>
  <r>
    <n v="1272585"/>
    <d v="2020-07-06T00:00:00"/>
    <x v="69"/>
    <x v="0"/>
    <x v="14"/>
    <n v="15"/>
    <x v="1"/>
    <x v="34"/>
    <x v="0"/>
    <d v="2020-07-13T00:00:00"/>
    <x v="0"/>
    <m/>
    <x v="0"/>
  </r>
  <r>
    <n v="4461551"/>
    <d v="2020-11-17T00:00:00"/>
    <x v="70"/>
    <x v="0"/>
    <x v="14"/>
    <n v="15"/>
    <x v="1"/>
    <x v="9"/>
    <x v="0"/>
    <d v="2020-11-24T00:00:00"/>
    <x v="0"/>
    <m/>
    <x v="0"/>
  </r>
  <r>
    <n v="3247222"/>
    <d v="2020-10-15T00:00:00"/>
    <x v="71"/>
    <x v="1"/>
    <x v="29"/>
    <m/>
    <x v="0"/>
    <x v="33"/>
    <x v="0"/>
    <d v="2020-11-04T00:00:00"/>
    <x v="0"/>
    <m/>
    <x v="0"/>
  </r>
  <r>
    <n v="1000567"/>
    <d v="2020-05-31T00:00:00"/>
    <x v="72"/>
    <x v="0"/>
    <x v="10"/>
    <n v="2"/>
    <x v="1"/>
    <x v="34"/>
    <x v="0"/>
    <d v="2020-06-09T00:00:00"/>
    <x v="0"/>
    <m/>
    <x v="1"/>
  </r>
  <r>
    <n v="3171496"/>
    <d v="2020-10-21T00:00:00"/>
    <x v="73"/>
    <x v="1"/>
    <x v="12"/>
    <m/>
    <x v="1"/>
    <x v="42"/>
    <x v="0"/>
    <d v="2020-10-30T00:00:00"/>
    <x v="0"/>
    <m/>
    <x v="0"/>
  </r>
  <r>
    <n v="4715719"/>
    <d v="2020-11-24T00:00:00"/>
    <x v="74"/>
    <x v="0"/>
    <x v="3"/>
    <n v="13"/>
    <x v="1"/>
    <x v="22"/>
    <x v="1"/>
    <m/>
    <x v="1"/>
    <m/>
    <x v="2"/>
  </r>
  <r>
    <n v="5142919"/>
    <d v="2020-12-20T00:00:00"/>
    <x v="75"/>
    <x v="1"/>
    <x v="12"/>
    <m/>
    <x v="1"/>
    <x v="0"/>
    <x v="0"/>
    <d v="2021-01-01T00:00:00"/>
    <x v="0"/>
    <m/>
    <x v="3"/>
  </r>
  <r>
    <n v="5154153"/>
    <d v="2020-12-10T00:00:00"/>
    <x v="76"/>
    <x v="0"/>
    <x v="42"/>
    <n v="4"/>
    <x v="1"/>
    <x v="25"/>
    <x v="0"/>
    <d v="2020-12-12T00:00:00"/>
    <x v="0"/>
    <m/>
    <x v="0"/>
  </r>
  <r>
    <n v="1313225"/>
    <d v="2020-07-10T00:00:00"/>
    <x v="4"/>
    <x v="0"/>
    <x v="38"/>
    <n v="13"/>
    <x v="0"/>
    <x v="6"/>
    <x v="0"/>
    <d v="2020-07-22T00:00:00"/>
    <x v="0"/>
    <m/>
    <x v="0"/>
  </r>
  <r>
    <n v="4514356"/>
    <d v="2020-11-26T00:00:00"/>
    <x v="15"/>
    <x v="0"/>
    <x v="25"/>
    <n v="4"/>
    <x v="1"/>
    <x v="43"/>
    <x v="0"/>
    <d v="2020-12-27T00:00:00"/>
    <x v="0"/>
    <m/>
    <x v="1"/>
  </r>
  <r>
    <n v="1084220"/>
    <d v="2020-07-10T00:00:00"/>
    <x v="4"/>
    <x v="0"/>
    <x v="7"/>
    <n v="6"/>
    <x v="1"/>
    <x v="8"/>
    <x v="0"/>
    <d v="2020-07-11T00:00:00"/>
    <x v="0"/>
    <m/>
    <x v="0"/>
  </r>
  <r>
    <n v="785145"/>
    <d v="2020-04-01T00:00:00"/>
    <x v="77"/>
    <x v="0"/>
    <x v="39"/>
    <n v="12"/>
    <x v="0"/>
    <x v="6"/>
    <x v="1"/>
    <m/>
    <x v="1"/>
    <m/>
    <x v="2"/>
  </r>
  <r>
    <n v="1447653"/>
    <d v="2020-07-21T00:00:00"/>
    <x v="16"/>
    <x v="0"/>
    <x v="3"/>
    <n v="13"/>
    <x v="0"/>
    <x v="0"/>
    <x v="0"/>
    <d v="2020-08-07T00:00:00"/>
    <x v="0"/>
    <m/>
    <x v="1"/>
  </r>
  <r>
    <n v="1352161"/>
    <d v="2020-07-14T00:00:00"/>
    <x v="78"/>
    <x v="0"/>
    <x v="43"/>
    <n v="11"/>
    <x v="0"/>
    <x v="10"/>
    <x v="0"/>
    <d v="2020-08-07T00:00:00"/>
    <x v="0"/>
    <m/>
    <x v="1"/>
  </r>
  <r>
    <n v="4459941"/>
    <d v="2020-11-17T00:00:00"/>
    <x v="79"/>
    <x v="1"/>
    <x v="9"/>
    <m/>
    <x v="1"/>
    <x v="20"/>
    <x v="0"/>
    <d v="2020-12-10T00:00:00"/>
    <x v="0"/>
    <m/>
    <x v="0"/>
  </r>
  <r>
    <n v="1934440"/>
    <d v="2020-08-31T00:00:00"/>
    <x v="80"/>
    <x v="0"/>
    <x v="4"/>
    <n v="7"/>
    <x v="1"/>
    <x v="12"/>
    <x v="0"/>
    <d v="2020-08-31T00:00:00"/>
    <x v="0"/>
    <m/>
    <x v="0"/>
  </r>
  <r>
    <n v="2163903"/>
    <d v="2020-08-27T00:00:00"/>
    <x v="3"/>
    <x v="0"/>
    <x v="43"/>
    <n v="11"/>
    <x v="0"/>
    <x v="13"/>
    <x v="1"/>
    <m/>
    <x v="1"/>
    <m/>
    <x v="2"/>
  </r>
  <r>
    <n v="1256774"/>
    <d v="2020-07-05T00:00:00"/>
    <x v="81"/>
    <x v="0"/>
    <x v="42"/>
    <n v="4"/>
    <x v="0"/>
    <x v="15"/>
    <x v="0"/>
    <d v="2020-07-13T00:00:00"/>
    <x v="0"/>
    <m/>
    <x v="0"/>
  </r>
  <r>
    <n v="2665666"/>
    <d v="2020-09-16T00:00:00"/>
    <x v="24"/>
    <x v="0"/>
    <x v="7"/>
    <n v="6"/>
    <x v="0"/>
    <x v="44"/>
    <x v="0"/>
    <d v="2020-09-19T00:00:00"/>
    <x v="0"/>
    <m/>
    <x v="1"/>
  </r>
  <r>
    <n v="781310"/>
    <d v="2020-03-31T00:00:00"/>
    <x v="82"/>
    <x v="1"/>
    <x v="5"/>
    <m/>
    <x v="1"/>
    <x v="6"/>
    <x v="0"/>
    <d v="2020-04-06T00:00:00"/>
    <x v="0"/>
    <m/>
    <x v="0"/>
  </r>
  <r>
    <n v="956298"/>
    <d v="2020-05-21T00:00:00"/>
    <x v="83"/>
    <x v="0"/>
    <x v="4"/>
    <n v="7"/>
    <x v="1"/>
    <x v="37"/>
    <x v="1"/>
    <m/>
    <x v="1"/>
    <m/>
    <x v="2"/>
  </r>
  <r>
    <n v="1063745"/>
    <d v="2020-06-11T00:00:00"/>
    <x v="84"/>
    <x v="1"/>
    <x v="16"/>
    <m/>
    <x v="1"/>
    <x v="26"/>
    <x v="0"/>
    <d v="2020-06-23T00:00:00"/>
    <x v="0"/>
    <m/>
    <x v="4"/>
  </r>
  <r>
    <n v="794846"/>
    <d v="2020-03-31T00:00:00"/>
    <x v="85"/>
    <x v="0"/>
    <x v="11"/>
    <n v="14"/>
    <x v="1"/>
    <x v="29"/>
    <x v="0"/>
    <d v="2020-04-24T00:00:00"/>
    <x v="0"/>
    <m/>
    <x v="0"/>
  </r>
  <r>
    <n v="956780"/>
    <d v="2020-05-22T00:00:00"/>
    <x v="86"/>
    <x v="0"/>
    <x v="4"/>
    <n v="7"/>
    <x v="0"/>
    <x v="30"/>
    <x v="0"/>
    <d v="2020-05-30T00:00:00"/>
    <x v="0"/>
    <m/>
    <x v="0"/>
  </r>
  <r>
    <n v="3810173"/>
    <d v="2020-10-26T00:00:00"/>
    <x v="87"/>
    <x v="1"/>
    <x v="21"/>
    <m/>
    <x v="0"/>
    <x v="8"/>
    <x v="0"/>
    <d v="2020-11-07T00:00:00"/>
    <x v="0"/>
    <m/>
    <x v="0"/>
  </r>
  <r>
    <n v="1728435"/>
    <d v="2020-08-04T00:00:00"/>
    <x v="88"/>
    <x v="1"/>
    <x v="16"/>
    <m/>
    <x v="0"/>
    <x v="22"/>
    <x v="0"/>
    <d v="2020-08-18T00:00:00"/>
    <x v="0"/>
    <m/>
    <x v="0"/>
  </r>
  <r>
    <n v="1040507"/>
    <d v="2020-06-07T00:00:00"/>
    <x v="67"/>
    <x v="0"/>
    <x v="44"/>
    <n v="10"/>
    <x v="1"/>
    <x v="10"/>
    <x v="0"/>
    <d v="2020-07-16T00:00:00"/>
    <x v="0"/>
    <m/>
    <x v="1"/>
  </r>
  <r>
    <n v="1627226"/>
    <d v="2020-08-01T00:00:00"/>
    <x v="52"/>
    <x v="0"/>
    <x v="45"/>
    <n v="9"/>
    <x v="0"/>
    <x v="11"/>
    <x v="0"/>
    <d v="2020-09-15T00:00:00"/>
    <x v="0"/>
    <m/>
    <x v="3"/>
  </r>
  <r>
    <n v="2149542"/>
    <d v="2020-09-07T00:00:00"/>
    <x v="89"/>
    <x v="0"/>
    <x v="10"/>
    <n v="2"/>
    <x v="0"/>
    <x v="27"/>
    <x v="0"/>
    <d v="2020-09-20T00:00:00"/>
    <x v="0"/>
    <m/>
    <x v="0"/>
  </r>
  <r>
    <n v="2229335"/>
    <d v="2020-08-30T00:00:00"/>
    <x v="64"/>
    <x v="0"/>
    <x v="46"/>
    <n v="4"/>
    <x v="1"/>
    <x v="12"/>
    <x v="1"/>
    <m/>
    <x v="1"/>
    <m/>
    <x v="2"/>
  </r>
  <r>
    <n v="2778428"/>
    <d v="2020-09-05T00:00:00"/>
    <x v="33"/>
    <x v="0"/>
    <x v="14"/>
    <n v="15"/>
    <x v="1"/>
    <x v="16"/>
    <x v="0"/>
    <d v="2020-09-28T00:00:00"/>
    <x v="0"/>
    <m/>
    <x v="0"/>
  </r>
  <r>
    <n v="3997716"/>
    <d v="2020-11-01T00:00:00"/>
    <x v="90"/>
    <x v="0"/>
    <x v="14"/>
    <n v="15"/>
    <x v="1"/>
    <x v="14"/>
    <x v="0"/>
    <d v="2020-11-26T00:00:00"/>
    <x v="0"/>
    <m/>
    <x v="3"/>
  </r>
  <r>
    <n v="5791831"/>
    <d v="2020-12-23T00:00:00"/>
    <x v="91"/>
    <x v="0"/>
    <x v="4"/>
    <n v="7"/>
    <x v="1"/>
    <x v="37"/>
    <x v="0"/>
    <d v="2020-12-31T00:00:00"/>
    <x v="0"/>
    <m/>
    <x v="1"/>
  </r>
  <r>
    <n v="2590712"/>
    <d v="2020-08-20T00:00:00"/>
    <x v="11"/>
    <x v="0"/>
    <x v="6"/>
    <n v="5"/>
    <x v="0"/>
    <x v="28"/>
    <x v="0"/>
    <d v="2020-09-12T00:00:00"/>
    <x v="0"/>
    <m/>
    <x v="0"/>
  </r>
  <r>
    <n v="1190370"/>
    <d v="2020-06-27T00:00:00"/>
    <x v="92"/>
    <x v="0"/>
    <x v="36"/>
    <n v="3"/>
    <x v="0"/>
    <x v="25"/>
    <x v="0"/>
    <d v="2020-07-01T00:00:00"/>
    <x v="0"/>
    <m/>
    <x v="3"/>
  </r>
  <r>
    <n v="876331"/>
    <d v="2020-04-23T00:00:00"/>
    <x v="35"/>
    <x v="0"/>
    <x v="23"/>
    <n v="9"/>
    <x v="1"/>
    <x v="28"/>
    <x v="0"/>
    <d v="2020-05-15T00:00:00"/>
    <x v="0"/>
    <m/>
    <x v="1"/>
  </r>
  <r>
    <n v="1258391"/>
    <d v="2020-07-03T00:00:00"/>
    <x v="93"/>
    <x v="0"/>
    <x v="27"/>
    <n v="12"/>
    <x v="0"/>
    <x v="13"/>
    <x v="0"/>
    <d v="2020-07-19T00:00:00"/>
    <x v="0"/>
    <m/>
    <x v="0"/>
  </r>
  <r>
    <n v="996779"/>
    <d v="2020-05-30T00:00:00"/>
    <x v="94"/>
    <x v="0"/>
    <x v="10"/>
    <n v="2"/>
    <x v="1"/>
    <x v="22"/>
    <x v="0"/>
    <d v="2020-06-13T00:00:00"/>
    <x v="0"/>
    <m/>
    <x v="0"/>
  </r>
  <r>
    <n v="2143137"/>
    <d v="2020-08-26T00:00:00"/>
    <x v="95"/>
    <x v="1"/>
    <x v="16"/>
    <m/>
    <x v="1"/>
    <x v="20"/>
    <x v="0"/>
    <d v="2020-08-27T00:00:00"/>
    <x v="0"/>
    <m/>
    <x v="0"/>
  </r>
  <r>
    <n v="5773597"/>
    <d v="2020-12-30T00:00:00"/>
    <x v="96"/>
    <x v="1"/>
    <x v="47"/>
    <m/>
    <x v="0"/>
    <x v="7"/>
    <x v="0"/>
    <d v="2021-01-11T00:00:00"/>
    <x v="0"/>
    <m/>
    <x v="0"/>
  </r>
  <r>
    <n v="1728760"/>
    <d v="2020-08-04T00:00:00"/>
    <x v="88"/>
    <x v="1"/>
    <x v="9"/>
    <m/>
    <x v="0"/>
    <x v="4"/>
    <x v="0"/>
    <d v="2020-08-11T00:00:00"/>
    <x v="0"/>
    <m/>
    <x v="0"/>
  </r>
  <r>
    <n v="984193"/>
    <d v="2020-05-28T00:00:00"/>
    <x v="97"/>
    <x v="0"/>
    <x v="48"/>
    <n v="5"/>
    <x v="1"/>
    <x v="45"/>
    <x v="0"/>
    <d v="2020-06-06T00:00:00"/>
    <x v="0"/>
    <m/>
    <x v="1"/>
  </r>
  <r>
    <n v="4666846"/>
    <d v="2020-11-23T00:00:00"/>
    <x v="98"/>
    <x v="0"/>
    <x v="31"/>
    <n v="10"/>
    <x v="0"/>
    <x v="23"/>
    <x v="0"/>
    <d v="2020-11-23T00:00:00"/>
    <x v="0"/>
    <m/>
    <x v="0"/>
  </r>
  <r>
    <n v="1095229"/>
    <d v="2020-06-16T00:00:00"/>
    <x v="99"/>
    <x v="0"/>
    <x v="45"/>
    <n v="9"/>
    <x v="1"/>
    <x v="23"/>
    <x v="0"/>
    <d v="2020-07-14T00:00:00"/>
    <x v="0"/>
    <m/>
    <x v="0"/>
  </r>
  <r>
    <n v="1453916"/>
    <d v="2020-07-18T00:00:00"/>
    <x v="62"/>
    <x v="0"/>
    <x v="49"/>
    <n v="12"/>
    <x v="0"/>
    <x v="8"/>
    <x v="1"/>
    <m/>
    <x v="1"/>
    <m/>
    <x v="2"/>
  </r>
  <r>
    <n v="911390"/>
    <d v="2020-05-11T00:00:00"/>
    <x v="100"/>
    <x v="0"/>
    <x v="4"/>
    <n v="7"/>
    <x v="1"/>
    <x v="44"/>
    <x v="1"/>
    <m/>
    <x v="1"/>
    <m/>
    <x v="2"/>
  </r>
  <r>
    <n v="786695"/>
    <d v="2020-04-02T00:00:00"/>
    <x v="101"/>
    <x v="0"/>
    <x v="15"/>
    <n v="1"/>
    <x v="1"/>
    <x v="30"/>
    <x v="1"/>
    <m/>
    <x v="1"/>
    <m/>
    <x v="2"/>
  </r>
  <r>
    <n v="1290137"/>
    <d v="2020-07-08T00:00:00"/>
    <x v="69"/>
    <x v="0"/>
    <x v="23"/>
    <n v="9"/>
    <x v="0"/>
    <x v="34"/>
    <x v="0"/>
    <d v="2020-08-05T00:00:00"/>
    <x v="0"/>
    <m/>
    <x v="0"/>
  </r>
  <r>
    <n v="2513126"/>
    <d v="2020-09-10T00:00:00"/>
    <x v="102"/>
    <x v="1"/>
    <x v="50"/>
    <m/>
    <x v="0"/>
    <x v="38"/>
    <x v="0"/>
    <d v="2020-09-14T00:00:00"/>
    <x v="0"/>
    <m/>
    <x v="1"/>
  </r>
  <r>
    <n v="3236202"/>
    <d v="2020-10-08T00:00:00"/>
    <x v="63"/>
    <x v="1"/>
    <x v="51"/>
    <m/>
    <x v="1"/>
    <x v="9"/>
    <x v="0"/>
    <d v="2021-01-05T00:00:00"/>
    <x v="0"/>
    <m/>
    <x v="3"/>
  </r>
  <r>
    <n v="5588139"/>
    <d v="2020-12-26T00:00:00"/>
    <x v="103"/>
    <x v="0"/>
    <x v="43"/>
    <n v="11"/>
    <x v="0"/>
    <x v="30"/>
    <x v="0"/>
    <d v="2021-01-11T00:00:00"/>
    <x v="0"/>
    <m/>
    <x v="0"/>
  </r>
  <r>
    <n v="3382686"/>
    <d v="2020-10-11T00:00:00"/>
    <x v="104"/>
    <x v="0"/>
    <x v="11"/>
    <n v="14"/>
    <x v="1"/>
    <x v="27"/>
    <x v="0"/>
    <d v="2020-10-14T00:00:00"/>
    <x v="0"/>
    <m/>
    <x v="3"/>
  </r>
  <r>
    <n v="1698579"/>
    <d v="2020-08-05T00:00:00"/>
    <x v="0"/>
    <x v="0"/>
    <x v="11"/>
    <n v="14"/>
    <x v="0"/>
    <x v="5"/>
    <x v="0"/>
    <d v="2020-08-05T00:00:00"/>
    <x v="0"/>
    <m/>
    <x v="0"/>
  </r>
  <r>
    <n v="1369639"/>
    <d v="2020-07-14T00:00:00"/>
    <x v="66"/>
    <x v="1"/>
    <x v="12"/>
    <m/>
    <x v="0"/>
    <x v="46"/>
    <x v="0"/>
    <d v="2020-07-22T00:00:00"/>
    <x v="0"/>
    <m/>
    <x v="0"/>
  </r>
  <r>
    <n v="3034788"/>
    <d v="2020-10-11T00:00:00"/>
    <x v="105"/>
    <x v="0"/>
    <x v="24"/>
    <n v="4"/>
    <x v="0"/>
    <x v="38"/>
    <x v="0"/>
    <d v="2020-10-12T00:00:00"/>
    <x v="0"/>
    <m/>
    <x v="0"/>
  </r>
  <r>
    <n v="2074730"/>
    <d v="2020-08-23T00:00:00"/>
    <x v="37"/>
    <x v="0"/>
    <x v="11"/>
    <n v="14"/>
    <x v="0"/>
    <x v="22"/>
    <x v="0"/>
    <d v="2020-09-10T00:00:00"/>
    <x v="0"/>
    <m/>
    <x v="0"/>
  </r>
  <r>
    <n v="3633461"/>
    <d v="2020-10-20T00:00:00"/>
    <x v="106"/>
    <x v="1"/>
    <x v="52"/>
    <m/>
    <x v="1"/>
    <x v="25"/>
    <x v="0"/>
    <d v="2020-11-20T00:00:00"/>
    <x v="0"/>
    <m/>
    <x v="0"/>
  </r>
  <r>
    <n v="1465134"/>
    <d v="2020-07-21T00:00:00"/>
    <x v="68"/>
    <x v="1"/>
    <x v="30"/>
    <m/>
    <x v="0"/>
    <x v="20"/>
    <x v="0"/>
    <d v="2020-07-26T00:00:00"/>
    <x v="0"/>
    <m/>
    <x v="0"/>
  </r>
  <r>
    <n v="3215135"/>
    <d v="2020-10-07T00:00:00"/>
    <x v="63"/>
    <x v="0"/>
    <x v="7"/>
    <n v="6"/>
    <x v="0"/>
    <x v="15"/>
    <x v="0"/>
    <d v="2020-10-17T00:00:00"/>
    <x v="0"/>
    <m/>
    <x v="0"/>
  </r>
  <r>
    <n v="1029412"/>
    <d v="2020-06-06T00:00:00"/>
    <x v="61"/>
    <x v="0"/>
    <x v="46"/>
    <n v="4"/>
    <x v="0"/>
    <x v="6"/>
    <x v="0"/>
    <d v="2020-06-15T00:00:00"/>
    <x v="0"/>
    <m/>
    <x v="0"/>
  </r>
  <r>
    <n v="1956369"/>
    <d v="2020-08-18T00:00:00"/>
    <x v="107"/>
    <x v="0"/>
    <x v="45"/>
    <n v="9"/>
    <x v="0"/>
    <x v="14"/>
    <x v="0"/>
    <d v="2020-08-25T00:00:00"/>
    <x v="0"/>
    <m/>
    <x v="0"/>
  </r>
  <r>
    <n v="1358214"/>
    <d v="2020-07-11T00:00:00"/>
    <x v="18"/>
    <x v="0"/>
    <x v="38"/>
    <n v="13"/>
    <x v="0"/>
    <x v="22"/>
    <x v="0"/>
    <d v="2020-07-11T00:00:00"/>
    <x v="0"/>
    <m/>
    <x v="0"/>
  </r>
  <r>
    <n v="2700235"/>
    <d v="2020-09-17T00:00:00"/>
    <x v="108"/>
    <x v="1"/>
    <x v="53"/>
    <m/>
    <x v="0"/>
    <x v="46"/>
    <x v="0"/>
    <d v="2020-10-03T00:00:00"/>
    <x v="0"/>
    <m/>
    <x v="3"/>
  </r>
  <r>
    <n v="2286811"/>
    <d v="2020-09-01T00:00:00"/>
    <x v="44"/>
    <x v="1"/>
    <x v="9"/>
    <m/>
    <x v="0"/>
    <x v="16"/>
    <x v="0"/>
    <d v="2020-09-06T00:00:00"/>
    <x v="0"/>
    <m/>
    <x v="1"/>
  </r>
  <r>
    <n v="2057220"/>
    <d v="2020-08-23T00:00:00"/>
    <x v="50"/>
    <x v="0"/>
    <x v="54"/>
    <n v="10"/>
    <x v="1"/>
    <x v="4"/>
    <x v="0"/>
    <d v="2020-09-08T00:00:00"/>
    <x v="0"/>
    <m/>
    <x v="0"/>
  </r>
  <r>
    <n v="2570667"/>
    <d v="2020-09-12T00:00:00"/>
    <x v="5"/>
    <x v="0"/>
    <x v="34"/>
    <n v="13"/>
    <x v="0"/>
    <x v="30"/>
    <x v="0"/>
    <d v="2020-09-21T00:00:00"/>
    <x v="0"/>
    <m/>
    <x v="1"/>
  </r>
  <r>
    <n v="995603"/>
    <d v="2020-05-30T00:00:00"/>
    <x v="109"/>
    <x v="1"/>
    <x v="52"/>
    <m/>
    <x v="0"/>
    <x v="47"/>
    <x v="1"/>
    <m/>
    <x v="1"/>
    <m/>
    <x v="2"/>
  </r>
  <r>
    <n v="1414938"/>
    <d v="2020-07-18T00:00:00"/>
    <x v="62"/>
    <x v="1"/>
    <x v="52"/>
    <m/>
    <x v="0"/>
    <x v="11"/>
    <x v="0"/>
    <d v="2020-09-13T00:00:00"/>
    <x v="0"/>
    <m/>
    <x v="0"/>
  </r>
  <r>
    <n v="5020322"/>
    <d v="2020-12-05T00:00:00"/>
    <x v="110"/>
    <x v="0"/>
    <x v="2"/>
    <n v="3"/>
    <x v="1"/>
    <x v="14"/>
    <x v="0"/>
    <d v="2020-12-18T00:00:00"/>
    <x v="0"/>
    <m/>
    <x v="0"/>
  </r>
  <r>
    <n v="1281067"/>
    <d v="2020-07-07T00:00:00"/>
    <x v="66"/>
    <x v="1"/>
    <x v="16"/>
    <m/>
    <x v="0"/>
    <x v="48"/>
    <x v="1"/>
    <m/>
    <x v="1"/>
    <m/>
    <x v="2"/>
  </r>
  <r>
    <n v="3818501"/>
    <d v="2020-10-27T00:00:00"/>
    <x v="111"/>
    <x v="0"/>
    <x v="2"/>
    <n v="3"/>
    <x v="1"/>
    <x v="21"/>
    <x v="1"/>
    <m/>
    <x v="1"/>
    <m/>
    <x v="2"/>
  </r>
  <r>
    <n v="5151255"/>
    <d v="2020-12-22T00:00:00"/>
    <x v="112"/>
    <x v="0"/>
    <x v="32"/>
    <n v="10"/>
    <x v="1"/>
    <x v="26"/>
    <x v="0"/>
    <d v="2021-01-29T00:00:00"/>
    <x v="0"/>
    <m/>
    <x v="3"/>
  </r>
  <r>
    <n v="916084"/>
    <d v="2020-05-12T00:00:00"/>
    <x v="113"/>
    <x v="1"/>
    <x v="5"/>
    <m/>
    <x v="1"/>
    <x v="26"/>
    <x v="0"/>
    <d v="2020-05-18T00:00:00"/>
    <x v="0"/>
    <m/>
    <x v="0"/>
  </r>
  <r>
    <n v="1256705"/>
    <d v="2020-07-03T00:00:00"/>
    <x v="93"/>
    <x v="0"/>
    <x v="36"/>
    <n v="3"/>
    <x v="1"/>
    <x v="3"/>
    <x v="0"/>
    <d v="2020-08-04T00:00:00"/>
    <x v="0"/>
    <m/>
    <x v="0"/>
  </r>
  <r>
    <n v="3345584"/>
    <d v="2020-10-12T00:00:00"/>
    <x v="114"/>
    <x v="0"/>
    <x v="2"/>
    <n v="3"/>
    <x v="1"/>
    <x v="42"/>
    <x v="0"/>
    <d v="2020-11-16T00:00:00"/>
    <x v="0"/>
    <m/>
    <x v="0"/>
  </r>
  <r>
    <n v="763742"/>
    <d v="2020-03-21T00:00:00"/>
    <x v="115"/>
    <x v="1"/>
    <x v="19"/>
    <m/>
    <x v="1"/>
    <x v="29"/>
    <x v="1"/>
    <m/>
    <x v="1"/>
    <m/>
    <x v="2"/>
  </r>
  <r>
    <n v="2030105"/>
    <d v="2020-08-21T00:00:00"/>
    <x v="116"/>
    <x v="1"/>
    <x v="19"/>
    <m/>
    <x v="0"/>
    <x v="21"/>
    <x v="0"/>
    <d v="2020-09-17T00:00:00"/>
    <x v="0"/>
    <m/>
    <x v="0"/>
  </r>
  <r>
    <n v="775931"/>
    <d v="2020-03-29T00:00:00"/>
    <x v="117"/>
    <x v="1"/>
    <x v="55"/>
    <m/>
    <x v="1"/>
    <x v="25"/>
    <x v="1"/>
    <m/>
    <x v="1"/>
    <m/>
    <x v="2"/>
  </r>
  <r>
    <n v="1222038"/>
    <d v="2020-07-01T00:00:00"/>
    <x v="40"/>
    <x v="0"/>
    <x v="11"/>
    <n v="14"/>
    <x v="0"/>
    <x v="28"/>
    <x v="0"/>
    <d v="2020-07-19T00:00:00"/>
    <x v="0"/>
    <m/>
    <x v="0"/>
  </r>
  <r>
    <n v="1272902"/>
    <d v="2020-07-05T00:00:00"/>
    <x v="118"/>
    <x v="0"/>
    <x v="4"/>
    <n v="7"/>
    <x v="0"/>
    <x v="25"/>
    <x v="0"/>
    <d v="2020-07-19T00:00:00"/>
    <x v="0"/>
    <m/>
    <x v="0"/>
  </r>
  <r>
    <n v="936433"/>
    <d v="2020-05-14T00:00:00"/>
    <x v="48"/>
    <x v="0"/>
    <x v="26"/>
    <n v="11"/>
    <x v="1"/>
    <x v="49"/>
    <x v="1"/>
    <m/>
    <x v="1"/>
    <m/>
    <x v="2"/>
  </r>
  <r>
    <n v="832463"/>
    <d v="2020-04-18T00:00:00"/>
    <x v="119"/>
    <x v="0"/>
    <x v="14"/>
    <n v="15"/>
    <x v="0"/>
    <x v="14"/>
    <x v="0"/>
    <d v="2020-05-01T00:00:00"/>
    <x v="0"/>
    <m/>
    <x v="1"/>
  </r>
  <r>
    <n v="1441703"/>
    <d v="2020-07-20T00:00:00"/>
    <x v="120"/>
    <x v="0"/>
    <x v="44"/>
    <n v="10"/>
    <x v="0"/>
    <x v="23"/>
    <x v="0"/>
    <d v="2020-08-04T00:00:00"/>
    <x v="0"/>
    <m/>
    <x v="0"/>
  </r>
  <r>
    <n v="2648678"/>
    <d v="2020-09-15T00:00:00"/>
    <x v="24"/>
    <x v="2"/>
    <x v="56"/>
    <m/>
    <x v="0"/>
    <x v="50"/>
    <x v="1"/>
    <m/>
    <x v="1"/>
    <m/>
    <x v="2"/>
  </r>
  <r>
    <n v="5448673"/>
    <d v="2020-12-20T00:00:00"/>
    <x v="121"/>
    <x v="0"/>
    <x v="7"/>
    <n v="6"/>
    <x v="0"/>
    <x v="20"/>
    <x v="0"/>
    <d v="2021-02-09T00:00:00"/>
    <x v="0"/>
    <m/>
    <x v="0"/>
  </r>
  <r>
    <n v="1254154"/>
    <d v="2020-07-10T00:00:00"/>
    <x v="4"/>
    <x v="0"/>
    <x v="2"/>
    <n v="3"/>
    <x v="0"/>
    <x v="51"/>
    <x v="0"/>
    <d v="2020-08-07T00:00:00"/>
    <x v="0"/>
    <m/>
    <x v="0"/>
  </r>
  <r>
    <n v="1692007"/>
    <d v="2020-08-10T00:00:00"/>
    <x v="122"/>
    <x v="0"/>
    <x v="24"/>
    <n v="4"/>
    <x v="0"/>
    <x v="6"/>
    <x v="0"/>
    <d v="2020-08-12T00:00:00"/>
    <x v="0"/>
    <m/>
    <x v="0"/>
  </r>
  <r>
    <n v="1114736"/>
    <d v="2020-07-01T00:00:00"/>
    <x v="42"/>
    <x v="0"/>
    <x v="4"/>
    <n v="7"/>
    <x v="1"/>
    <x v="28"/>
    <x v="0"/>
    <d v="2020-07-01T00:00:00"/>
    <x v="0"/>
    <m/>
    <x v="0"/>
  </r>
  <r>
    <n v="925772"/>
    <d v="2020-05-15T00:00:00"/>
    <x v="123"/>
    <x v="0"/>
    <x v="2"/>
    <n v="3"/>
    <x v="1"/>
    <x v="17"/>
    <x v="0"/>
    <d v="2020-05-24T00:00:00"/>
    <x v="0"/>
    <m/>
    <x v="0"/>
  </r>
  <r>
    <n v="1528422"/>
    <d v="2020-07-25T00:00:00"/>
    <x v="124"/>
    <x v="0"/>
    <x v="57"/>
    <n v="1"/>
    <x v="1"/>
    <x v="38"/>
    <x v="0"/>
    <d v="2020-08-07T00:00:00"/>
    <x v="0"/>
    <m/>
    <x v="0"/>
  </r>
  <r>
    <n v="5311665"/>
    <d v="2020-12-16T00:00:00"/>
    <x v="125"/>
    <x v="0"/>
    <x v="18"/>
    <n v="15"/>
    <x v="1"/>
    <x v="1"/>
    <x v="0"/>
    <d v="2020-12-30T00:00:00"/>
    <x v="0"/>
    <m/>
    <x v="0"/>
  </r>
  <r>
    <n v="1283454"/>
    <d v="2020-07-20T00:00:00"/>
    <x v="16"/>
    <x v="1"/>
    <x v="9"/>
    <m/>
    <x v="1"/>
    <x v="24"/>
    <x v="0"/>
    <d v="2020-07-26T00:00:00"/>
    <x v="0"/>
    <m/>
    <x v="1"/>
  </r>
  <r>
    <n v="5583820"/>
    <d v="2020-12-25T00:00:00"/>
    <x v="126"/>
    <x v="0"/>
    <x v="37"/>
    <n v="1"/>
    <x v="0"/>
    <x v="27"/>
    <x v="0"/>
    <d v="2020-12-27T00:00:00"/>
    <x v="0"/>
    <m/>
    <x v="0"/>
  </r>
  <r>
    <n v="1412347"/>
    <d v="2020-07-18T00:00:00"/>
    <x v="62"/>
    <x v="0"/>
    <x v="4"/>
    <n v="7"/>
    <x v="0"/>
    <x v="37"/>
    <x v="0"/>
    <d v="2020-07-24T00:00:00"/>
    <x v="0"/>
    <m/>
    <x v="0"/>
  </r>
  <r>
    <n v="1526293"/>
    <d v="2020-07-26T00:00:00"/>
    <x v="124"/>
    <x v="0"/>
    <x v="58"/>
    <n v="15"/>
    <x v="1"/>
    <x v="47"/>
    <x v="0"/>
    <d v="2020-07-29T00:00:00"/>
    <x v="0"/>
    <m/>
    <x v="0"/>
  </r>
  <r>
    <n v="4865552"/>
    <d v="2020-11-30T00:00:00"/>
    <x v="127"/>
    <x v="1"/>
    <x v="50"/>
    <m/>
    <x v="0"/>
    <x v="52"/>
    <x v="0"/>
    <d v="2020-12-17T00:00:00"/>
    <x v="0"/>
    <m/>
    <x v="0"/>
  </r>
  <r>
    <n v="2105531"/>
    <d v="2020-09-02T00:00:00"/>
    <x v="128"/>
    <x v="0"/>
    <x v="46"/>
    <n v="4"/>
    <x v="1"/>
    <x v="10"/>
    <x v="0"/>
    <d v="2020-09-18T00:00:00"/>
    <x v="0"/>
    <m/>
    <x v="3"/>
  </r>
  <r>
    <n v="2341844"/>
    <d v="2020-09-04T00:00:00"/>
    <x v="33"/>
    <x v="0"/>
    <x v="2"/>
    <n v="3"/>
    <x v="1"/>
    <x v="14"/>
    <x v="1"/>
    <m/>
    <x v="1"/>
    <m/>
    <x v="2"/>
  </r>
  <r>
    <n v="3158996"/>
    <d v="2020-10-02T00:00:00"/>
    <x v="129"/>
    <x v="0"/>
    <x v="24"/>
    <n v="4"/>
    <x v="1"/>
    <x v="17"/>
    <x v="0"/>
    <d v="2020-10-09T00:00:00"/>
    <x v="0"/>
    <m/>
    <x v="3"/>
  </r>
  <r>
    <n v="1937989"/>
    <d v="2020-08-05T00:00:00"/>
    <x v="88"/>
    <x v="0"/>
    <x v="11"/>
    <n v="14"/>
    <x v="1"/>
    <x v="1"/>
    <x v="0"/>
    <d v="2020-08-17T00:00:00"/>
    <x v="0"/>
    <m/>
    <x v="0"/>
  </r>
  <r>
    <n v="1443470"/>
    <d v="2020-07-20T00:00:00"/>
    <x v="16"/>
    <x v="0"/>
    <x v="34"/>
    <n v="13"/>
    <x v="1"/>
    <x v="6"/>
    <x v="0"/>
    <d v="2020-07-21T00:00:00"/>
    <x v="0"/>
    <m/>
    <x v="0"/>
  </r>
  <r>
    <n v="5282415"/>
    <d v="2020-12-14T00:00:00"/>
    <x v="130"/>
    <x v="0"/>
    <x v="49"/>
    <n v="12"/>
    <x v="1"/>
    <x v="19"/>
    <x v="1"/>
    <m/>
    <x v="1"/>
    <m/>
    <x v="2"/>
  </r>
  <r>
    <n v="2121646"/>
    <d v="2020-08-25T00:00:00"/>
    <x v="131"/>
    <x v="0"/>
    <x v="2"/>
    <n v="3"/>
    <x v="1"/>
    <x v="19"/>
    <x v="0"/>
    <d v="2020-09-18T00:00:00"/>
    <x v="0"/>
    <m/>
    <x v="0"/>
  </r>
  <r>
    <n v="833970"/>
    <d v="2020-04-20T00:00:00"/>
    <x v="132"/>
    <x v="0"/>
    <x v="26"/>
    <n v="11"/>
    <x v="1"/>
    <x v="19"/>
    <x v="1"/>
    <m/>
    <x v="1"/>
    <m/>
    <x v="2"/>
  </r>
  <r>
    <n v="1377472"/>
    <d v="2020-07-09T00:00:00"/>
    <x v="4"/>
    <x v="0"/>
    <x v="34"/>
    <n v="13"/>
    <x v="0"/>
    <x v="38"/>
    <x v="1"/>
    <m/>
    <x v="1"/>
    <m/>
    <x v="2"/>
  </r>
  <r>
    <n v="1057655"/>
    <d v="2020-06-11T00:00:00"/>
    <x v="2"/>
    <x v="0"/>
    <x v="34"/>
    <n v="13"/>
    <x v="1"/>
    <x v="28"/>
    <x v="1"/>
    <m/>
    <x v="1"/>
    <m/>
    <x v="2"/>
  </r>
  <r>
    <n v="858118"/>
    <d v="2020-04-26T00:00:00"/>
    <x v="133"/>
    <x v="0"/>
    <x v="34"/>
    <n v="13"/>
    <x v="0"/>
    <x v="30"/>
    <x v="1"/>
    <m/>
    <x v="1"/>
    <m/>
    <x v="2"/>
  </r>
  <r>
    <n v="5575412"/>
    <d v="2020-12-23T00:00:00"/>
    <x v="134"/>
    <x v="1"/>
    <x v="53"/>
    <m/>
    <x v="0"/>
    <x v="27"/>
    <x v="0"/>
    <d v="2021-01-05T00:00:00"/>
    <x v="0"/>
    <m/>
    <x v="1"/>
  </r>
  <r>
    <n v="1010455"/>
    <d v="2020-06-02T00:00:00"/>
    <x v="135"/>
    <x v="0"/>
    <x v="15"/>
    <n v="1"/>
    <x v="1"/>
    <x v="53"/>
    <x v="0"/>
    <d v="2020-06-09T00:00:00"/>
    <x v="0"/>
    <m/>
    <x v="0"/>
  </r>
  <r>
    <n v="3249172"/>
    <d v="2020-10-08T00:00:00"/>
    <x v="63"/>
    <x v="0"/>
    <x v="14"/>
    <n v="15"/>
    <x v="1"/>
    <x v="27"/>
    <x v="0"/>
    <d v="2020-10-09T00:00:00"/>
    <x v="0"/>
    <m/>
    <x v="0"/>
  </r>
  <r>
    <n v="1674891"/>
    <d v="2020-08-17T00:00:00"/>
    <x v="136"/>
    <x v="0"/>
    <x v="6"/>
    <n v="5"/>
    <x v="0"/>
    <x v="54"/>
    <x v="0"/>
    <d v="2020-08-22T00:00:00"/>
    <x v="0"/>
    <m/>
    <x v="1"/>
  </r>
  <r>
    <n v="3474269"/>
    <d v="2020-10-15T00:00:00"/>
    <x v="56"/>
    <x v="1"/>
    <x v="9"/>
    <m/>
    <x v="0"/>
    <x v="15"/>
    <x v="0"/>
    <d v="2020-11-10T00:00:00"/>
    <x v="0"/>
    <m/>
    <x v="0"/>
  </r>
  <r>
    <n v="1423406"/>
    <d v="2020-07-19T00:00:00"/>
    <x v="137"/>
    <x v="0"/>
    <x v="7"/>
    <n v="6"/>
    <x v="0"/>
    <x v="4"/>
    <x v="0"/>
    <d v="2020-07-30T00:00:00"/>
    <x v="0"/>
    <m/>
    <x v="0"/>
  </r>
  <r>
    <n v="1300187"/>
    <d v="2020-07-08T00:00:00"/>
    <x v="69"/>
    <x v="0"/>
    <x v="59"/>
    <n v="11"/>
    <x v="0"/>
    <x v="4"/>
    <x v="0"/>
    <d v="2020-07-18T00:00:00"/>
    <x v="0"/>
    <m/>
    <x v="0"/>
  </r>
  <r>
    <n v="1810448"/>
    <d v="2020-08-10T00:00:00"/>
    <x v="138"/>
    <x v="0"/>
    <x v="23"/>
    <n v="9"/>
    <x v="1"/>
    <x v="29"/>
    <x v="0"/>
    <d v="2020-08-19T00:00:00"/>
    <x v="0"/>
    <m/>
    <x v="1"/>
  </r>
  <r>
    <n v="5604108"/>
    <d v="2020-12-26T00:00:00"/>
    <x v="126"/>
    <x v="0"/>
    <x v="3"/>
    <n v="13"/>
    <x v="1"/>
    <x v="1"/>
    <x v="0"/>
    <d v="2021-01-14T00:00:00"/>
    <x v="0"/>
    <m/>
    <x v="0"/>
  </r>
  <r>
    <n v="911888"/>
    <d v="2020-05-10T00:00:00"/>
    <x v="13"/>
    <x v="0"/>
    <x v="60"/>
    <n v="11"/>
    <x v="0"/>
    <x v="49"/>
    <x v="1"/>
    <m/>
    <x v="1"/>
    <m/>
    <x v="2"/>
  </r>
  <r>
    <n v="2553298"/>
    <d v="2020-09-08T00:00:00"/>
    <x v="7"/>
    <x v="1"/>
    <x v="21"/>
    <m/>
    <x v="1"/>
    <x v="22"/>
    <x v="0"/>
    <d v="2020-09-12T00:00:00"/>
    <x v="0"/>
    <m/>
    <x v="0"/>
  </r>
  <r>
    <n v="2626282"/>
    <d v="2020-09-15T00:00:00"/>
    <x v="24"/>
    <x v="1"/>
    <x v="30"/>
    <m/>
    <x v="0"/>
    <x v="46"/>
    <x v="0"/>
    <d v="2020-09-17T00:00:00"/>
    <x v="0"/>
    <m/>
    <x v="0"/>
  </r>
  <r>
    <n v="5031810"/>
    <d v="2020-12-05T00:00:00"/>
    <x v="110"/>
    <x v="0"/>
    <x v="7"/>
    <n v="6"/>
    <x v="1"/>
    <x v="4"/>
    <x v="0"/>
    <d v="2020-12-11T00:00:00"/>
    <x v="0"/>
    <m/>
    <x v="1"/>
  </r>
  <r>
    <n v="1894945"/>
    <d v="2020-08-14T00:00:00"/>
    <x v="55"/>
    <x v="1"/>
    <x v="51"/>
    <m/>
    <x v="1"/>
    <x v="21"/>
    <x v="0"/>
    <d v="2020-08-20T00:00:00"/>
    <x v="0"/>
    <m/>
    <x v="0"/>
  </r>
  <r>
    <n v="826698"/>
    <d v="2020-04-17T00:00:00"/>
    <x v="119"/>
    <x v="0"/>
    <x v="10"/>
    <n v="2"/>
    <x v="1"/>
    <x v="27"/>
    <x v="1"/>
    <m/>
    <x v="1"/>
    <m/>
    <x v="2"/>
  </r>
  <r>
    <n v="1278589"/>
    <d v="2020-07-01T00:00:00"/>
    <x v="42"/>
    <x v="1"/>
    <x v="55"/>
    <m/>
    <x v="1"/>
    <x v="44"/>
    <x v="0"/>
    <d v="2020-07-07T00:00:00"/>
    <x v="0"/>
    <m/>
    <x v="3"/>
  </r>
  <r>
    <n v="1774266"/>
    <d v="2020-08-09T00:00:00"/>
    <x v="53"/>
    <x v="0"/>
    <x v="46"/>
    <n v="4"/>
    <x v="1"/>
    <x v="38"/>
    <x v="0"/>
    <d v="2020-08-14T00:00:00"/>
    <x v="0"/>
    <m/>
    <x v="0"/>
  </r>
  <r>
    <n v="1850028"/>
    <d v="2020-08-12T00:00:00"/>
    <x v="55"/>
    <x v="0"/>
    <x v="42"/>
    <n v="4"/>
    <x v="1"/>
    <x v="55"/>
    <x v="0"/>
    <d v="2020-08-16T00:00:00"/>
    <x v="0"/>
    <m/>
    <x v="0"/>
  </r>
  <r>
    <n v="1613992"/>
    <d v="2020-07-31T00:00:00"/>
    <x v="60"/>
    <x v="0"/>
    <x v="7"/>
    <n v="6"/>
    <x v="0"/>
    <x v="15"/>
    <x v="0"/>
    <d v="2020-08-20T00:00:00"/>
    <x v="0"/>
    <m/>
    <x v="0"/>
  </r>
  <r>
    <n v="1446683"/>
    <d v="2020-07-20T00:00:00"/>
    <x v="120"/>
    <x v="0"/>
    <x v="42"/>
    <n v="4"/>
    <x v="1"/>
    <x v="56"/>
    <x v="0"/>
    <d v="2020-08-16T00:00:00"/>
    <x v="0"/>
    <m/>
    <x v="0"/>
  </r>
  <r>
    <n v="940259"/>
    <d v="2020-05-19T00:00:00"/>
    <x v="139"/>
    <x v="0"/>
    <x v="36"/>
    <n v="3"/>
    <x v="1"/>
    <x v="57"/>
    <x v="0"/>
    <d v="2020-05-27T00:00:00"/>
    <x v="0"/>
    <m/>
    <x v="0"/>
  </r>
  <r>
    <n v="1844964"/>
    <d v="2020-08-11T00:00:00"/>
    <x v="22"/>
    <x v="0"/>
    <x v="43"/>
    <n v="11"/>
    <x v="0"/>
    <x v="38"/>
    <x v="0"/>
    <d v="2020-08-17T00:00:00"/>
    <x v="0"/>
    <m/>
    <x v="0"/>
  </r>
  <r>
    <n v="2992338"/>
    <d v="2020-09-27T00:00:00"/>
    <x v="140"/>
    <x v="0"/>
    <x v="3"/>
    <n v="13"/>
    <x v="1"/>
    <x v="6"/>
    <x v="0"/>
    <d v="2020-10-07T00:00:00"/>
    <x v="0"/>
    <m/>
    <x v="0"/>
  </r>
  <r>
    <n v="1420137"/>
    <d v="2020-07-26T00:00:00"/>
    <x v="78"/>
    <x v="0"/>
    <x v="8"/>
    <n v="1"/>
    <x v="1"/>
    <x v="29"/>
    <x v="0"/>
    <d v="2020-08-13T00:00:00"/>
    <x v="0"/>
    <m/>
    <x v="0"/>
  </r>
  <r>
    <n v="3592970"/>
    <d v="2020-10-20T00:00:00"/>
    <x v="106"/>
    <x v="0"/>
    <x v="41"/>
    <n v="1"/>
    <x v="0"/>
    <x v="47"/>
    <x v="1"/>
    <m/>
    <x v="1"/>
    <m/>
    <x v="2"/>
  </r>
  <r>
    <n v="2119592"/>
    <d v="2020-08-26T00:00:00"/>
    <x v="3"/>
    <x v="1"/>
    <x v="9"/>
    <m/>
    <x v="0"/>
    <x v="13"/>
    <x v="1"/>
    <m/>
    <x v="1"/>
    <m/>
    <x v="2"/>
  </r>
  <r>
    <n v="2529705"/>
    <d v="2020-09-21T00:00:00"/>
    <x v="141"/>
    <x v="0"/>
    <x v="26"/>
    <n v="11"/>
    <x v="0"/>
    <x v="13"/>
    <x v="0"/>
    <d v="2020-10-01T00:00:00"/>
    <x v="0"/>
    <m/>
    <x v="0"/>
  </r>
  <r>
    <n v="2543581"/>
    <d v="2020-09-10T00:00:00"/>
    <x v="142"/>
    <x v="0"/>
    <x v="35"/>
    <n v="9"/>
    <x v="0"/>
    <x v="27"/>
    <x v="0"/>
    <d v="2020-09-14T00:00:00"/>
    <x v="0"/>
    <m/>
    <x v="0"/>
  </r>
  <r>
    <n v="3835242"/>
    <d v="2020-10-27T00:00:00"/>
    <x v="87"/>
    <x v="1"/>
    <x v="52"/>
    <m/>
    <x v="0"/>
    <x v="44"/>
    <x v="0"/>
    <d v="2020-11-03T00:00:00"/>
    <x v="0"/>
    <m/>
    <x v="3"/>
  </r>
  <r>
    <n v="1695354"/>
    <d v="2020-08-04T00:00:00"/>
    <x v="143"/>
    <x v="1"/>
    <x v="12"/>
    <m/>
    <x v="0"/>
    <x v="19"/>
    <x v="0"/>
    <d v="2020-08-07T00:00:00"/>
    <x v="0"/>
    <m/>
    <x v="0"/>
  </r>
  <r>
    <n v="1279161"/>
    <d v="2020-07-06T00:00:00"/>
    <x v="118"/>
    <x v="1"/>
    <x v="29"/>
    <m/>
    <x v="0"/>
    <x v="29"/>
    <x v="1"/>
    <m/>
    <x v="1"/>
    <m/>
    <x v="2"/>
  </r>
  <r>
    <n v="1120593"/>
    <d v="2020-06-20T00:00:00"/>
    <x v="144"/>
    <x v="0"/>
    <x v="4"/>
    <n v="7"/>
    <x v="1"/>
    <x v="56"/>
    <x v="0"/>
    <d v="2020-07-27T00:00:00"/>
    <x v="0"/>
    <m/>
    <x v="1"/>
  </r>
  <r>
    <n v="2223924"/>
    <d v="2020-08-30T00:00:00"/>
    <x v="80"/>
    <x v="1"/>
    <x v="12"/>
    <m/>
    <x v="1"/>
    <x v="22"/>
    <x v="0"/>
    <d v="2020-09-13T00:00:00"/>
    <x v="0"/>
    <m/>
    <x v="0"/>
  </r>
  <r>
    <n v="1220621"/>
    <d v="2020-07-01T00:00:00"/>
    <x v="42"/>
    <x v="0"/>
    <x v="45"/>
    <n v="9"/>
    <x v="0"/>
    <x v="58"/>
    <x v="0"/>
    <d v="2020-07-14T00:00:00"/>
    <x v="0"/>
    <m/>
    <x v="0"/>
  </r>
  <r>
    <n v="2477434"/>
    <d v="2020-09-26T00:00:00"/>
    <x v="145"/>
    <x v="0"/>
    <x v="4"/>
    <n v="7"/>
    <x v="1"/>
    <x v="6"/>
    <x v="1"/>
    <m/>
    <x v="1"/>
    <m/>
    <x v="2"/>
  </r>
  <r>
    <n v="1337878"/>
    <d v="2020-07-13T00:00:00"/>
    <x v="146"/>
    <x v="1"/>
    <x v="61"/>
    <m/>
    <x v="1"/>
    <x v="6"/>
    <x v="0"/>
    <d v="2020-09-28T00:00:00"/>
    <x v="0"/>
    <m/>
    <x v="0"/>
  </r>
  <r>
    <n v="2031077"/>
    <d v="2020-08-21T00:00:00"/>
    <x v="147"/>
    <x v="0"/>
    <x v="3"/>
    <n v="13"/>
    <x v="1"/>
    <x v="20"/>
    <x v="0"/>
    <d v="2020-09-15T00:00:00"/>
    <x v="0"/>
    <m/>
    <x v="1"/>
  </r>
  <r>
    <n v="2329773"/>
    <d v="2020-09-02T00:00:00"/>
    <x v="148"/>
    <x v="1"/>
    <x v="62"/>
    <m/>
    <x v="0"/>
    <x v="34"/>
    <x v="1"/>
    <m/>
    <x v="1"/>
    <m/>
    <x v="2"/>
  </r>
  <r>
    <n v="1107151"/>
    <d v="2020-07-13T00:00:00"/>
    <x v="18"/>
    <x v="0"/>
    <x v="36"/>
    <n v="3"/>
    <x v="0"/>
    <x v="10"/>
    <x v="0"/>
    <d v="2020-07-19T00:00:00"/>
    <x v="0"/>
    <m/>
    <x v="0"/>
  </r>
  <r>
    <n v="4632411"/>
    <d v="2020-11-21T00:00:00"/>
    <x v="149"/>
    <x v="0"/>
    <x v="46"/>
    <n v="4"/>
    <x v="1"/>
    <x v="16"/>
    <x v="1"/>
    <m/>
    <x v="1"/>
    <m/>
    <x v="2"/>
  </r>
  <r>
    <n v="1455968"/>
    <d v="2020-07-30T00:00:00"/>
    <x v="146"/>
    <x v="0"/>
    <x v="4"/>
    <n v="7"/>
    <x v="0"/>
    <x v="57"/>
    <x v="0"/>
    <d v="2020-08-04T00:00:00"/>
    <x v="0"/>
    <m/>
    <x v="0"/>
  </r>
  <r>
    <n v="5541292"/>
    <d v="2020-12-21T00:00:00"/>
    <x v="121"/>
    <x v="0"/>
    <x v="49"/>
    <n v="12"/>
    <x v="0"/>
    <x v="13"/>
    <x v="1"/>
    <m/>
    <x v="1"/>
    <m/>
    <x v="2"/>
  </r>
  <r>
    <n v="1714866"/>
    <d v="2020-08-05T00:00:00"/>
    <x v="0"/>
    <x v="0"/>
    <x v="7"/>
    <n v="6"/>
    <x v="1"/>
    <x v="59"/>
    <x v="0"/>
    <d v="2020-09-07T00:00:00"/>
    <x v="0"/>
    <m/>
    <x v="0"/>
  </r>
  <r>
    <n v="1970278"/>
    <d v="2020-08-19T00:00:00"/>
    <x v="32"/>
    <x v="0"/>
    <x v="41"/>
    <n v="1"/>
    <x v="1"/>
    <x v="4"/>
    <x v="0"/>
    <d v="2020-08-18T00:00:00"/>
    <x v="0"/>
    <m/>
    <x v="0"/>
  </r>
  <r>
    <n v="2750332"/>
    <d v="2020-09-18T00:00:00"/>
    <x v="150"/>
    <x v="0"/>
    <x v="35"/>
    <n v="9"/>
    <x v="0"/>
    <x v="6"/>
    <x v="1"/>
    <m/>
    <x v="1"/>
    <m/>
    <x v="2"/>
  </r>
  <r>
    <n v="935398"/>
    <d v="2020-06-11T00:00:00"/>
    <x v="151"/>
    <x v="0"/>
    <x v="38"/>
    <n v="13"/>
    <x v="0"/>
    <x v="38"/>
    <x v="0"/>
    <d v="2020-06-23T00:00:00"/>
    <x v="0"/>
    <m/>
    <x v="0"/>
  </r>
  <r>
    <n v="1910438"/>
    <d v="2020-08-15T00:00:00"/>
    <x v="55"/>
    <x v="1"/>
    <x v="9"/>
    <m/>
    <x v="1"/>
    <x v="37"/>
    <x v="0"/>
    <d v="2020-09-15T00:00:00"/>
    <x v="0"/>
    <m/>
    <x v="0"/>
  </r>
  <r>
    <n v="902945"/>
    <d v="2020-07-07T00:00:00"/>
    <x v="152"/>
    <x v="0"/>
    <x v="34"/>
    <n v="13"/>
    <x v="1"/>
    <x v="38"/>
    <x v="0"/>
    <d v="2020-07-14T00:00:00"/>
    <x v="0"/>
    <m/>
    <x v="1"/>
  </r>
  <r>
    <n v="792817"/>
    <d v="2020-07-02T00:00:00"/>
    <x v="93"/>
    <x v="0"/>
    <x v="6"/>
    <n v="5"/>
    <x v="1"/>
    <x v="3"/>
    <x v="0"/>
    <d v="2020-07-09T00:00:00"/>
    <x v="0"/>
    <m/>
    <x v="0"/>
  </r>
  <r>
    <n v="1078583"/>
    <d v="2020-06-14T00:00:00"/>
    <x v="10"/>
    <x v="0"/>
    <x v="6"/>
    <n v="5"/>
    <x v="0"/>
    <x v="22"/>
    <x v="0"/>
    <d v="2020-06-14T00:00:00"/>
    <x v="0"/>
    <m/>
    <x v="0"/>
  </r>
  <r>
    <n v="1390349"/>
    <d v="2020-07-16T00:00:00"/>
    <x v="66"/>
    <x v="0"/>
    <x v="10"/>
    <n v="2"/>
    <x v="0"/>
    <x v="53"/>
    <x v="0"/>
    <d v="2020-07-24T00:00:00"/>
    <x v="0"/>
    <m/>
    <x v="1"/>
  </r>
  <r>
    <n v="5549398"/>
    <d v="2020-12-22T00:00:00"/>
    <x v="91"/>
    <x v="1"/>
    <x v="16"/>
    <m/>
    <x v="1"/>
    <x v="13"/>
    <x v="0"/>
    <d v="2020-12-25T00:00:00"/>
    <x v="0"/>
    <m/>
    <x v="0"/>
  </r>
  <r>
    <n v="4793497"/>
    <d v="2020-11-27T00:00:00"/>
    <x v="127"/>
    <x v="0"/>
    <x v="23"/>
    <n v="9"/>
    <x v="0"/>
    <x v="29"/>
    <x v="0"/>
    <d v="2020-12-13T00:00:00"/>
    <x v="0"/>
    <m/>
    <x v="0"/>
  </r>
  <r>
    <n v="2375278"/>
    <d v="2020-09-03T00:00:00"/>
    <x v="148"/>
    <x v="0"/>
    <x v="11"/>
    <n v="14"/>
    <x v="0"/>
    <x v="47"/>
    <x v="0"/>
    <d v="2020-09-22T00:00:00"/>
    <x v="0"/>
    <m/>
    <x v="0"/>
  </r>
  <r>
    <n v="3089009"/>
    <d v="2020-10-02T00:00:00"/>
    <x v="153"/>
    <x v="1"/>
    <x v="63"/>
    <m/>
    <x v="0"/>
    <x v="27"/>
    <x v="0"/>
    <d v="2020-10-04T00:00:00"/>
    <x v="0"/>
    <m/>
    <x v="1"/>
  </r>
  <r>
    <n v="4657512"/>
    <d v="2020-11-19T00:00:00"/>
    <x v="45"/>
    <x v="0"/>
    <x v="4"/>
    <n v="7"/>
    <x v="0"/>
    <x v="10"/>
    <x v="1"/>
    <m/>
    <x v="1"/>
    <m/>
    <x v="2"/>
  </r>
  <r>
    <n v="2498709"/>
    <d v="2020-09-09T00:00:00"/>
    <x v="142"/>
    <x v="0"/>
    <x v="34"/>
    <n v="13"/>
    <x v="1"/>
    <x v="40"/>
    <x v="0"/>
    <d v="2020-10-02T00:00:00"/>
    <x v="0"/>
    <m/>
    <x v="0"/>
  </r>
  <r>
    <n v="1542745"/>
    <d v="2020-07-27T00:00:00"/>
    <x v="78"/>
    <x v="1"/>
    <x v="5"/>
    <m/>
    <x v="1"/>
    <x v="12"/>
    <x v="0"/>
    <d v="2020-07-28T00:00:00"/>
    <x v="0"/>
    <m/>
    <x v="0"/>
  </r>
  <r>
    <n v="4715799"/>
    <d v="2020-11-24T00:00:00"/>
    <x v="74"/>
    <x v="0"/>
    <x v="23"/>
    <n v="9"/>
    <x v="1"/>
    <x v="9"/>
    <x v="1"/>
    <m/>
    <x v="1"/>
    <m/>
    <x v="2"/>
  </r>
  <r>
    <n v="2736514"/>
    <d v="2020-09-19T00:00:00"/>
    <x v="71"/>
    <x v="0"/>
    <x v="11"/>
    <n v="14"/>
    <x v="1"/>
    <x v="42"/>
    <x v="0"/>
    <d v="2020-10-21T00:00:00"/>
    <x v="0"/>
    <m/>
    <x v="0"/>
  </r>
  <r>
    <n v="1682592"/>
    <d v="2020-08-04T00:00:00"/>
    <x v="88"/>
    <x v="0"/>
    <x v="14"/>
    <n v="15"/>
    <x v="0"/>
    <x v="13"/>
    <x v="0"/>
    <d v="2020-08-22T00:00:00"/>
    <x v="0"/>
    <m/>
    <x v="0"/>
  </r>
  <r>
    <n v="834362"/>
    <d v="2020-04-23T00:00:00"/>
    <x v="154"/>
    <x v="0"/>
    <x v="45"/>
    <n v="9"/>
    <x v="1"/>
    <x v="8"/>
    <x v="0"/>
    <d v="2020-04-28T00:00:00"/>
    <x v="0"/>
    <m/>
    <x v="0"/>
  </r>
  <r>
    <n v="1933129"/>
    <d v="2020-08-17T00:00:00"/>
    <x v="136"/>
    <x v="0"/>
    <x v="2"/>
    <n v="3"/>
    <x v="0"/>
    <x v="47"/>
    <x v="0"/>
    <d v="2020-08-19T00:00:00"/>
    <x v="0"/>
    <m/>
    <x v="3"/>
  </r>
  <r>
    <n v="3136269"/>
    <d v="2020-10-05T00:00:00"/>
    <x v="129"/>
    <x v="0"/>
    <x v="4"/>
    <n v="7"/>
    <x v="1"/>
    <x v="8"/>
    <x v="0"/>
    <d v="2020-10-12T00:00:00"/>
    <x v="0"/>
    <m/>
    <x v="0"/>
  </r>
  <r>
    <n v="1922608"/>
    <d v="2020-08-16T00:00:00"/>
    <x v="55"/>
    <x v="0"/>
    <x v="23"/>
    <n v="9"/>
    <x v="1"/>
    <x v="29"/>
    <x v="0"/>
    <d v="2020-08-29T00:00:00"/>
    <x v="0"/>
    <m/>
    <x v="0"/>
  </r>
  <r>
    <n v="1880999"/>
    <d v="2020-08-13T00:00:00"/>
    <x v="155"/>
    <x v="0"/>
    <x v="37"/>
    <n v="1"/>
    <x v="1"/>
    <x v="14"/>
    <x v="0"/>
    <d v="2020-08-19T00:00:00"/>
    <x v="0"/>
    <m/>
    <x v="3"/>
  </r>
  <r>
    <n v="1821244"/>
    <d v="2020-08-11T00:00:00"/>
    <x v="22"/>
    <x v="1"/>
    <x v="9"/>
    <m/>
    <x v="0"/>
    <x v="7"/>
    <x v="0"/>
    <d v="2020-08-21T00:00:00"/>
    <x v="0"/>
    <m/>
    <x v="3"/>
  </r>
  <r>
    <n v="1196727"/>
    <d v="2020-06-28T00:00:00"/>
    <x v="92"/>
    <x v="0"/>
    <x v="22"/>
    <n v="10"/>
    <x v="0"/>
    <x v="49"/>
    <x v="2"/>
    <m/>
    <x v="1"/>
    <m/>
    <x v="3"/>
  </r>
  <r>
    <n v="1902463"/>
    <d v="2020-08-14T00:00:00"/>
    <x v="156"/>
    <x v="1"/>
    <x v="29"/>
    <m/>
    <x v="1"/>
    <x v="20"/>
    <x v="0"/>
    <d v="2020-09-09T00:00:00"/>
    <x v="0"/>
    <m/>
    <x v="3"/>
  </r>
  <r>
    <n v="1251964"/>
    <d v="2020-06-13T00:00:00"/>
    <x v="157"/>
    <x v="0"/>
    <x v="2"/>
    <n v="3"/>
    <x v="1"/>
    <x v="33"/>
    <x v="1"/>
    <m/>
    <x v="1"/>
    <m/>
    <x v="2"/>
  </r>
  <r>
    <n v="1935156"/>
    <d v="2020-08-28T00:00:00"/>
    <x v="158"/>
    <x v="0"/>
    <x v="28"/>
    <n v="15"/>
    <x v="1"/>
    <x v="30"/>
    <x v="0"/>
    <d v="2020-08-31T00:00:00"/>
    <x v="0"/>
    <m/>
    <x v="0"/>
  </r>
  <r>
    <n v="2423797"/>
    <d v="2020-09-07T00:00:00"/>
    <x v="38"/>
    <x v="0"/>
    <x v="64"/>
    <n v="7"/>
    <x v="1"/>
    <x v="38"/>
    <x v="0"/>
    <d v="2020-09-10T00:00:00"/>
    <x v="0"/>
    <m/>
    <x v="3"/>
  </r>
  <r>
    <n v="2751320"/>
    <d v="2020-09-18T00:00:00"/>
    <x v="159"/>
    <x v="0"/>
    <x v="34"/>
    <n v="13"/>
    <x v="1"/>
    <x v="13"/>
    <x v="0"/>
    <d v="2020-10-05T00:00:00"/>
    <x v="0"/>
    <m/>
    <x v="0"/>
  </r>
  <r>
    <n v="1119577"/>
    <d v="2020-06-17T00:00:00"/>
    <x v="160"/>
    <x v="1"/>
    <x v="65"/>
    <m/>
    <x v="0"/>
    <x v="19"/>
    <x v="0"/>
    <d v="2020-06-27T00:00:00"/>
    <x v="0"/>
    <m/>
    <x v="0"/>
  </r>
  <r>
    <n v="2472144"/>
    <d v="2020-09-09T00:00:00"/>
    <x v="7"/>
    <x v="0"/>
    <x v="57"/>
    <n v="1"/>
    <x v="1"/>
    <x v="26"/>
    <x v="0"/>
    <d v="2020-10-02T00:00:00"/>
    <x v="0"/>
    <m/>
    <x v="0"/>
  </r>
  <r>
    <n v="1252518"/>
    <d v="2020-07-04T00:00:00"/>
    <x v="81"/>
    <x v="0"/>
    <x v="64"/>
    <n v="7"/>
    <x v="0"/>
    <x v="28"/>
    <x v="0"/>
    <d v="2020-07-05T00:00:00"/>
    <x v="0"/>
    <m/>
    <x v="0"/>
  </r>
  <r>
    <n v="2016841"/>
    <d v="2020-08-21T00:00:00"/>
    <x v="147"/>
    <x v="0"/>
    <x v="37"/>
    <n v="1"/>
    <x v="0"/>
    <x v="23"/>
    <x v="0"/>
    <d v="2020-08-24T00:00:00"/>
    <x v="0"/>
    <m/>
    <x v="0"/>
  </r>
  <r>
    <n v="1171221"/>
    <d v="2020-06-25T00:00:00"/>
    <x v="161"/>
    <x v="0"/>
    <x v="54"/>
    <n v="10"/>
    <x v="0"/>
    <x v="9"/>
    <x v="1"/>
    <m/>
    <x v="1"/>
    <m/>
    <x v="2"/>
  </r>
  <r>
    <n v="4231937"/>
    <d v="2020-11-10T00:00:00"/>
    <x v="162"/>
    <x v="0"/>
    <x v="11"/>
    <n v="14"/>
    <x v="1"/>
    <x v="1"/>
    <x v="2"/>
    <m/>
    <x v="1"/>
    <m/>
    <x v="3"/>
  </r>
  <r>
    <n v="3342348"/>
    <d v="2020-10-20T00:00:00"/>
    <x v="163"/>
    <x v="0"/>
    <x v="8"/>
    <n v="1"/>
    <x v="1"/>
    <x v="4"/>
    <x v="0"/>
    <d v="2020-10-27T00:00:00"/>
    <x v="0"/>
    <m/>
    <x v="0"/>
  </r>
  <r>
    <n v="1399313"/>
    <d v="2020-07-17T00:00:00"/>
    <x v="62"/>
    <x v="0"/>
    <x v="27"/>
    <n v="12"/>
    <x v="0"/>
    <x v="5"/>
    <x v="0"/>
    <d v="2020-07-19T00:00:00"/>
    <x v="0"/>
    <m/>
    <x v="0"/>
  </r>
  <r>
    <n v="1914073"/>
    <d v="2020-08-15T00:00:00"/>
    <x v="156"/>
    <x v="0"/>
    <x v="58"/>
    <n v="15"/>
    <x v="1"/>
    <x v="1"/>
    <x v="0"/>
    <d v="2020-09-04T00:00:00"/>
    <x v="0"/>
    <m/>
    <x v="1"/>
  </r>
  <r>
    <n v="915743"/>
    <d v="2020-08-16T00:00:00"/>
    <x v="55"/>
    <x v="1"/>
    <x v="29"/>
    <m/>
    <x v="1"/>
    <x v="33"/>
    <x v="0"/>
    <d v="2020-08-20T00:00:00"/>
    <x v="0"/>
    <m/>
    <x v="0"/>
  </r>
  <r>
    <n v="3393159"/>
    <d v="2020-10-13T00:00:00"/>
    <x v="164"/>
    <x v="1"/>
    <x v="12"/>
    <m/>
    <x v="0"/>
    <x v="19"/>
    <x v="0"/>
    <d v="2020-10-26T00:00:00"/>
    <x v="0"/>
    <m/>
    <x v="0"/>
  </r>
  <r>
    <n v="2832206"/>
    <d v="2020-10-01T00:00:00"/>
    <x v="165"/>
    <x v="0"/>
    <x v="34"/>
    <n v="13"/>
    <x v="0"/>
    <x v="14"/>
    <x v="0"/>
    <d v="2020-10-11T00:00:00"/>
    <x v="0"/>
    <m/>
    <x v="0"/>
  </r>
  <r>
    <n v="1228867"/>
    <d v="2020-07-01T00:00:00"/>
    <x v="40"/>
    <x v="1"/>
    <x v="5"/>
    <m/>
    <x v="0"/>
    <x v="59"/>
    <x v="0"/>
    <d v="2020-08-06T00:00:00"/>
    <x v="0"/>
    <m/>
    <x v="0"/>
  </r>
  <r>
    <n v="1200970"/>
    <d v="2020-06-29T00:00:00"/>
    <x v="166"/>
    <x v="0"/>
    <x v="4"/>
    <n v="7"/>
    <x v="0"/>
    <x v="14"/>
    <x v="0"/>
    <d v="2020-07-14T00:00:00"/>
    <x v="0"/>
    <m/>
    <x v="0"/>
  </r>
  <r>
    <n v="4650712"/>
    <d v="2020-12-16T00:00:00"/>
    <x v="167"/>
    <x v="1"/>
    <x v="61"/>
    <m/>
    <x v="1"/>
    <x v="19"/>
    <x v="0"/>
    <d v="2020-12-21T00:00:00"/>
    <x v="0"/>
    <m/>
    <x v="0"/>
  </r>
  <r>
    <n v="1527131"/>
    <d v="2020-08-11T00:00:00"/>
    <x v="138"/>
    <x v="0"/>
    <x v="18"/>
    <n v="15"/>
    <x v="1"/>
    <x v="8"/>
    <x v="0"/>
    <d v="2020-08-13T00:00:00"/>
    <x v="0"/>
    <m/>
    <x v="0"/>
  </r>
  <r>
    <n v="3499986"/>
    <d v="2020-10-16T00:00:00"/>
    <x v="71"/>
    <x v="1"/>
    <x v="9"/>
    <m/>
    <x v="1"/>
    <x v="15"/>
    <x v="0"/>
    <d v="2020-10-27T00:00:00"/>
    <x v="0"/>
    <m/>
    <x v="0"/>
  </r>
  <r>
    <n v="4599220"/>
    <d v="2020-11-18T00:00:00"/>
    <x v="168"/>
    <x v="0"/>
    <x v="7"/>
    <n v="6"/>
    <x v="1"/>
    <x v="21"/>
    <x v="0"/>
    <d v="2020-12-08T00:00:00"/>
    <x v="0"/>
    <m/>
    <x v="0"/>
  </r>
  <r>
    <n v="3166698"/>
    <d v="2020-10-05T00:00:00"/>
    <x v="169"/>
    <x v="0"/>
    <x v="4"/>
    <n v="7"/>
    <x v="1"/>
    <x v="39"/>
    <x v="0"/>
    <d v="2020-10-06T00:00:00"/>
    <x v="0"/>
    <m/>
    <x v="0"/>
  </r>
  <r>
    <n v="1110884"/>
    <d v="2020-06-18T00:00:00"/>
    <x v="94"/>
    <x v="0"/>
    <x v="10"/>
    <n v="2"/>
    <x v="1"/>
    <x v="22"/>
    <x v="1"/>
    <m/>
    <x v="1"/>
    <m/>
    <x v="2"/>
  </r>
  <r>
    <n v="1229862"/>
    <d v="2020-07-02T00:00:00"/>
    <x v="93"/>
    <x v="0"/>
    <x v="17"/>
    <n v="8"/>
    <x v="0"/>
    <x v="21"/>
    <x v="0"/>
    <d v="2020-07-06T00:00:00"/>
    <x v="0"/>
    <m/>
    <x v="0"/>
  </r>
  <r>
    <n v="2935010"/>
    <d v="2020-09-26T00:00:00"/>
    <x v="145"/>
    <x v="0"/>
    <x v="25"/>
    <n v="4"/>
    <x v="1"/>
    <x v="37"/>
    <x v="0"/>
    <d v="2020-10-03T00:00:00"/>
    <x v="0"/>
    <m/>
    <x v="0"/>
  </r>
  <r>
    <n v="1299916"/>
    <d v="2020-07-08T00:00:00"/>
    <x v="39"/>
    <x v="0"/>
    <x v="3"/>
    <n v="13"/>
    <x v="0"/>
    <x v="17"/>
    <x v="0"/>
    <d v="2020-07-18T00:00:00"/>
    <x v="0"/>
    <m/>
    <x v="0"/>
  </r>
  <r>
    <n v="2167657"/>
    <d v="2020-08-26T00:00:00"/>
    <x v="95"/>
    <x v="0"/>
    <x v="14"/>
    <n v="15"/>
    <x v="0"/>
    <x v="23"/>
    <x v="0"/>
    <d v="2020-08-27T00:00:00"/>
    <x v="0"/>
    <m/>
    <x v="3"/>
  </r>
  <r>
    <n v="1337973"/>
    <d v="2020-07-12T00:00:00"/>
    <x v="170"/>
    <x v="0"/>
    <x v="58"/>
    <n v="15"/>
    <x v="1"/>
    <x v="38"/>
    <x v="0"/>
    <d v="2020-07-20T00:00:00"/>
    <x v="0"/>
    <m/>
    <x v="0"/>
  </r>
  <r>
    <n v="2542430"/>
    <d v="2020-09-10T00:00:00"/>
    <x v="142"/>
    <x v="1"/>
    <x v="20"/>
    <m/>
    <x v="0"/>
    <x v="15"/>
    <x v="0"/>
    <d v="2020-09-28T00:00:00"/>
    <x v="0"/>
    <m/>
    <x v="0"/>
  </r>
  <r>
    <n v="2850283"/>
    <d v="2020-09-23T00:00:00"/>
    <x v="171"/>
    <x v="0"/>
    <x v="15"/>
    <n v="1"/>
    <x v="0"/>
    <x v="60"/>
    <x v="0"/>
    <d v="2020-09-25T00:00:00"/>
    <x v="0"/>
    <m/>
    <x v="0"/>
  </r>
  <r>
    <n v="2576927"/>
    <d v="2020-09-13T00:00:00"/>
    <x v="172"/>
    <x v="0"/>
    <x v="35"/>
    <n v="9"/>
    <x v="1"/>
    <x v="37"/>
    <x v="1"/>
    <m/>
    <x v="1"/>
    <m/>
    <x v="2"/>
  </r>
  <r>
    <n v="1171405"/>
    <d v="2020-06-24T00:00:00"/>
    <x v="161"/>
    <x v="0"/>
    <x v="49"/>
    <n v="12"/>
    <x v="0"/>
    <x v="34"/>
    <x v="0"/>
    <d v="2020-07-04T00:00:00"/>
    <x v="0"/>
    <m/>
    <x v="0"/>
  </r>
  <r>
    <n v="1476838"/>
    <d v="2020-07-22T00:00:00"/>
    <x v="138"/>
    <x v="0"/>
    <x v="4"/>
    <n v="7"/>
    <x v="1"/>
    <x v="19"/>
    <x v="0"/>
    <d v="2020-08-10T00:00:00"/>
    <x v="0"/>
    <m/>
    <x v="0"/>
  </r>
  <r>
    <n v="1099743"/>
    <d v="2020-06-17T00:00:00"/>
    <x v="30"/>
    <x v="0"/>
    <x v="58"/>
    <n v="15"/>
    <x v="0"/>
    <x v="58"/>
    <x v="0"/>
    <d v="2020-06-23T00:00:00"/>
    <x v="0"/>
    <m/>
    <x v="1"/>
  </r>
  <r>
    <n v="1900816"/>
    <d v="2020-08-15T00:00:00"/>
    <x v="55"/>
    <x v="0"/>
    <x v="11"/>
    <n v="14"/>
    <x v="1"/>
    <x v="23"/>
    <x v="0"/>
    <d v="2020-08-28T00:00:00"/>
    <x v="0"/>
    <m/>
    <x v="0"/>
  </r>
  <r>
    <n v="1280664"/>
    <d v="2020-07-07T00:00:00"/>
    <x v="152"/>
    <x v="0"/>
    <x v="10"/>
    <n v="2"/>
    <x v="1"/>
    <x v="0"/>
    <x v="0"/>
    <d v="2020-08-09T00:00:00"/>
    <x v="0"/>
    <m/>
    <x v="3"/>
  </r>
  <r>
    <n v="1263420"/>
    <d v="2020-07-05T00:00:00"/>
    <x v="118"/>
    <x v="0"/>
    <x v="45"/>
    <n v="9"/>
    <x v="1"/>
    <x v="56"/>
    <x v="0"/>
    <d v="2020-08-03T00:00:00"/>
    <x v="0"/>
    <m/>
    <x v="1"/>
  </r>
  <r>
    <n v="1100765"/>
    <d v="2020-06-17T00:00:00"/>
    <x v="173"/>
    <x v="0"/>
    <x v="48"/>
    <n v="5"/>
    <x v="1"/>
    <x v="25"/>
    <x v="0"/>
    <d v="2020-07-10T00:00:00"/>
    <x v="0"/>
    <m/>
    <x v="0"/>
  </r>
  <r>
    <n v="1587634"/>
    <d v="2020-07-29T00:00:00"/>
    <x v="146"/>
    <x v="0"/>
    <x v="34"/>
    <n v="13"/>
    <x v="1"/>
    <x v="19"/>
    <x v="1"/>
    <m/>
    <x v="1"/>
    <m/>
    <x v="2"/>
  </r>
  <r>
    <n v="4136965"/>
    <d v="2020-11-04T00:00:00"/>
    <x v="174"/>
    <x v="0"/>
    <x v="25"/>
    <n v="4"/>
    <x v="0"/>
    <x v="19"/>
    <x v="0"/>
    <d v="2020-11-12T00:00:00"/>
    <x v="0"/>
    <m/>
    <x v="0"/>
  </r>
  <r>
    <n v="1185745"/>
    <d v="2020-06-26T00:00:00"/>
    <x v="92"/>
    <x v="0"/>
    <x v="35"/>
    <n v="9"/>
    <x v="1"/>
    <x v="12"/>
    <x v="0"/>
    <d v="2020-08-02T00:00:00"/>
    <x v="0"/>
    <m/>
    <x v="3"/>
  </r>
  <r>
    <n v="4536780"/>
    <d v="2020-11-15T00:00:00"/>
    <x v="175"/>
    <x v="0"/>
    <x v="26"/>
    <n v="11"/>
    <x v="0"/>
    <x v="38"/>
    <x v="0"/>
    <d v="2020-11-28T00:00:00"/>
    <x v="0"/>
    <m/>
    <x v="0"/>
  </r>
  <r>
    <n v="1349060"/>
    <d v="2020-07-13T00:00:00"/>
    <x v="170"/>
    <x v="0"/>
    <x v="34"/>
    <n v="13"/>
    <x v="0"/>
    <x v="14"/>
    <x v="0"/>
    <d v="2020-07-21T00:00:00"/>
    <x v="0"/>
    <m/>
    <x v="0"/>
  </r>
  <r>
    <n v="1286284"/>
    <d v="2020-07-07T00:00:00"/>
    <x v="69"/>
    <x v="0"/>
    <x v="44"/>
    <n v="10"/>
    <x v="0"/>
    <x v="53"/>
    <x v="0"/>
    <d v="2020-07-11T00:00:00"/>
    <x v="0"/>
    <m/>
    <x v="0"/>
  </r>
  <r>
    <n v="2225008"/>
    <d v="2020-08-29T00:00:00"/>
    <x v="176"/>
    <x v="0"/>
    <x v="49"/>
    <n v="12"/>
    <x v="0"/>
    <x v="27"/>
    <x v="1"/>
    <m/>
    <x v="1"/>
    <m/>
    <x v="2"/>
  </r>
  <r>
    <n v="1814385"/>
    <d v="2020-08-11T00:00:00"/>
    <x v="22"/>
    <x v="0"/>
    <x v="34"/>
    <n v="13"/>
    <x v="1"/>
    <x v="36"/>
    <x v="1"/>
    <m/>
    <x v="1"/>
    <m/>
    <x v="2"/>
  </r>
  <r>
    <n v="1061727"/>
    <d v="2020-06-19T00:00:00"/>
    <x v="144"/>
    <x v="1"/>
    <x v="21"/>
    <m/>
    <x v="0"/>
    <x v="16"/>
    <x v="0"/>
    <d v="2020-07-14T00:00:00"/>
    <x v="0"/>
    <m/>
    <x v="3"/>
  </r>
  <r>
    <n v="2224785"/>
    <d v="2020-08-28T00:00:00"/>
    <x v="176"/>
    <x v="0"/>
    <x v="49"/>
    <n v="12"/>
    <x v="0"/>
    <x v="44"/>
    <x v="1"/>
    <m/>
    <x v="1"/>
    <m/>
    <x v="2"/>
  </r>
  <r>
    <n v="1385645"/>
    <d v="2020-07-29T00:00:00"/>
    <x v="60"/>
    <x v="0"/>
    <x v="2"/>
    <n v="3"/>
    <x v="0"/>
    <x v="61"/>
    <x v="0"/>
    <d v="2020-08-15T00:00:00"/>
    <x v="0"/>
    <m/>
    <x v="0"/>
  </r>
  <r>
    <n v="1067999"/>
    <d v="2020-06-12T00:00:00"/>
    <x v="151"/>
    <x v="0"/>
    <x v="26"/>
    <n v="11"/>
    <x v="1"/>
    <x v="23"/>
    <x v="0"/>
    <d v="2020-06-18T00:00:00"/>
    <x v="0"/>
    <m/>
    <x v="0"/>
  </r>
  <r>
    <n v="2482164"/>
    <d v="2020-09-09T00:00:00"/>
    <x v="7"/>
    <x v="1"/>
    <x v="16"/>
    <m/>
    <x v="0"/>
    <x v="13"/>
    <x v="0"/>
    <d v="2020-10-02T00:00:00"/>
    <x v="0"/>
    <m/>
    <x v="0"/>
  </r>
  <r>
    <n v="2227655"/>
    <d v="2020-08-30T00:00:00"/>
    <x v="58"/>
    <x v="0"/>
    <x v="7"/>
    <n v="6"/>
    <x v="0"/>
    <x v="15"/>
    <x v="0"/>
    <d v="2020-09-01T00:00:00"/>
    <x v="0"/>
    <m/>
    <x v="0"/>
  </r>
  <r>
    <n v="986272"/>
    <d v="2020-05-28T00:00:00"/>
    <x v="177"/>
    <x v="0"/>
    <x v="48"/>
    <n v="5"/>
    <x v="0"/>
    <x v="9"/>
    <x v="0"/>
    <d v="2020-06-05T00:00:00"/>
    <x v="0"/>
    <m/>
    <x v="0"/>
  </r>
  <r>
    <n v="1955181"/>
    <d v="2020-08-18T00:00:00"/>
    <x v="107"/>
    <x v="0"/>
    <x v="31"/>
    <n v="10"/>
    <x v="0"/>
    <x v="40"/>
    <x v="0"/>
    <d v="2020-09-09T00:00:00"/>
    <x v="0"/>
    <m/>
    <x v="0"/>
  </r>
  <r>
    <n v="1233184"/>
    <d v="2020-07-01T00:00:00"/>
    <x v="40"/>
    <x v="1"/>
    <x v="20"/>
    <m/>
    <x v="1"/>
    <x v="27"/>
    <x v="0"/>
    <d v="2020-07-30T00:00:00"/>
    <x v="0"/>
    <m/>
    <x v="0"/>
  </r>
  <r>
    <n v="1779519"/>
    <d v="2020-07-31T00:00:00"/>
    <x v="60"/>
    <x v="0"/>
    <x v="46"/>
    <n v="4"/>
    <x v="1"/>
    <x v="15"/>
    <x v="0"/>
    <d v="2020-08-10T00:00:00"/>
    <x v="0"/>
    <m/>
    <x v="3"/>
  </r>
  <r>
    <n v="2804365"/>
    <d v="2020-09-22T00:00:00"/>
    <x v="49"/>
    <x v="0"/>
    <x v="10"/>
    <n v="2"/>
    <x v="0"/>
    <x v="62"/>
    <x v="0"/>
    <d v="2020-10-03T00:00:00"/>
    <x v="0"/>
    <m/>
    <x v="0"/>
  </r>
  <r>
    <n v="5323743"/>
    <d v="2020-12-16T00:00:00"/>
    <x v="167"/>
    <x v="0"/>
    <x v="2"/>
    <n v="3"/>
    <x v="0"/>
    <x v="14"/>
    <x v="0"/>
    <d v="2021-01-02T00:00:00"/>
    <x v="0"/>
    <m/>
    <x v="0"/>
  </r>
  <r>
    <n v="1108613"/>
    <d v="2020-06-18T00:00:00"/>
    <x v="94"/>
    <x v="0"/>
    <x v="11"/>
    <n v="14"/>
    <x v="1"/>
    <x v="16"/>
    <x v="0"/>
    <d v="2020-07-12T00:00:00"/>
    <x v="0"/>
    <m/>
    <x v="0"/>
  </r>
  <r>
    <n v="901202"/>
    <d v="2020-05-05T00:00:00"/>
    <x v="178"/>
    <x v="0"/>
    <x v="23"/>
    <n v="9"/>
    <x v="1"/>
    <x v="14"/>
    <x v="0"/>
    <d v="2020-05-26T00:00:00"/>
    <x v="0"/>
    <m/>
    <x v="0"/>
  </r>
  <r>
    <n v="1034280"/>
    <d v="2020-06-07T00:00:00"/>
    <x v="179"/>
    <x v="0"/>
    <x v="0"/>
    <n v="15"/>
    <x v="0"/>
    <x v="6"/>
    <x v="0"/>
    <d v="2020-06-24T00:00:00"/>
    <x v="0"/>
    <m/>
    <x v="0"/>
  </r>
  <r>
    <n v="2333209"/>
    <d v="2020-09-03T00:00:00"/>
    <x v="128"/>
    <x v="1"/>
    <x v="20"/>
    <m/>
    <x v="1"/>
    <x v="13"/>
    <x v="0"/>
    <d v="2020-09-03T00:00:00"/>
    <x v="0"/>
    <m/>
    <x v="1"/>
  </r>
  <r>
    <n v="2154067"/>
    <d v="2020-08-27T00:00:00"/>
    <x v="3"/>
    <x v="0"/>
    <x v="36"/>
    <n v="3"/>
    <x v="1"/>
    <x v="0"/>
    <x v="0"/>
    <d v="2020-09-19T00:00:00"/>
    <x v="0"/>
    <m/>
    <x v="1"/>
  </r>
  <r>
    <n v="2231761"/>
    <d v="2020-09-01T00:00:00"/>
    <x v="44"/>
    <x v="0"/>
    <x v="3"/>
    <n v="13"/>
    <x v="1"/>
    <x v="44"/>
    <x v="0"/>
    <d v="2020-09-05T00:00:00"/>
    <x v="0"/>
    <m/>
    <x v="0"/>
  </r>
  <r>
    <n v="1230760"/>
    <d v="2020-07-01T00:00:00"/>
    <x v="66"/>
    <x v="0"/>
    <x v="45"/>
    <n v="9"/>
    <x v="1"/>
    <x v="56"/>
    <x v="0"/>
    <d v="2020-07-21T00:00:00"/>
    <x v="0"/>
    <m/>
    <x v="0"/>
  </r>
  <r>
    <n v="1398005"/>
    <d v="2020-08-22T00:00:00"/>
    <x v="37"/>
    <x v="1"/>
    <x v="50"/>
    <m/>
    <x v="1"/>
    <x v="23"/>
    <x v="0"/>
    <d v="2020-08-23T00:00:00"/>
    <x v="0"/>
    <m/>
    <x v="1"/>
  </r>
  <r>
    <n v="973509"/>
    <d v="2020-05-27T00:00:00"/>
    <x v="180"/>
    <x v="1"/>
    <x v="29"/>
    <m/>
    <x v="1"/>
    <x v="59"/>
    <x v="1"/>
    <m/>
    <x v="1"/>
    <m/>
    <x v="2"/>
  </r>
  <r>
    <n v="2047362"/>
    <d v="2020-08-22T00:00:00"/>
    <x v="116"/>
    <x v="0"/>
    <x v="6"/>
    <n v="5"/>
    <x v="1"/>
    <x v="15"/>
    <x v="0"/>
    <d v="2020-09-03T00:00:00"/>
    <x v="0"/>
    <m/>
    <x v="0"/>
  </r>
  <r>
    <n v="3280126"/>
    <d v="2020-10-09T00:00:00"/>
    <x v="181"/>
    <x v="0"/>
    <x v="39"/>
    <n v="12"/>
    <x v="0"/>
    <x v="15"/>
    <x v="0"/>
    <d v="2020-10-08T00:00:00"/>
    <x v="0"/>
    <m/>
    <x v="0"/>
  </r>
  <r>
    <n v="803336"/>
    <d v="2020-04-09T00:00:00"/>
    <x v="182"/>
    <x v="0"/>
    <x v="35"/>
    <n v="9"/>
    <x v="0"/>
    <x v="26"/>
    <x v="1"/>
    <m/>
    <x v="1"/>
    <m/>
    <x v="2"/>
  </r>
  <r>
    <n v="4121135"/>
    <d v="2020-11-04T00:00:00"/>
    <x v="174"/>
    <x v="0"/>
    <x v="45"/>
    <n v="9"/>
    <x v="1"/>
    <x v="13"/>
    <x v="0"/>
    <d v="2020-11-16T00:00:00"/>
    <x v="0"/>
    <m/>
    <x v="0"/>
  </r>
  <r>
    <n v="2249478"/>
    <d v="2020-09-01T00:00:00"/>
    <x v="58"/>
    <x v="1"/>
    <x v="21"/>
    <m/>
    <x v="0"/>
    <x v="6"/>
    <x v="0"/>
    <d v="2020-09-11T00:00:00"/>
    <x v="0"/>
    <m/>
    <x v="0"/>
  </r>
  <r>
    <n v="4084693"/>
    <d v="2020-11-11T00:00:00"/>
    <x v="183"/>
    <x v="0"/>
    <x v="10"/>
    <n v="2"/>
    <x v="0"/>
    <x v="6"/>
    <x v="0"/>
    <d v="2020-11-22T00:00:00"/>
    <x v="0"/>
    <m/>
    <x v="0"/>
  </r>
  <r>
    <n v="1887640"/>
    <d v="2020-08-22T00:00:00"/>
    <x v="116"/>
    <x v="0"/>
    <x v="60"/>
    <n v="11"/>
    <x v="0"/>
    <x v="4"/>
    <x v="0"/>
    <d v="2020-08-26T00:00:00"/>
    <x v="0"/>
    <m/>
    <x v="1"/>
  </r>
  <r>
    <n v="1099447"/>
    <d v="2020-06-18T00:00:00"/>
    <x v="160"/>
    <x v="0"/>
    <x v="37"/>
    <n v="1"/>
    <x v="1"/>
    <x v="39"/>
    <x v="0"/>
    <d v="2020-06-27T00:00:00"/>
    <x v="0"/>
    <m/>
    <x v="3"/>
  </r>
  <r>
    <n v="1423315"/>
    <d v="2020-07-19T00:00:00"/>
    <x v="137"/>
    <x v="1"/>
    <x v="53"/>
    <m/>
    <x v="1"/>
    <x v="0"/>
    <x v="0"/>
    <d v="2020-07-22T00:00:00"/>
    <x v="0"/>
    <m/>
    <x v="0"/>
  </r>
  <r>
    <n v="5069751"/>
    <d v="2020-12-07T00:00:00"/>
    <x v="184"/>
    <x v="0"/>
    <x v="14"/>
    <n v="15"/>
    <x v="0"/>
    <x v="37"/>
    <x v="0"/>
    <d v="2020-12-30T00:00:00"/>
    <x v="0"/>
    <m/>
    <x v="3"/>
  </r>
  <r>
    <n v="2231152"/>
    <d v="2020-08-26T00:00:00"/>
    <x v="3"/>
    <x v="1"/>
    <x v="30"/>
    <m/>
    <x v="0"/>
    <x v="9"/>
    <x v="0"/>
    <d v="2020-09-25T00:00:00"/>
    <x v="0"/>
    <m/>
    <x v="0"/>
  </r>
  <r>
    <n v="831338"/>
    <d v="2020-04-17T00:00:00"/>
    <x v="185"/>
    <x v="0"/>
    <x v="14"/>
    <n v="15"/>
    <x v="1"/>
    <x v="4"/>
    <x v="0"/>
    <d v="2020-04-27T00:00:00"/>
    <x v="0"/>
    <m/>
    <x v="0"/>
  </r>
  <r>
    <n v="2735511"/>
    <d v="2020-09-18T00:00:00"/>
    <x v="159"/>
    <x v="1"/>
    <x v="51"/>
    <m/>
    <x v="0"/>
    <x v="63"/>
    <x v="0"/>
    <d v="2020-10-02T00:00:00"/>
    <x v="0"/>
    <m/>
    <x v="0"/>
  </r>
  <r>
    <n v="1211889"/>
    <d v="2020-06-30T00:00:00"/>
    <x v="42"/>
    <x v="0"/>
    <x v="41"/>
    <n v="1"/>
    <x v="0"/>
    <x v="37"/>
    <x v="0"/>
    <d v="2020-07-26T00:00:00"/>
    <x v="0"/>
    <m/>
    <x v="0"/>
  </r>
  <r>
    <n v="821109"/>
    <d v="2020-04-15T00:00:00"/>
    <x v="119"/>
    <x v="0"/>
    <x v="6"/>
    <n v="5"/>
    <x v="1"/>
    <x v="15"/>
    <x v="1"/>
    <m/>
    <x v="1"/>
    <m/>
    <x v="2"/>
  </r>
  <r>
    <n v="864956"/>
    <d v="2021-05-03T00:00:00"/>
    <x v="186"/>
    <x v="0"/>
    <x v="44"/>
    <n v="10"/>
    <x v="1"/>
    <x v="64"/>
    <x v="0"/>
    <d v="2021-05-15T00:00:00"/>
    <x v="0"/>
    <m/>
    <x v="0"/>
  </r>
  <r>
    <n v="1258455"/>
    <d v="2020-07-04T00:00:00"/>
    <x v="187"/>
    <x v="0"/>
    <x v="35"/>
    <n v="9"/>
    <x v="0"/>
    <x v="49"/>
    <x v="0"/>
    <d v="2020-07-21T00:00:00"/>
    <x v="0"/>
    <m/>
    <x v="0"/>
  </r>
  <r>
    <n v="917726"/>
    <d v="2020-05-14T00:00:00"/>
    <x v="188"/>
    <x v="0"/>
    <x v="34"/>
    <n v="13"/>
    <x v="1"/>
    <x v="20"/>
    <x v="0"/>
    <d v="2020-08-03T00:00:00"/>
    <x v="0"/>
    <m/>
    <x v="0"/>
  </r>
  <r>
    <n v="1943179"/>
    <d v="2020-08-17T00:00:00"/>
    <x v="107"/>
    <x v="0"/>
    <x v="2"/>
    <n v="3"/>
    <x v="1"/>
    <x v="25"/>
    <x v="0"/>
    <d v="2020-08-27T00:00:00"/>
    <x v="0"/>
    <m/>
    <x v="3"/>
  </r>
  <r>
    <n v="1940381"/>
    <d v="2020-08-18T00:00:00"/>
    <x v="32"/>
    <x v="0"/>
    <x v="49"/>
    <n v="12"/>
    <x v="1"/>
    <x v="21"/>
    <x v="0"/>
    <d v="2020-08-20T00:00:00"/>
    <x v="0"/>
    <m/>
    <x v="0"/>
  </r>
  <r>
    <n v="1323107"/>
    <d v="2020-07-11T00:00:00"/>
    <x v="9"/>
    <x v="0"/>
    <x v="2"/>
    <n v="3"/>
    <x v="1"/>
    <x v="30"/>
    <x v="1"/>
    <m/>
    <x v="1"/>
    <m/>
    <x v="2"/>
  </r>
  <r>
    <n v="2010014"/>
    <d v="2020-08-20T00:00:00"/>
    <x v="11"/>
    <x v="0"/>
    <x v="6"/>
    <n v="5"/>
    <x v="1"/>
    <x v="38"/>
    <x v="0"/>
    <d v="2020-09-11T00:00:00"/>
    <x v="0"/>
    <m/>
    <x v="0"/>
  </r>
  <r>
    <n v="2740644"/>
    <d v="2020-09-16T00:00:00"/>
    <x v="150"/>
    <x v="0"/>
    <x v="41"/>
    <n v="1"/>
    <x v="1"/>
    <x v="22"/>
    <x v="0"/>
    <d v="2020-09-27T00:00:00"/>
    <x v="0"/>
    <m/>
    <x v="1"/>
  </r>
  <r>
    <n v="2702931"/>
    <d v="2020-09-28T00:00:00"/>
    <x v="46"/>
    <x v="0"/>
    <x v="39"/>
    <n v="12"/>
    <x v="0"/>
    <x v="65"/>
    <x v="0"/>
    <d v="2020-10-14T00:00:00"/>
    <x v="0"/>
    <m/>
    <x v="1"/>
  </r>
  <r>
    <n v="1348412"/>
    <d v="2020-08-04T00:00:00"/>
    <x v="88"/>
    <x v="0"/>
    <x v="23"/>
    <n v="9"/>
    <x v="0"/>
    <x v="27"/>
    <x v="0"/>
    <d v="2020-08-15T00:00:00"/>
    <x v="0"/>
    <m/>
    <x v="0"/>
  </r>
  <r>
    <n v="1467668"/>
    <d v="2020-07-19T00:00:00"/>
    <x v="120"/>
    <x v="0"/>
    <x v="10"/>
    <n v="2"/>
    <x v="1"/>
    <x v="66"/>
    <x v="0"/>
    <d v="2020-07-29T00:00:00"/>
    <x v="0"/>
    <m/>
    <x v="0"/>
  </r>
  <r>
    <n v="1238397"/>
    <d v="2020-07-02T00:00:00"/>
    <x v="93"/>
    <x v="1"/>
    <x v="5"/>
    <m/>
    <x v="1"/>
    <x v="65"/>
    <x v="0"/>
    <d v="2020-07-22T00:00:00"/>
    <x v="0"/>
    <m/>
    <x v="1"/>
  </r>
  <r>
    <n v="1736040"/>
    <d v="2020-08-07T00:00:00"/>
    <x v="53"/>
    <x v="1"/>
    <x v="55"/>
    <m/>
    <x v="0"/>
    <x v="67"/>
    <x v="0"/>
    <d v="2020-09-02T00:00:00"/>
    <x v="0"/>
    <m/>
    <x v="1"/>
  </r>
  <r>
    <n v="1104139"/>
    <d v="2020-06-18T00:00:00"/>
    <x v="94"/>
    <x v="0"/>
    <x v="3"/>
    <n v="13"/>
    <x v="1"/>
    <x v="27"/>
    <x v="0"/>
    <d v="2020-07-01T00:00:00"/>
    <x v="0"/>
    <m/>
    <x v="1"/>
  </r>
  <r>
    <n v="2884036"/>
    <d v="2020-09-24T00:00:00"/>
    <x v="164"/>
    <x v="1"/>
    <x v="29"/>
    <m/>
    <x v="1"/>
    <x v="33"/>
    <x v="0"/>
    <d v="2020-10-25T00:00:00"/>
    <x v="0"/>
    <m/>
    <x v="0"/>
  </r>
  <r>
    <n v="4796097"/>
    <d v="2020-11-28T00:00:00"/>
    <x v="189"/>
    <x v="0"/>
    <x v="6"/>
    <n v="5"/>
    <x v="0"/>
    <x v="1"/>
    <x v="0"/>
    <d v="2020-12-27T00:00:00"/>
    <x v="0"/>
    <m/>
    <x v="0"/>
  </r>
  <r>
    <n v="1774272"/>
    <d v="2020-08-09T00:00:00"/>
    <x v="53"/>
    <x v="0"/>
    <x v="42"/>
    <n v="4"/>
    <x v="0"/>
    <x v="49"/>
    <x v="1"/>
    <m/>
    <x v="1"/>
    <m/>
    <x v="2"/>
  </r>
  <r>
    <n v="3699491"/>
    <d v="2020-10-23T00:00:00"/>
    <x v="190"/>
    <x v="0"/>
    <x v="39"/>
    <n v="12"/>
    <x v="0"/>
    <x v="38"/>
    <x v="0"/>
    <d v="2020-11-22T00:00:00"/>
    <x v="0"/>
    <m/>
    <x v="0"/>
  </r>
  <r>
    <n v="2145828"/>
    <d v="2020-09-09T00:00:00"/>
    <x v="7"/>
    <x v="0"/>
    <x v="27"/>
    <n v="12"/>
    <x v="1"/>
    <x v="56"/>
    <x v="0"/>
    <d v="2020-09-15T00:00:00"/>
    <x v="0"/>
    <m/>
    <x v="0"/>
  </r>
  <r>
    <n v="1156273"/>
    <d v="2020-06-23T00:00:00"/>
    <x v="67"/>
    <x v="0"/>
    <x v="11"/>
    <n v="14"/>
    <x v="1"/>
    <x v="1"/>
    <x v="0"/>
    <d v="2020-08-26T00:00:00"/>
    <x v="0"/>
    <m/>
    <x v="0"/>
  </r>
  <r>
    <n v="1192434"/>
    <d v="2020-06-28T00:00:00"/>
    <x v="92"/>
    <x v="0"/>
    <x v="11"/>
    <n v="14"/>
    <x v="0"/>
    <x v="7"/>
    <x v="0"/>
    <d v="2020-06-29T00:00:00"/>
    <x v="0"/>
    <m/>
    <x v="3"/>
  </r>
  <r>
    <n v="1349609"/>
    <d v="2020-07-13T00:00:00"/>
    <x v="67"/>
    <x v="0"/>
    <x v="18"/>
    <n v="15"/>
    <x v="0"/>
    <x v="9"/>
    <x v="1"/>
    <m/>
    <x v="1"/>
    <m/>
    <x v="2"/>
  </r>
  <r>
    <n v="1509687"/>
    <d v="2020-07-25T00:00:00"/>
    <x v="191"/>
    <x v="0"/>
    <x v="11"/>
    <n v="14"/>
    <x v="0"/>
    <x v="61"/>
    <x v="0"/>
    <d v="2020-08-05T00:00:00"/>
    <x v="0"/>
    <m/>
    <x v="4"/>
  </r>
  <r>
    <n v="1098273"/>
    <d v="2020-06-15T00:00:00"/>
    <x v="30"/>
    <x v="1"/>
    <x v="50"/>
    <m/>
    <x v="1"/>
    <x v="12"/>
    <x v="1"/>
    <m/>
    <x v="1"/>
    <m/>
    <x v="2"/>
  </r>
  <r>
    <n v="1158428"/>
    <d v="2020-06-24T00:00:00"/>
    <x v="34"/>
    <x v="0"/>
    <x v="39"/>
    <n v="12"/>
    <x v="0"/>
    <x v="42"/>
    <x v="0"/>
    <d v="2020-07-07T00:00:00"/>
    <x v="0"/>
    <m/>
    <x v="0"/>
  </r>
  <r>
    <n v="1478692"/>
    <d v="2020-07-23T00:00:00"/>
    <x v="54"/>
    <x v="0"/>
    <x v="44"/>
    <n v="10"/>
    <x v="0"/>
    <x v="10"/>
    <x v="0"/>
    <d v="2020-07-28T00:00:00"/>
    <x v="0"/>
    <m/>
    <x v="0"/>
  </r>
  <r>
    <n v="2113972"/>
    <d v="2020-08-28T00:00:00"/>
    <x v="176"/>
    <x v="0"/>
    <x v="11"/>
    <n v="14"/>
    <x v="1"/>
    <x v="61"/>
    <x v="0"/>
    <d v="2020-09-13T00:00:00"/>
    <x v="0"/>
    <m/>
    <x v="0"/>
  </r>
  <r>
    <n v="2928467"/>
    <d v="2020-09-24T00:00:00"/>
    <x v="192"/>
    <x v="0"/>
    <x v="17"/>
    <n v="8"/>
    <x v="1"/>
    <x v="13"/>
    <x v="0"/>
    <d v="2020-09-24T00:00:00"/>
    <x v="0"/>
    <m/>
    <x v="0"/>
  </r>
  <r>
    <n v="1264012"/>
    <d v="2021-04-17T00:00:00"/>
    <x v="193"/>
    <x v="1"/>
    <x v="30"/>
    <m/>
    <x v="1"/>
    <x v="54"/>
    <x v="0"/>
    <d v="2021-04-25T00:00:00"/>
    <x v="0"/>
    <m/>
    <x v="3"/>
  </r>
  <r>
    <n v="3213081"/>
    <d v="2020-10-07T00:00:00"/>
    <x v="63"/>
    <x v="0"/>
    <x v="17"/>
    <n v="8"/>
    <x v="0"/>
    <x v="6"/>
    <x v="0"/>
    <d v="2020-10-09T00:00:00"/>
    <x v="0"/>
    <m/>
    <x v="0"/>
  </r>
  <r>
    <n v="1080515"/>
    <d v="2020-06-18T00:00:00"/>
    <x v="94"/>
    <x v="0"/>
    <x v="60"/>
    <n v="11"/>
    <x v="1"/>
    <x v="21"/>
    <x v="1"/>
    <m/>
    <x v="0"/>
    <m/>
    <x v="2"/>
  </r>
  <r>
    <n v="1949832"/>
    <d v="2020-08-17T00:00:00"/>
    <x v="32"/>
    <x v="0"/>
    <x v="41"/>
    <n v="1"/>
    <x v="1"/>
    <x v="1"/>
    <x v="0"/>
    <d v="2020-08-26T00:00:00"/>
    <x v="0"/>
    <m/>
    <x v="0"/>
  </r>
  <r>
    <n v="2765934"/>
    <d v="2020-09-02T00:00:00"/>
    <x v="128"/>
    <x v="3"/>
    <x v="66"/>
    <m/>
    <x v="1"/>
    <x v="7"/>
    <x v="0"/>
    <d v="2020-09-25T00:00:00"/>
    <x v="0"/>
    <m/>
    <x v="0"/>
  </r>
  <r>
    <n v="2292770"/>
    <d v="2020-09-01T00:00:00"/>
    <x v="44"/>
    <x v="0"/>
    <x v="2"/>
    <n v="3"/>
    <x v="1"/>
    <x v="23"/>
    <x v="0"/>
    <d v="2020-09-11T00:00:00"/>
    <x v="0"/>
    <m/>
    <x v="0"/>
  </r>
  <r>
    <n v="5711744"/>
    <d v="2020-12-28T00:00:00"/>
    <x v="194"/>
    <x v="0"/>
    <x v="6"/>
    <n v="5"/>
    <x v="1"/>
    <x v="68"/>
    <x v="1"/>
    <m/>
    <x v="1"/>
    <m/>
    <x v="2"/>
  </r>
  <r>
    <n v="1314036"/>
    <d v="2020-06-18T00:00:00"/>
    <x v="94"/>
    <x v="0"/>
    <x v="6"/>
    <n v="5"/>
    <x v="1"/>
    <x v="68"/>
    <x v="1"/>
    <m/>
    <x v="1"/>
    <m/>
    <x v="2"/>
  </r>
  <r>
    <n v="4836447"/>
    <d v="2020-11-30T00:00:00"/>
    <x v="127"/>
    <x v="1"/>
    <x v="29"/>
    <m/>
    <x v="1"/>
    <x v="0"/>
    <x v="1"/>
    <m/>
    <x v="1"/>
    <m/>
    <x v="2"/>
  </r>
  <r>
    <n v="2404669"/>
    <d v="2020-09-07T00:00:00"/>
    <x v="38"/>
    <x v="1"/>
    <x v="12"/>
    <m/>
    <x v="1"/>
    <x v="54"/>
    <x v="1"/>
    <m/>
    <x v="1"/>
    <m/>
    <x v="2"/>
  </r>
  <r>
    <n v="2076116"/>
    <d v="2020-08-22T00:00:00"/>
    <x v="116"/>
    <x v="1"/>
    <x v="5"/>
    <m/>
    <x v="0"/>
    <x v="69"/>
    <x v="1"/>
    <m/>
    <x v="1"/>
    <m/>
    <x v="2"/>
  </r>
  <r>
    <n v="1987944"/>
    <d v="2020-10-08T00:00:00"/>
    <x v="195"/>
    <x v="1"/>
    <x v="9"/>
    <m/>
    <x v="0"/>
    <x v="12"/>
    <x v="0"/>
    <d v="2020-04-26T00:00:00"/>
    <x v="1"/>
    <m/>
    <x v="0"/>
  </r>
  <r>
    <n v="1561780"/>
    <d v="2020-07-28T00:00:00"/>
    <x v="20"/>
    <x v="0"/>
    <x v="6"/>
    <n v="5"/>
    <x v="0"/>
    <x v="25"/>
    <x v="0"/>
    <d v="2020-05-21T00:00:00"/>
    <x v="1"/>
    <d v="2020-08-07T00:00:00"/>
    <x v="0"/>
  </r>
  <r>
    <n v="5034807"/>
    <d v="2020-12-06T00:00:00"/>
    <x v="196"/>
    <x v="0"/>
    <x v="6"/>
    <n v="5"/>
    <x v="1"/>
    <x v="7"/>
    <x v="0"/>
    <d v="2021-01-24T00:00:00"/>
    <x v="1"/>
    <m/>
    <x v="0"/>
  </r>
  <r>
    <n v="2203444"/>
    <d v="2020-08-12T00:00:00"/>
    <x v="122"/>
    <x v="1"/>
    <x v="67"/>
    <m/>
    <x v="0"/>
    <x v="70"/>
    <x v="1"/>
    <m/>
    <x v="1"/>
    <m/>
    <x v="2"/>
  </r>
  <r>
    <n v="4464707"/>
    <d v="2020-11-13T00:00:00"/>
    <x v="197"/>
    <x v="1"/>
    <x v="19"/>
    <m/>
    <x v="1"/>
    <x v="68"/>
    <x v="1"/>
    <m/>
    <x v="1"/>
    <m/>
    <x v="2"/>
  </r>
  <r>
    <n v="2176538"/>
    <d v="2020-08-27T00:00:00"/>
    <x v="158"/>
    <x v="0"/>
    <x v="17"/>
    <n v="8"/>
    <x v="1"/>
    <x v="41"/>
    <x v="0"/>
    <d v="2020-07-18T00:00:00"/>
    <x v="1"/>
    <d v="2020-09-10T00:00:00"/>
    <x v="3"/>
  </r>
  <r>
    <n v="1398843"/>
    <d v="2020-07-14T00:00:00"/>
    <x v="67"/>
    <x v="1"/>
    <x v="16"/>
    <m/>
    <x v="1"/>
    <x v="48"/>
    <x v="0"/>
    <d v="2020-10-15T00:00:00"/>
    <x v="1"/>
    <m/>
    <x v="0"/>
  </r>
  <r>
    <n v="4108293"/>
    <d v="2020-11-03T00:00:00"/>
    <x v="174"/>
    <x v="0"/>
    <x v="17"/>
    <n v="8"/>
    <x v="0"/>
    <x v="51"/>
    <x v="1"/>
    <m/>
    <x v="1"/>
    <m/>
    <x v="2"/>
  </r>
  <r>
    <n v="1678692"/>
    <d v="2020-08-04T00:00:00"/>
    <x v="88"/>
    <x v="0"/>
    <x v="11"/>
    <n v="14"/>
    <x v="0"/>
    <x v="65"/>
    <x v="0"/>
    <d v="2020-05-01T00:00:00"/>
    <x v="1"/>
    <m/>
    <x v="0"/>
  </r>
  <r>
    <n v="4585743"/>
    <d v="2020-11-20T00:00:00"/>
    <x v="45"/>
    <x v="1"/>
    <x v="62"/>
    <m/>
    <x v="0"/>
    <x v="51"/>
    <x v="1"/>
    <m/>
    <x v="1"/>
    <m/>
    <x v="2"/>
  </r>
  <r>
    <n v="5736109"/>
    <d v="2020-12-24T00:00:00"/>
    <x v="134"/>
    <x v="1"/>
    <x v="20"/>
    <m/>
    <x v="0"/>
    <x v="35"/>
    <x v="0"/>
    <m/>
    <x v="1"/>
    <m/>
    <x v="0"/>
  </r>
  <r>
    <n v="4108726"/>
    <d v="2020-11-05T00:00:00"/>
    <x v="198"/>
    <x v="0"/>
    <x v="11"/>
    <n v="14"/>
    <x v="0"/>
    <x v="8"/>
    <x v="1"/>
    <m/>
    <x v="1"/>
    <m/>
    <x v="2"/>
  </r>
  <r>
    <n v="5794614"/>
    <d v="2020-12-31T00:00:00"/>
    <x v="199"/>
    <x v="1"/>
    <x v="62"/>
    <m/>
    <x v="1"/>
    <x v="71"/>
    <x v="1"/>
    <m/>
    <x v="1"/>
    <m/>
    <x v="2"/>
  </r>
  <r>
    <n v="5577531"/>
    <d v="2020-12-23T00:00:00"/>
    <x v="91"/>
    <x v="0"/>
    <x v="48"/>
    <n v="5"/>
    <x v="0"/>
    <x v="72"/>
    <x v="1"/>
    <m/>
    <x v="1"/>
    <m/>
    <x v="2"/>
  </r>
  <r>
    <n v="1131528"/>
    <d v="2020-06-13T00:00:00"/>
    <x v="157"/>
    <x v="0"/>
    <x v="39"/>
    <n v="12"/>
    <x v="1"/>
    <x v="61"/>
    <x v="0"/>
    <d v="2020-09-18T00:00:00"/>
    <x v="1"/>
    <m/>
    <x v="0"/>
  </r>
  <r>
    <n v="1430432"/>
    <d v="2020-07-20T00:00:00"/>
    <x v="120"/>
    <x v="0"/>
    <x v="7"/>
    <n v="6"/>
    <x v="0"/>
    <x v="73"/>
    <x v="1"/>
    <m/>
    <x v="1"/>
    <m/>
    <x v="2"/>
  </r>
  <r>
    <n v="3478630"/>
    <d v="2020-10-15T00:00:00"/>
    <x v="71"/>
    <x v="1"/>
    <x v="20"/>
    <m/>
    <x v="1"/>
    <x v="74"/>
    <x v="1"/>
    <m/>
    <x v="1"/>
    <m/>
    <x v="2"/>
  </r>
  <r>
    <n v="2672465"/>
    <d v="2020-09-15T00:00:00"/>
    <x v="108"/>
    <x v="0"/>
    <x v="48"/>
    <n v="5"/>
    <x v="0"/>
    <x v="75"/>
    <x v="1"/>
    <m/>
    <x v="1"/>
    <m/>
    <x v="2"/>
  </r>
  <r>
    <n v="5196138"/>
    <d v="2020-12-09T00:00:00"/>
    <x v="200"/>
    <x v="0"/>
    <x v="7"/>
    <n v="6"/>
    <x v="1"/>
    <x v="11"/>
    <x v="1"/>
    <m/>
    <x v="1"/>
    <m/>
    <x v="2"/>
  </r>
  <r>
    <n v="5496472"/>
    <d v="2020-12-22T00:00:00"/>
    <x v="201"/>
    <x v="0"/>
    <x v="11"/>
    <n v="14"/>
    <x v="1"/>
    <x v="76"/>
    <x v="1"/>
    <m/>
    <x v="1"/>
    <m/>
    <x v="2"/>
  </r>
  <r>
    <n v="1396935"/>
    <d v="2020-07-16T00:00:00"/>
    <x v="17"/>
    <x v="0"/>
    <x v="11"/>
    <n v="14"/>
    <x v="1"/>
    <x v="4"/>
    <x v="1"/>
    <m/>
    <x v="1"/>
    <m/>
    <x v="2"/>
  </r>
  <r>
    <n v="4840485"/>
    <d v="2020-11-30T00:00:00"/>
    <x v="127"/>
    <x v="0"/>
    <x v="7"/>
    <n v="6"/>
    <x v="0"/>
    <x v="44"/>
    <x v="1"/>
    <m/>
    <x v="1"/>
    <m/>
    <x v="2"/>
  </r>
  <r>
    <n v="2788661"/>
    <d v="2020-09-22T00:00:00"/>
    <x v="14"/>
    <x v="1"/>
    <x v="30"/>
    <m/>
    <x v="0"/>
    <x v="68"/>
    <x v="2"/>
    <m/>
    <x v="1"/>
    <m/>
    <x v="3"/>
  </r>
  <r>
    <n v="3196061"/>
    <d v="2020-10-06T00:00:00"/>
    <x v="129"/>
    <x v="1"/>
    <x v="33"/>
    <m/>
    <x v="1"/>
    <x v="52"/>
    <x v="1"/>
    <m/>
    <x v="1"/>
    <m/>
    <x v="2"/>
  </r>
  <r>
    <n v="2030021"/>
    <d v="2020-08-21T00:00:00"/>
    <x v="147"/>
    <x v="0"/>
    <x v="46"/>
    <n v="4"/>
    <x v="1"/>
    <x v="57"/>
    <x v="1"/>
    <m/>
    <x v="1"/>
    <m/>
    <x v="2"/>
  </r>
  <r>
    <n v="1838686"/>
    <d v="2020-08-12T00:00:00"/>
    <x v="32"/>
    <x v="0"/>
    <x v="3"/>
    <n v="13"/>
    <x v="0"/>
    <x v="13"/>
    <x v="0"/>
    <d v="2020-07-25T00:00:00"/>
    <x v="1"/>
    <m/>
    <x v="0"/>
  </r>
  <r>
    <n v="4072645"/>
    <d v="2020-11-02T00:00:00"/>
    <x v="90"/>
    <x v="0"/>
    <x v="68"/>
    <n v="1"/>
    <x v="1"/>
    <x v="24"/>
    <x v="0"/>
    <m/>
    <x v="1"/>
    <m/>
    <x v="0"/>
  </r>
  <r>
    <n v="796935"/>
    <d v="2020-04-06T00:00:00"/>
    <x v="43"/>
    <x v="1"/>
    <x v="29"/>
    <m/>
    <x v="0"/>
    <x v="29"/>
    <x v="1"/>
    <m/>
    <x v="1"/>
    <m/>
    <x v="2"/>
  </r>
  <r>
    <n v="1571576"/>
    <d v="2020-07-28T00:00:00"/>
    <x v="20"/>
    <x v="0"/>
    <x v="10"/>
    <n v="2"/>
    <x v="1"/>
    <x v="77"/>
    <x v="0"/>
    <d v="2020-05-28T00:00:00"/>
    <x v="1"/>
    <m/>
    <x v="0"/>
  </r>
  <r>
    <n v="4676913"/>
    <d v="2020-11-22T00:00:00"/>
    <x v="149"/>
    <x v="1"/>
    <x v="19"/>
    <m/>
    <x v="0"/>
    <x v="78"/>
    <x v="0"/>
    <m/>
    <x v="1"/>
    <m/>
    <x v="0"/>
  </r>
  <r>
    <n v="5612999"/>
    <d v="2020-12-26T00:00:00"/>
    <x v="126"/>
    <x v="0"/>
    <x v="41"/>
    <n v="1"/>
    <x v="1"/>
    <x v="79"/>
    <x v="0"/>
    <d v="2020-07-09T00:00:00"/>
    <x v="1"/>
    <m/>
    <x v="0"/>
  </r>
  <r>
    <n v="3519588"/>
    <d v="2020-10-17T00:00:00"/>
    <x v="202"/>
    <x v="0"/>
    <x v="69"/>
    <n v="10"/>
    <x v="0"/>
    <x v="80"/>
    <x v="0"/>
    <m/>
    <x v="1"/>
    <m/>
    <x v="0"/>
  </r>
  <r>
    <n v="1949909"/>
    <d v="2020-08-12T00:00:00"/>
    <x v="138"/>
    <x v="1"/>
    <x v="21"/>
    <m/>
    <x v="1"/>
    <x v="67"/>
    <x v="0"/>
    <m/>
    <x v="1"/>
    <m/>
    <x v="0"/>
  </r>
  <r>
    <n v="2184262"/>
    <d v="2020-08-25T00:00:00"/>
    <x v="95"/>
    <x v="1"/>
    <x v="9"/>
    <m/>
    <x v="0"/>
    <x v="76"/>
    <x v="0"/>
    <d v="2020-09-17T00:00:00"/>
    <x v="1"/>
    <m/>
    <x v="0"/>
  </r>
  <r>
    <n v="2077889"/>
    <d v="2020-08-07T00:00:00"/>
    <x v="203"/>
    <x v="0"/>
    <x v="4"/>
    <n v="7"/>
    <x v="0"/>
    <x v="55"/>
    <x v="1"/>
    <m/>
    <x v="1"/>
    <m/>
    <x v="2"/>
  </r>
  <r>
    <n v="4819761"/>
    <d v="2020-11-28T00:00:00"/>
    <x v="189"/>
    <x v="1"/>
    <x v="13"/>
    <m/>
    <x v="1"/>
    <x v="67"/>
    <x v="1"/>
    <m/>
    <x v="1"/>
    <m/>
    <x v="2"/>
  </r>
  <r>
    <n v="5155331"/>
    <d v="2020-12-10T00:00:00"/>
    <x v="76"/>
    <x v="1"/>
    <x v="67"/>
    <m/>
    <x v="0"/>
    <x v="59"/>
    <x v="1"/>
    <m/>
    <x v="1"/>
    <m/>
    <x v="2"/>
  </r>
  <r>
    <n v="3873754"/>
    <d v="2020-10-27T00:00:00"/>
    <x v="87"/>
    <x v="4"/>
    <x v="70"/>
    <m/>
    <x v="0"/>
    <x v="80"/>
    <x v="1"/>
    <m/>
    <x v="1"/>
    <m/>
    <x v="2"/>
  </r>
  <r>
    <n v="1718573"/>
    <d v="2020-08-06T00:00:00"/>
    <x v="203"/>
    <x v="0"/>
    <x v="20"/>
    <n v="1"/>
    <x v="1"/>
    <x v="79"/>
    <x v="0"/>
    <d v="2020-04-06T00:00:00"/>
    <x v="1"/>
    <m/>
    <x v="0"/>
  </r>
  <r>
    <n v="1801666"/>
    <d v="2020-08-10T00:00:00"/>
    <x v="8"/>
    <x v="0"/>
    <x v="46"/>
    <n v="4"/>
    <x v="0"/>
    <x v="33"/>
    <x v="0"/>
    <m/>
    <x v="1"/>
    <m/>
    <x v="0"/>
  </r>
  <r>
    <n v="1596120"/>
    <d v="2020-07-25T00:00:00"/>
    <x v="146"/>
    <x v="1"/>
    <x v="29"/>
    <m/>
    <x v="0"/>
    <x v="48"/>
    <x v="1"/>
    <m/>
    <x v="1"/>
    <m/>
    <x v="2"/>
  </r>
  <r>
    <n v="1550346"/>
    <d v="2020-07-27T00:00:00"/>
    <x v="204"/>
    <x v="1"/>
    <x v="20"/>
    <m/>
    <x v="1"/>
    <x v="77"/>
    <x v="1"/>
    <m/>
    <x v="1"/>
    <m/>
    <x v="2"/>
  </r>
  <r>
    <n v="3844360"/>
    <d v="2020-10-26T00:00:00"/>
    <x v="111"/>
    <x v="1"/>
    <x v="29"/>
    <m/>
    <x v="0"/>
    <x v="19"/>
    <x v="1"/>
    <m/>
    <x v="1"/>
    <m/>
    <x v="2"/>
  </r>
  <r>
    <n v="1366985"/>
    <d v="2020-07-14T00:00:00"/>
    <x v="67"/>
    <x v="1"/>
    <x v="9"/>
    <m/>
    <x v="1"/>
    <x v="64"/>
    <x v="0"/>
    <m/>
    <x v="1"/>
    <m/>
    <x v="1"/>
  </r>
  <r>
    <n v="1083872"/>
    <d v="2020-06-15T00:00:00"/>
    <x v="30"/>
    <x v="0"/>
    <x v="64"/>
    <n v="7"/>
    <x v="1"/>
    <x v="48"/>
    <x v="0"/>
    <m/>
    <x v="1"/>
    <d v="2020-06-22T00:00:00"/>
    <x v="0"/>
  </r>
  <r>
    <n v="2237721"/>
    <d v="2020-08-30T00:00:00"/>
    <x v="80"/>
    <x v="0"/>
    <x v="54"/>
    <n v="10"/>
    <x v="0"/>
    <x v="24"/>
    <x v="0"/>
    <d v="2020-04-04T00:00:00"/>
    <x v="1"/>
    <m/>
    <x v="0"/>
  </r>
  <r>
    <n v="3998376"/>
    <d v="2020-11-02T00:00:00"/>
    <x v="205"/>
    <x v="1"/>
    <x v="20"/>
    <m/>
    <x v="1"/>
    <x v="24"/>
    <x v="1"/>
    <m/>
    <x v="1"/>
    <m/>
    <x v="2"/>
  </r>
  <r>
    <n v="1831493"/>
    <d v="2020-08-12T00:00:00"/>
    <x v="138"/>
    <x v="1"/>
    <x v="9"/>
    <m/>
    <x v="1"/>
    <x v="60"/>
    <x v="1"/>
    <m/>
    <x v="1"/>
    <m/>
    <x v="2"/>
  </r>
  <r>
    <n v="1583055"/>
    <d v="2020-07-29T00:00:00"/>
    <x v="146"/>
    <x v="1"/>
    <x v="5"/>
    <m/>
    <x v="0"/>
    <x v="81"/>
    <x v="1"/>
    <m/>
    <x v="1"/>
    <m/>
    <x v="2"/>
  </r>
  <r>
    <n v="1455308"/>
    <d v="2020-07-20T00:00:00"/>
    <x v="16"/>
    <x v="0"/>
    <x v="11"/>
    <n v="14"/>
    <x v="0"/>
    <x v="59"/>
    <x v="0"/>
    <m/>
    <x v="1"/>
    <m/>
    <x v="0"/>
  </r>
  <r>
    <n v="2991128"/>
    <d v="2020-09-29T00:00:00"/>
    <x v="21"/>
    <x v="0"/>
    <x v="45"/>
    <n v="9"/>
    <x v="0"/>
    <x v="45"/>
    <x v="1"/>
    <m/>
    <x v="1"/>
    <m/>
    <x v="2"/>
  </r>
  <r>
    <n v="5112313"/>
    <d v="2020-12-10T00:00:00"/>
    <x v="76"/>
    <x v="1"/>
    <x v="61"/>
    <m/>
    <x v="1"/>
    <x v="64"/>
    <x v="0"/>
    <m/>
    <x v="1"/>
    <m/>
    <x v="0"/>
  </r>
  <r>
    <n v="1456790"/>
    <d v="2020-07-21T00:00:00"/>
    <x v="68"/>
    <x v="0"/>
    <x v="27"/>
    <n v="12"/>
    <x v="1"/>
    <x v="3"/>
    <x v="1"/>
    <m/>
    <x v="1"/>
    <m/>
    <x v="2"/>
  </r>
  <r>
    <n v="907542"/>
    <d v="2020-05-11T00:00:00"/>
    <x v="94"/>
    <x v="1"/>
    <x v="16"/>
    <m/>
    <x v="0"/>
    <x v="45"/>
    <x v="1"/>
    <m/>
    <x v="1"/>
    <m/>
    <x v="2"/>
  </r>
  <r>
    <n v="3903286"/>
    <d v="2020-10-28T00:00:00"/>
    <x v="206"/>
    <x v="5"/>
    <x v="71"/>
    <m/>
    <x v="1"/>
    <x v="60"/>
    <x v="1"/>
    <m/>
    <x v="1"/>
    <m/>
    <x v="2"/>
  </r>
  <r>
    <n v="1679896"/>
    <d v="2020-08-03T00:00:00"/>
    <x v="207"/>
    <x v="1"/>
    <x v="51"/>
    <m/>
    <x v="1"/>
    <x v="82"/>
    <x v="0"/>
    <d v="2020-07-22T00:00:00"/>
    <x v="1"/>
    <m/>
    <x v="1"/>
  </r>
  <r>
    <n v="1649432"/>
    <d v="2020-08-03T00:00:00"/>
    <x v="207"/>
    <x v="1"/>
    <x v="72"/>
    <m/>
    <x v="0"/>
    <x v="64"/>
    <x v="0"/>
    <m/>
    <x v="1"/>
    <m/>
    <x v="4"/>
  </r>
  <r>
    <n v="4816178"/>
    <d v="2020-11-27T00:00:00"/>
    <x v="189"/>
    <x v="0"/>
    <x v="10"/>
    <n v="2"/>
    <x v="1"/>
    <x v="11"/>
    <x v="1"/>
    <m/>
    <x v="1"/>
    <m/>
    <x v="2"/>
  </r>
  <r>
    <n v="1745576"/>
    <d v="2020-08-05T00:00:00"/>
    <x v="53"/>
    <x v="1"/>
    <x v="55"/>
    <m/>
    <x v="1"/>
    <x v="45"/>
    <x v="0"/>
    <m/>
    <x v="1"/>
    <m/>
    <x v="0"/>
  </r>
  <r>
    <n v="3205514"/>
    <d v="2020-10-04T00:00:00"/>
    <x v="169"/>
    <x v="1"/>
    <x v="29"/>
    <m/>
    <x v="1"/>
    <x v="52"/>
    <x v="0"/>
    <d v="2020-08-07T00:00:00"/>
    <x v="1"/>
    <m/>
    <x v="0"/>
  </r>
  <r>
    <n v="1511458"/>
    <d v="2020-07-24T00:00:00"/>
    <x v="6"/>
    <x v="1"/>
    <x v="12"/>
    <m/>
    <x v="0"/>
    <x v="82"/>
    <x v="1"/>
    <m/>
    <x v="1"/>
    <m/>
    <x v="2"/>
  </r>
  <r>
    <n v="4853106"/>
    <d v="2020-12-01T00:00:00"/>
    <x v="57"/>
    <x v="0"/>
    <x v="6"/>
    <n v="5"/>
    <x v="0"/>
    <x v="77"/>
    <x v="0"/>
    <m/>
    <x v="1"/>
    <m/>
    <x v="0"/>
  </r>
  <r>
    <n v="1907041"/>
    <d v="2020-08-15T00:00:00"/>
    <x v="156"/>
    <x v="1"/>
    <x v="29"/>
    <m/>
    <x v="1"/>
    <x v="11"/>
    <x v="0"/>
    <m/>
    <x v="1"/>
    <d v="2020-08-25T00:00:00"/>
    <x v="0"/>
  </r>
  <r>
    <n v="2853867"/>
    <d v="2020-09-23T00:00:00"/>
    <x v="171"/>
    <x v="1"/>
    <x v="12"/>
    <m/>
    <x v="0"/>
    <x v="48"/>
    <x v="1"/>
    <m/>
    <x v="1"/>
    <m/>
    <x v="2"/>
  </r>
  <r>
    <n v="877571"/>
    <d v="2020-05-02T00:00:00"/>
    <x v="208"/>
    <x v="1"/>
    <x v="9"/>
    <m/>
    <x v="0"/>
    <x v="66"/>
    <x v="1"/>
    <m/>
    <x v="1"/>
    <m/>
    <x v="2"/>
  </r>
  <r>
    <n v="2182447"/>
    <d v="2020-08-28T00:00:00"/>
    <x v="158"/>
    <x v="1"/>
    <x v="65"/>
    <m/>
    <x v="1"/>
    <x v="0"/>
    <x v="0"/>
    <m/>
    <x v="1"/>
    <m/>
    <x v="0"/>
  </r>
  <r>
    <n v="2041024"/>
    <d v="2020-08-22T00:00:00"/>
    <x v="116"/>
    <x v="0"/>
    <x v="42"/>
    <n v="4"/>
    <x v="1"/>
    <x v="41"/>
    <x v="0"/>
    <m/>
    <x v="1"/>
    <m/>
    <x v="0"/>
  </r>
  <r>
    <n v="5605465"/>
    <d v="2020-12-25T00:00:00"/>
    <x v="209"/>
    <x v="0"/>
    <x v="57"/>
    <n v="1"/>
    <x v="0"/>
    <x v="4"/>
    <x v="1"/>
    <m/>
    <x v="1"/>
    <m/>
    <x v="2"/>
  </r>
  <r>
    <n v="2604022"/>
    <d v="2020-09-14T00:00:00"/>
    <x v="210"/>
    <x v="0"/>
    <x v="73"/>
    <n v="12"/>
    <x v="0"/>
    <x v="83"/>
    <x v="0"/>
    <m/>
    <x v="1"/>
    <m/>
    <x v="0"/>
  </r>
  <r>
    <n v="5413193"/>
    <d v="2020-07-13T00:00:00"/>
    <x v="170"/>
    <x v="0"/>
    <x v="34"/>
    <n v="13"/>
    <x v="0"/>
    <x v="72"/>
    <x v="1"/>
    <m/>
    <x v="1"/>
    <m/>
    <x v="2"/>
  </r>
  <r>
    <n v="5652868"/>
    <d v="2020-12-28T00:00:00"/>
    <x v="211"/>
    <x v="1"/>
    <x v="9"/>
    <m/>
    <x v="1"/>
    <x v="26"/>
    <x v="1"/>
    <m/>
    <x v="1"/>
    <m/>
    <x v="2"/>
  </r>
  <r>
    <n v="5688299"/>
    <d v="2020-12-28T00:00:00"/>
    <x v="194"/>
    <x v="1"/>
    <x v="12"/>
    <m/>
    <x v="1"/>
    <x v="76"/>
    <x v="1"/>
    <m/>
    <x v="1"/>
    <m/>
    <x v="2"/>
  </r>
  <r>
    <n v="3741517"/>
    <d v="2020-10-21T00:00:00"/>
    <x v="73"/>
    <x v="1"/>
    <x v="13"/>
    <m/>
    <x v="0"/>
    <x v="0"/>
    <x v="1"/>
    <m/>
    <x v="1"/>
    <m/>
    <x v="2"/>
  </r>
  <r>
    <n v="1949652"/>
    <d v="2020-08-20T00:00:00"/>
    <x v="147"/>
    <x v="1"/>
    <x v="67"/>
    <m/>
    <x v="1"/>
    <x v="69"/>
    <x v="1"/>
    <m/>
    <x v="1"/>
    <m/>
    <x v="2"/>
  </r>
  <r>
    <n v="5435589"/>
    <d v="2020-12-18T00:00:00"/>
    <x v="212"/>
    <x v="1"/>
    <x v="19"/>
    <m/>
    <x v="0"/>
    <x v="39"/>
    <x v="1"/>
    <m/>
    <x v="1"/>
    <m/>
    <x v="2"/>
  </r>
  <r>
    <n v="4169419"/>
    <d v="2020-11-06T00:00:00"/>
    <x v="213"/>
    <x v="0"/>
    <x v="20"/>
    <n v="9"/>
    <x v="0"/>
    <x v="43"/>
    <x v="0"/>
    <d v="2020-06-29T00:00:00"/>
    <x v="1"/>
    <m/>
    <x v="0"/>
  </r>
  <r>
    <n v="2598988"/>
    <d v="2020-09-13T00:00:00"/>
    <x v="214"/>
    <x v="1"/>
    <x v="21"/>
    <m/>
    <x v="1"/>
    <x v="13"/>
    <x v="0"/>
    <m/>
    <x v="1"/>
    <d v="2020-09-28T00:00:00"/>
    <x v="0"/>
  </r>
  <r>
    <n v="3133013"/>
    <d v="2020-10-04T00:00:00"/>
    <x v="31"/>
    <x v="0"/>
    <x v="27"/>
    <n v="12"/>
    <x v="0"/>
    <x v="28"/>
    <x v="1"/>
    <m/>
    <x v="1"/>
    <m/>
    <x v="2"/>
  </r>
  <r>
    <n v="5508344"/>
    <d v="2020-12-22T00:00:00"/>
    <x v="201"/>
    <x v="0"/>
    <x v="7"/>
    <n v="6"/>
    <x v="0"/>
    <x v="18"/>
    <x v="1"/>
    <m/>
    <x v="1"/>
    <m/>
    <x v="2"/>
  </r>
  <r>
    <n v="5149828"/>
    <d v="2020-12-11T00:00:00"/>
    <x v="25"/>
    <x v="1"/>
    <x v="62"/>
    <m/>
    <x v="1"/>
    <x v="72"/>
    <x v="1"/>
    <m/>
    <x v="1"/>
    <m/>
    <x v="2"/>
  </r>
  <r>
    <n v="3568688"/>
    <d v="2020-10-19T00:00:00"/>
    <x v="202"/>
    <x v="1"/>
    <x v="63"/>
    <m/>
    <x v="1"/>
    <x v="56"/>
    <x v="2"/>
    <m/>
    <x v="1"/>
    <m/>
    <x v="3"/>
  </r>
  <r>
    <n v="4597814"/>
    <d v="2020-11-19T00:00:00"/>
    <x v="45"/>
    <x v="6"/>
    <x v="74"/>
    <m/>
    <x v="0"/>
    <x v="0"/>
    <x v="1"/>
    <m/>
    <x v="1"/>
    <m/>
    <x v="2"/>
  </r>
  <r>
    <n v="4596329"/>
    <d v="2020-11-16T00:00:00"/>
    <x v="215"/>
    <x v="1"/>
    <x v="30"/>
    <m/>
    <x v="0"/>
    <x v="69"/>
    <x v="1"/>
    <m/>
    <x v="1"/>
    <m/>
    <x v="2"/>
  </r>
  <r>
    <n v="889416"/>
    <d v="2020-08-18T00:00:00"/>
    <x v="107"/>
    <x v="1"/>
    <x v="33"/>
    <m/>
    <x v="0"/>
    <x v="68"/>
    <x v="0"/>
    <m/>
    <x v="1"/>
    <m/>
    <x v="0"/>
  </r>
  <r>
    <n v="1690919"/>
    <d v="2020-08-07T00:00:00"/>
    <x v="143"/>
    <x v="1"/>
    <x v="51"/>
    <m/>
    <x v="0"/>
    <x v="51"/>
    <x v="0"/>
    <m/>
    <x v="1"/>
    <m/>
    <x v="0"/>
  </r>
  <r>
    <n v="1847734"/>
    <d v="2020-08-29T00:00:00"/>
    <x v="176"/>
    <x v="0"/>
    <x v="17"/>
    <n v="8"/>
    <x v="1"/>
    <x v="25"/>
    <x v="0"/>
    <m/>
    <x v="1"/>
    <m/>
    <x v="3"/>
  </r>
  <r>
    <n v="1664705"/>
    <d v="2020-06-18T00:00:00"/>
    <x v="94"/>
    <x v="0"/>
    <x v="15"/>
    <n v="1"/>
    <x v="1"/>
    <x v="84"/>
    <x v="1"/>
    <m/>
    <x v="1"/>
    <m/>
    <x v="2"/>
  </r>
  <r>
    <n v="3507513"/>
    <d v="2020-10-05T00:00:00"/>
    <x v="169"/>
    <x v="1"/>
    <x v="61"/>
    <m/>
    <x v="1"/>
    <x v="55"/>
    <x v="1"/>
    <m/>
    <x v="1"/>
    <m/>
    <x v="2"/>
  </r>
  <r>
    <n v="2225298"/>
    <d v="2020-09-05T00:00:00"/>
    <x v="1"/>
    <x v="0"/>
    <x v="10"/>
    <n v="2"/>
    <x v="1"/>
    <x v="0"/>
    <x v="0"/>
    <m/>
    <x v="1"/>
    <m/>
    <x v="0"/>
  </r>
  <r>
    <n v="1422222"/>
    <d v="2020-07-19T00:00:00"/>
    <x v="16"/>
    <x v="0"/>
    <x v="2"/>
    <n v="3"/>
    <x v="1"/>
    <x v="32"/>
    <x v="0"/>
    <m/>
    <x v="1"/>
    <m/>
    <x v="0"/>
  </r>
  <r>
    <n v="2346711"/>
    <d v="2020-09-03T00:00:00"/>
    <x v="33"/>
    <x v="1"/>
    <x v="62"/>
    <m/>
    <x v="0"/>
    <x v="55"/>
    <x v="0"/>
    <m/>
    <x v="1"/>
    <m/>
    <x v="0"/>
  </r>
  <r>
    <n v="3857489"/>
    <d v="2020-05-17T00:00:00"/>
    <x v="216"/>
    <x v="7"/>
    <x v="75"/>
    <m/>
    <x v="0"/>
    <x v="79"/>
    <x v="1"/>
    <m/>
    <x v="1"/>
    <m/>
    <x v="2"/>
  </r>
  <r>
    <n v="2228679"/>
    <d v="2020-08-30T00:00:00"/>
    <x v="64"/>
    <x v="0"/>
    <x v="46"/>
    <n v="4"/>
    <x v="1"/>
    <x v="39"/>
    <x v="1"/>
    <m/>
    <x v="1"/>
    <m/>
    <x v="2"/>
  </r>
  <r>
    <n v="2046232"/>
    <d v="2020-08-22T00:00:00"/>
    <x v="37"/>
    <x v="1"/>
    <x v="51"/>
    <m/>
    <x v="1"/>
    <x v="67"/>
    <x v="0"/>
    <m/>
    <x v="1"/>
    <m/>
    <x v="0"/>
  </r>
  <r>
    <n v="2186228"/>
    <d v="2020-08-28T00:00:00"/>
    <x v="176"/>
    <x v="1"/>
    <x v="16"/>
    <m/>
    <x v="1"/>
    <x v="2"/>
    <x v="0"/>
    <m/>
    <x v="1"/>
    <m/>
    <x v="0"/>
  </r>
  <r>
    <n v="2996932"/>
    <d v="2020-09-28T00:00:00"/>
    <x v="21"/>
    <x v="1"/>
    <x v="21"/>
    <m/>
    <x v="1"/>
    <x v="54"/>
    <x v="1"/>
    <m/>
    <x v="1"/>
    <m/>
    <x v="2"/>
  </r>
  <r>
    <n v="2533206"/>
    <d v="2020-07-28T00:00:00"/>
    <x v="204"/>
    <x v="1"/>
    <x v="29"/>
    <m/>
    <x v="1"/>
    <x v="61"/>
    <x v="1"/>
    <m/>
    <x v="1"/>
    <m/>
    <x v="2"/>
  </r>
  <r>
    <n v="995449"/>
    <d v="2020-05-29T00:00:00"/>
    <x v="109"/>
    <x v="0"/>
    <x v="64"/>
    <n v="7"/>
    <x v="0"/>
    <x v="55"/>
    <x v="0"/>
    <m/>
    <x v="1"/>
    <d v="2020-06-12T00:00:00"/>
    <x v="0"/>
  </r>
  <r>
    <n v="3940539"/>
    <d v="2020-10-29T00:00:00"/>
    <x v="217"/>
    <x v="0"/>
    <x v="15"/>
    <n v="1"/>
    <x v="1"/>
    <x v="85"/>
    <x v="1"/>
    <m/>
    <x v="1"/>
    <m/>
    <x v="2"/>
  </r>
  <r>
    <n v="5003389"/>
    <d v="2020-12-04T00:00:00"/>
    <x v="218"/>
    <x v="0"/>
    <x v="35"/>
    <n v="9"/>
    <x v="0"/>
    <x v="1"/>
    <x v="1"/>
    <m/>
    <x v="1"/>
    <m/>
    <x v="2"/>
  </r>
  <r>
    <n v="3054547"/>
    <d v="2020-10-01T00:00:00"/>
    <x v="165"/>
    <x v="1"/>
    <x v="65"/>
    <m/>
    <x v="0"/>
    <x v="31"/>
    <x v="0"/>
    <m/>
    <x v="1"/>
    <m/>
    <x v="0"/>
  </r>
  <r>
    <n v="5245412"/>
    <d v="2020-12-14T00:00:00"/>
    <x v="130"/>
    <x v="2"/>
    <x v="76"/>
    <m/>
    <x v="0"/>
    <x v="63"/>
    <x v="1"/>
    <m/>
    <x v="1"/>
    <m/>
    <x v="2"/>
  </r>
  <r>
    <n v="3214363"/>
    <d v="2020-10-05T00:00:00"/>
    <x v="129"/>
    <x v="1"/>
    <x v="51"/>
    <m/>
    <x v="0"/>
    <x v="24"/>
    <x v="1"/>
    <m/>
    <x v="1"/>
    <m/>
    <x v="2"/>
  </r>
  <r>
    <n v="2025960"/>
    <d v="2020-08-21T00:00:00"/>
    <x v="116"/>
    <x v="0"/>
    <x v="11"/>
    <n v="14"/>
    <x v="1"/>
    <x v="32"/>
    <x v="0"/>
    <m/>
    <x v="1"/>
    <m/>
    <x v="0"/>
  </r>
  <r>
    <n v="5472897"/>
    <d v="2020-12-21T00:00:00"/>
    <x v="121"/>
    <x v="1"/>
    <x v="47"/>
    <m/>
    <x v="0"/>
    <x v="72"/>
    <x v="1"/>
    <m/>
    <x v="1"/>
    <m/>
    <x v="2"/>
  </r>
  <r>
    <n v="5542492"/>
    <d v="2020-12-23T00:00:00"/>
    <x v="91"/>
    <x v="2"/>
    <x v="77"/>
    <m/>
    <x v="1"/>
    <x v="60"/>
    <x v="1"/>
    <m/>
    <x v="1"/>
    <m/>
    <x v="2"/>
  </r>
  <r>
    <n v="2889413"/>
    <d v="2020-09-22T00:00:00"/>
    <x v="49"/>
    <x v="0"/>
    <x v="7"/>
    <n v="6"/>
    <x v="1"/>
    <x v="39"/>
    <x v="0"/>
    <m/>
    <x v="1"/>
    <m/>
    <x v="0"/>
  </r>
  <r>
    <n v="2344085"/>
    <d v="2020-08-31T00:00:00"/>
    <x v="58"/>
    <x v="0"/>
    <x v="28"/>
    <n v="15"/>
    <x v="1"/>
    <x v="80"/>
    <x v="0"/>
    <m/>
    <x v="1"/>
    <m/>
    <x v="0"/>
  </r>
  <r>
    <n v="1123716"/>
    <d v="2020-06-19T00:00:00"/>
    <x v="144"/>
    <x v="0"/>
    <x v="46"/>
    <n v="4"/>
    <x v="0"/>
    <x v="80"/>
    <x v="0"/>
    <m/>
    <x v="1"/>
    <d v="2020-06-27T00:00:00"/>
    <x v="1"/>
  </r>
  <r>
    <n v="2484621"/>
    <d v="2020-09-09T00:00:00"/>
    <x v="7"/>
    <x v="0"/>
    <x v="23"/>
    <n v="9"/>
    <x v="0"/>
    <x v="86"/>
    <x v="0"/>
    <m/>
    <x v="1"/>
    <d v="2020-09-15T00:00:00"/>
    <x v="0"/>
  </r>
  <r>
    <n v="3206936"/>
    <d v="2020-10-05T00:00:00"/>
    <x v="217"/>
    <x v="0"/>
    <x v="7"/>
    <n v="6"/>
    <x v="0"/>
    <x v="9"/>
    <x v="0"/>
    <m/>
    <x v="1"/>
    <m/>
    <x v="0"/>
  </r>
  <r>
    <n v="4998877"/>
    <d v="2020-12-02T00:00:00"/>
    <x v="219"/>
    <x v="1"/>
    <x v="62"/>
    <m/>
    <x v="1"/>
    <x v="74"/>
    <x v="1"/>
    <m/>
    <x v="1"/>
    <m/>
    <x v="2"/>
  </r>
  <r>
    <n v="2175523"/>
    <d v="2020-08-27T00:00:00"/>
    <x v="3"/>
    <x v="1"/>
    <x v="21"/>
    <m/>
    <x v="1"/>
    <x v="25"/>
    <x v="0"/>
    <m/>
    <x v="1"/>
    <m/>
    <x v="0"/>
  </r>
  <r>
    <n v="4797975"/>
    <d v="2020-11-26T00:00:00"/>
    <x v="220"/>
    <x v="0"/>
    <x v="10"/>
    <n v="2"/>
    <x v="1"/>
    <x v="74"/>
    <x v="0"/>
    <m/>
    <x v="1"/>
    <m/>
    <x v="0"/>
  </r>
  <r>
    <n v="5803251"/>
    <d v="2020-12-31T00:00:00"/>
    <x v="199"/>
    <x v="0"/>
    <x v="14"/>
    <n v="15"/>
    <x v="0"/>
    <x v="3"/>
    <x v="2"/>
    <m/>
    <x v="1"/>
    <m/>
    <x v="3"/>
  </r>
  <r>
    <n v="3629923"/>
    <d v="2020-10-19T00:00:00"/>
    <x v="51"/>
    <x v="1"/>
    <x v="9"/>
    <m/>
    <x v="0"/>
    <x v="87"/>
    <x v="0"/>
    <m/>
    <x v="1"/>
    <m/>
    <x v="0"/>
  </r>
  <r>
    <n v="1870622"/>
    <d v="2020-08-13T00:00:00"/>
    <x v="155"/>
    <x v="0"/>
    <x v="10"/>
    <n v="2"/>
    <x v="1"/>
    <x v="15"/>
    <x v="1"/>
    <m/>
    <x v="1"/>
    <m/>
    <x v="2"/>
  </r>
  <r>
    <n v="2189424"/>
    <d v="2020-08-27T00:00:00"/>
    <x v="158"/>
    <x v="0"/>
    <x v="14"/>
    <n v="15"/>
    <x v="0"/>
    <x v="61"/>
    <x v="0"/>
    <m/>
    <x v="1"/>
    <m/>
    <x v="0"/>
  </r>
  <r>
    <n v="814320"/>
    <d v="2020-04-13T00:00:00"/>
    <x v="221"/>
    <x v="1"/>
    <x v="67"/>
    <m/>
    <x v="1"/>
    <x v="88"/>
    <x v="1"/>
    <m/>
    <x v="1"/>
    <m/>
    <x v="2"/>
  </r>
  <r>
    <n v="2568370"/>
    <d v="2020-09-12T00:00:00"/>
    <x v="5"/>
    <x v="1"/>
    <x v="19"/>
    <m/>
    <x v="1"/>
    <x v="18"/>
    <x v="2"/>
    <m/>
    <x v="1"/>
    <m/>
    <x v="3"/>
  </r>
  <r>
    <n v="4852860"/>
    <d v="2020-12-01T00:00:00"/>
    <x v="57"/>
    <x v="0"/>
    <x v="34"/>
    <n v="13"/>
    <x v="0"/>
    <x v="52"/>
    <x v="2"/>
    <m/>
    <x v="1"/>
    <m/>
    <x v="3"/>
  </r>
  <r>
    <n v="2194305"/>
    <d v="2020-08-27T00:00:00"/>
    <x v="3"/>
    <x v="1"/>
    <x v="21"/>
    <m/>
    <x v="1"/>
    <x v="54"/>
    <x v="0"/>
    <m/>
    <x v="1"/>
    <m/>
    <x v="0"/>
  </r>
  <r>
    <n v="3152003"/>
    <d v="2020-10-05T00:00:00"/>
    <x v="129"/>
    <x v="0"/>
    <x v="38"/>
    <n v="13"/>
    <x v="0"/>
    <x v="3"/>
    <x v="1"/>
    <m/>
    <x v="1"/>
    <m/>
    <x v="2"/>
  </r>
  <r>
    <n v="5345227"/>
    <d v="2020-12-16T00:00:00"/>
    <x v="125"/>
    <x v="0"/>
    <x v="8"/>
    <n v="1"/>
    <x v="1"/>
    <x v="48"/>
    <x v="1"/>
    <m/>
    <x v="1"/>
    <m/>
    <x v="2"/>
  </r>
  <r>
    <n v="5551065"/>
    <d v="2020-12-23T00:00:00"/>
    <x v="91"/>
    <x v="0"/>
    <x v="64"/>
    <n v="7"/>
    <x v="0"/>
    <x v="42"/>
    <x v="1"/>
    <m/>
    <x v="1"/>
    <m/>
    <x v="2"/>
  </r>
  <r>
    <n v="2203524"/>
    <d v="2020-08-29T00:00:00"/>
    <x v="64"/>
    <x v="1"/>
    <x v="55"/>
    <m/>
    <x v="1"/>
    <x v="79"/>
    <x v="0"/>
    <m/>
    <x v="1"/>
    <m/>
    <x v="0"/>
  </r>
  <r>
    <n v="1396157"/>
    <d v="2020-07-16T00:00:00"/>
    <x v="66"/>
    <x v="1"/>
    <x v="30"/>
    <m/>
    <x v="0"/>
    <x v="83"/>
    <x v="1"/>
    <m/>
    <x v="1"/>
    <m/>
    <x v="2"/>
  </r>
  <r>
    <n v="2262000"/>
    <d v="2020-08-29T00:00:00"/>
    <x v="64"/>
    <x v="1"/>
    <x v="16"/>
    <m/>
    <x v="1"/>
    <x v="51"/>
    <x v="0"/>
    <m/>
    <x v="1"/>
    <m/>
    <x v="0"/>
  </r>
  <r>
    <n v="5308551"/>
    <d v="2020-12-10T00:00:00"/>
    <x v="76"/>
    <x v="0"/>
    <x v="37"/>
    <n v="1"/>
    <x v="0"/>
    <x v="64"/>
    <x v="0"/>
    <m/>
    <x v="1"/>
    <m/>
    <x v="0"/>
  </r>
  <r>
    <n v="956453"/>
    <d v="2020-05-21T00:00:00"/>
    <x v="83"/>
    <x v="1"/>
    <x v="20"/>
    <m/>
    <x v="0"/>
    <x v="65"/>
    <x v="1"/>
    <m/>
    <x v="1"/>
    <m/>
    <x v="2"/>
  </r>
  <r>
    <n v="4785592"/>
    <d v="2020-11-27T00:00:00"/>
    <x v="189"/>
    <x v="0"/>
    <x v="37"/>
    <n v="1"/>
    <x v="1"/>
    <x v="72"/>
    <x v="1"/>
    <m/>
    <x v="1"/>
    <m/>
    <x v="2"/>
  </r>
  <r>
    <n v="3932198"/>
    <d v="2020-10-27T00:00:00"/>
    <x v="111"/>
    <x v="1"/>
    <x v="78"/>
    <m/>
    <x v="0"/>
    <x v="7"/>
    <x v="1"/>
    <m/>
    <x v="1"/>
    <m/>
    <x v="2"/>
  </r>
  <r>
    <n v="1980236"/>
    <d v="2020-08-18T00:00:00"/>
    <x v="107"/>
    <x v="0"/>
    <x v="69"/>
    <n v="10"/>
    <x v="0"/>
    <x v="54"/>
    <x v="0"/>
    <m/>
    <x v="1"/>
    <m/>
    <x v="0"/>
  </r>
  <r>
    <n v="3326465"/>
    <d v="2020-10-10T00:00:00"/>
    <x v="222"/>
    <x v="1"/>
    <x v="51"/>
    <m/>
    <x v="0"/>
    <x v="78"/>
    <x v="1"/>
    <m/>
    <x v="1"/>
    <m/>
    <x v="2"/>
  </r>
  <r>
    <n v="3171657"/>
    <d v="2020-10-04T00:00:00"/>
    <x v="129"/>
    <x v="1"/>
    <x v="61"/>
    <m/>
    <x v="0"/>
    <x v="18"/>
    <x v="1"/>
    <m/>
    <x v="1"/>
    <m/>
    <x v="2"/>
  </r>
  <r>
    <n v="3275184"/>
    <d v="2020-10-08T00:00:00"/>
    <x v="223"/>
    <x v="1"/>
    <x v="51"/>
    <m/>
    <x v="1"/>
    <x v="79"/>
    <x v="0"/>
    <d v="2020-10-19T00:00:00"/>
    <x v="1"/>
    <m/>
    <x v="1"/>
  </r>
  <r>
    <n v="5552376"/>
    <d v="2020-12-20T00:00:00"/>
    <x v="212"/>
    <x v="1"/>
    <x v="20"/>
    <m/>
    <x v="0"/>
    <x v="89"/>
    <x v="1"/>
    <m/>
    <x v="1"/>
    <m/>
    <x v="2"/>
  </r>
  <r>
    <n v="4164278"/>
    <d v="2020-11-07T00:00:00"/>
    <x v="213"/>
    <x v="1"/>
    <x v="55"/>
    <m/>
    <x v="0"/>
    <x v="83"/>
    <x v="2"/>
    <m/>
    <x v="1"/>
    <m/>
    <x v="3"/>
  </r>
  <r>
    <n v="4213753"/>
    <d v="2020-11-08T00:00:00"/>
    <x v="224"/>
    <x v="0"/>
    <x v="7"/>
    <n v="6"/>
    <x v="1"/>
    <x v="71"/>
    <x v="0"/>
    <m/>
    <x v="1"/>
    <m/>
    <x v="0"/>
  </r>
  <r>
    <n v="4932482"/>
    <d v="2020-11-30T00:00:00"/>
    <x v="57"/>
    <x v="0"/>
    <x v="6"/>
    <n v="5"/>
    <x v="1"/>
    <x v="72"/>
    <x v="1"/>
    <m/>
    <x v="1"/>
    <m/>
    <x v="2"/>
  </r>
  <r>
    <n v="4790464"/>
    <d v="2020-11-28T00:00:00"/>
    <x v="189"/>
    <x v="1"/>
    <x v="51"/>
    <m/>
    <x v="1"/>
    <x v="87"/>
    <x v="2"/>
    <m/>
    <x v="1"/>
    <m/>
    <x v="3"/>
  </r>
  <r>
    <n v="5668161"/>
    <d v="2020-12-28T00:00:00"/>
    <x v="194"/>
    <x v="0"/>
    <x v="39"/>
    <n v="12"/>
    <x v="0"/>
    <x v="83"/>
    <x v="1"/>
    <m/>
    <x v="1"/>
    <m/>
    <x v="2"/>
  </r>
  <r>
    <n v="5786150"/>
    <d v="2020-12-30T00:00:00"/>
    <x v="96"/>
    <x v="8"/>
    <x v="79"/>
    <m/>
    <x v="1"/>
    <x v="57"/>
    <x v="1"/>
    <m/>
    <x v="1"/>
    <m/>
    <x v="2"/>
  </r>
  <r>
    <n v="937586"/>
    <d v="2020-05-19T00:00:00"/>
    <x v="139"/>
    <x v="1"/>
    <x v="80"/>
    <m/>
    <x v="1"/>
    <x v="77"/>
    <x v="1"/>
    <m/>
    <x v="1"/>
    <m/>
    <x v="2"/>
  </r>
  <r>
    <n v="4725670"/>
    <d v="2020-11-25T00:00:00"/>
    <x v="74"/>
    <x v="0"/>
    <x v="2"/>
    <n v="3"/>
    <x v="0"/>
    <x v="87"/>
    <x v="1"/>
    <m/>
    <x v="1"/>
    <m/>
    <x v="2"/>
  </r>
  <r>
    <n v="855372"/>
    <d v="2020-04-24T00:00:00"/>
    <x v="154"/>
    <x v="0"/>
    <x v="3"/>
    <n v="13"/>
    <x v="0"/>
    <x v="44"/>
    <x v="1"/>
    <m/>
    <x v="1"/>
    <m/>
    <x v="2"/>
  </r>
  <r>
    <n v="3837745"/>
    <d v="2020-10-26T00:00:00"/>
    <x v="111"/>
    <x v="4"/>
    <x v="70"/>
    <m/>
    <x v="0"/>
    <x v="83"/>
    <x v="1"/>
    <m/>
    <x v="1"/>
    <m/>
    <x v="2"/>
  </r>
  <r>
    <n v="3441558"/>
    <d v="2020-10-14T00:00:00"/>
    <x v="104"/>
    <x v="1"/>
    <x v="16"/>
    <m/>
    <x v="0"/>
    <x v="64"/>
    <x v="0"/>
    <m/>
    <x v="1"/>
    <m/>
    <x v="0"/>
  </r>
  <r>
    <n v="3902225"/>
    <d v="2020-10-27T00:00:00"/>
    <x v="87"/>
    <x v="0"/>
    <x v="37"/>
    <n v="1"/>
    <x v="0"/>
    <x v="90"/>
    <x v="0"/>
    <m/>
    <x v="1"/>
    <m/>
    <x v="0"/>
  </r>
  <r>
    <n v="1222327"/>
    <d v="2020-07-01T00:00:00"/>
    <x v="42"/>
    <x v="1"/>
    <x v="52"/>
    <m/>
    <x v="1"/>
    <x v="91"/>
    <x v="1"/>
    <m/>
    <x v="1"/>
    <m/>
    <x v="2"/>
  </r>
  <r>
    <n v="1079426"/>
    <d v="2020-06-14T00:00:00"/>
    <x v="157"/>
    <x v="0"/>
    <x v="8"/>
    <n v="1"/>
    <x v="1"/>
    <x v="52"/>
    <x v="0"/>
    <m/>
    <x v="1"/>
    <m/>
    <x v="0"/>
  </r>
  <r>
    <n v="2157655"/>
    <d v="2020-08-27T00:00:00"/>
    <x v="3"/>
    <x v="0"/>
    <x v="6"/>
    <n v="5"/>
    <x v="1"/>
    <x v="51"/>
    <x v="1"/>
    <m/>
    <x v="1"/>
    <m/>
    <x v="2"/>
  </r>
  <r>
    <n v="1111859"/>
    <d v="2020-06-18T00:00:00"/>
    <x v="62"/>
    <x v="1"/>
    <x v="30"/>
    <m/>
    <x v="0"/>
    <x v="52"/>
    <x v="0"/>
    <d v="2020-08-22T00:00:00"/>
    <x v="1"/>
    <m/>
    <x v="1"/>
  </r>
  <r>
    <n v="4426885"/>
    <d v="2020-11-16T00:00:00"/>
    <x v="225"/>
    <x v="1"/>
    <x v="33"/>
    <m/>
    <x v="1"/>
    <x v="12"/>
    <x v="1"/>
    <m/>
    <x v="1"/>
    <m/>
    <x v="2"/>
  </r>
  <r>
    <n v="3114577"/>
    <d v="2020-10-04T00:00:00"/>
    <x v="31"/>
    <x v="0"/>
    <x v="11"/>
    <n v="14"/>
    <x v="1"/>
    <x v="49"/>
    <x v="1"/>
    <m/>
    <x v="1"/>
    <m/>
    <x v="2"/>
  </r>
  <r>
    <n v="2564382"/>
    <d v="2020-09-12T00:00:00"/>
    <x v="5"/>
    <x v="0"/>
    <x v="27"/>
    <n v="12"/>
    <x v="0"/>
    <x v="92"/>
    <x v="0"/>
    <m/>
    <x v="1"/>
    <d v="2020-09-22T00:00:00"/>
    <x v="3"/>
  </r>
  <r>
    <n v="5575960"/>
    <d v="2020-12-24T00:00:00"/>
    <x v="134"/>
    <x v="1"/>
    <x v="50"/>
    <m/>
    <x v="0"/>
    <x v="76"/>
    <x v="1"/>
    <m/>
    <x v="1"/>
    <m/>
    <x v="2"/>
  </r>
  <r>
    <n v="4427267"/>
    <d v="2020-11-14T00:00:00"/>
    <x v="23"/>
    <x v="1"/>
    <x v="21"/>
    <m/>
    <x v="0"/>
    <x v="79"/>
    <x v="0"/>
    <m/>
    <x v="1"/>
    <m/>
    <x v="0"/>
  </r>
  <r>
    <n v="4739510"/>
    <d v="2020-11-25T00:00:00"/>
    <x v="15"/>
    <x v="0"/>
    <x v="4"/>
    <n v="7"/>
    <x v="0"/>
    <x v="92"/>
    <x v="1"/>
    <m/>
    <x v="1"/>
    <m/>
    <x v="2"/>
  </r>
  <r>
    <n v="3378312"/>
    <d v="2020-10-13T00:00:00"/>
    <x v="104"/>
    <x v="0"/>
    <x v="58"/>
    <n v="15"/>
    <x v="0"/>
    <x v="51"/>
    <x v="0"/>
    <m/>
    <x v="1"/>
    <m/>
    <x v="0"/>
  </r>
  <r>
    <n v="1315857"/>
    <d v="2020-07-11T00:00:00"/>
    <x v="9"/>
    <x v="1"/>
    <x v="9"/>
    <m/>
    <x v="1"/>
    <x v="90"/>
    <x v="1"/>
    <m/>
    <x v="1"/>
    <m/>
    <x v="2"/>
  </r>
  <r>
    <n v="4831605"/>
    <d v="2020-11-28T00:00:00"/>
    <x v="226"/>
    <x v="0"/>
    <x v="2"/>
    <n v="3"/>
    <x v="0"/>
    <x v="11"/>
    <x v="1"/>
    <m/>
    <x v="1"/>
    <m/>
    <x v="2"/>
  </r>
  <r>
    <n v="3963072"/>
    <d v="2020-10-31T00:00:00"/>
    <x v="227"/>
    <x v="1"/>
    <x v="13"/>
    <m/>
    <x v="1"/>
    <x v="93"/>
    <x v="0"/>
    <m/>
    <x v="1"/>
    <m/>
    <x v="0"/>
  </r>
  <r>
    <n v="1545809"/>
    <d v="2020-07-25T00:00:00"/>
    <x v="78"/>
    <x v="1"/>
    <x v="67"/>
    <m/>
    <x v="1"/>
    <x v="94"/>
    <x v="1"/>
    <m/>
    <x v="1"/>
    <m/>
    <x v="2"/>
  </r>
  <r>
    <n v="1563814"/>
    <d v="2020-07-25T00:00:00"/>
    <x v="124"/>
    <x v="1"/>
    <x v="19"/>
    <m/>
    <x v="1"/>
    <x v="95"/>
    <x v="0"/>
    <m/>
    <x v="1"/>
    <m/>
    <x v="0"/>
  </r>
  <r>
    <n v="1423961"/>
    <d v="2020-07-19T00:00:00"/>
    <x v="137"/>
    <x v="1"/>
    <x v="20"/>
    <m/>
    <x v="0"/>
    <x v="67"/>
    <x v="1"/>
    <m/>
    <x v="1"/>
    <m/>
    <x v="2"/>
  </r>
  <r>
    <n v="1454338"/>
    <d v="2020-07-21T00:00:00"/>
    <x v="16"/>
    <x v="0"/>
    <x v="46"/>
    <n v="4"/>
    <x v="1"/>
    <x v="0"/>
    <x v="1"/>
    <m/>
    <x v="1"/>
    <m/>
    <x v="2"/>
  </r>
  <r>
    <n v="5326844"/>
    <d v="2020-12-15T00:00:00"/>
    <x v="228"/>
    <x v="0"/>
    <x v="7"/>
    <n v="6"/>
    <x v="0"/>
    <x v="96"/>
    <x v="1"/>
    <m/>
    <x v="1"/>
    <m/>
    <x v="2"/>
  </r>
  <r>
    <n v="4632225"/>
    <d v="2020-10-20T00:00:00"/>
    <x v="51"/>
    <x v="9"/>
    <x v="81"/>
    <m/>
    <x v="0"/>
    <x v="77"/>
    <x v="0"/>
    <m/>
    <x v="1"/>
    <m/>
    <x v="0"/>
  </r>
  <r>
    <n v="3513133"/>
    <d v="2020-10-17T00:00:00"/>
    <x v="229"/>
    <x v="0"/>
    <x v="34"/>
    <n v="13"/>
    <x v="0"/>
    <x v="45"/>
    <x v="0"/>
    <m/>
    <x v="1"/>
    <m/>
    <x v="0"/>
  </r>
  <r>
    <n v="2724758"/>
    <d v="2020-09-18T00:00:00"/>
    <x v="150"/>
    <x v="1"/>
    <x v="20"/>
    <m/>
    <x v="0"/>
    <x v="90"/>
    <x v="0"/>
    <d v="2020-08-05T00:00:00"/>
    <x v="1"/>
    <m/>
    <x v="0"/>
  </r>
  <r>
    <n v="929040"/>
    <d v="2020-05-12T00:00:00"/>
    <x v="113"/>
    <x v="1"/>
    <x v="55"/>
    <m/>
    <x v="1"/>
    <x v="35"/>
    <x v="1"/>
    <m/>
    <x v="1"/>
    <m/>
    <x v="2"/>
  </r>
  <r>
    <n v="5171085"/>
    <d v="2020-12-12T00:00:00"/>
    <x v="36"/>
    <x v="0"/>
    <x v="6"/>
    <n v="5"/>
    <x v="1"/>
    <x v="77"/>
    <x v="2"/>
    <m/>
    <x v="1"/>
    <m/>
    <x v="3"/>
  </r>
  <r>
    <n v="2948541"/>
    <d v="2020-09-26T00:00:00"/>
    <x v="140"/>
    <x v="1"/>
    <x v="19"/>
    <m/>
    <x v="1"/>
    <x v="69"/>
    <x v="0"/>
    <m/>
    <x v="1"/>
    <m/>
    <x v="0"/>
  </r>
  <r>
    <n v="1159108"/>
    <d v="2020-06-24T00:00:00"/>
    <x v="161"/>
    <x v="1"/>
    <x v="16"/>
    <m/>
    <x v="0"/>
    <x v="31"/>
    <x v="0"/>
    <m/>
    <x v="1"/>
    <m/>
    <x v="4"/>
  </r>
  <r>
    <n v="1423666"/>
    <d v="2020-07-13T00:00:00"/>
    <x v="170"/>
    <x v="1"/>
    <x v="20"/>
    <m/>
    <x v="0"/>
    <x v="45"/>
    <x v="1"/>
    <m/>
    <x v="1"/>
    <m/>
    <x v="2"/>
  </r>
  <r>
    <n v="1522458"/>
    <d v="2020-07-25T00:00:00"/>
    <x v="124"/>
    <x v="0"/>
    <x v="25"/>
    <n v="4"/>
    <x v="0"/>
    <x v="31"/>
    <x v="0"/>
    <m/>
    <x v="1"/>
    <d v="2020-08-05T00:00:00"/>
    <x v="3"/>
  </r>
  <r>
    <n v="3391812"/>
    <d v="2020-10-12T00:00:00"/>
    <x v="230"/>
    <x v="0"/>
    <x v="45"/>
    <n v="9"/>
    <x v="0"/>
    <x v="5"/>
    <x v="1"/>
    <m/>
    <x v="1"/>
    <m/>
    <x v="2"/>
  </r>
  <r>
    <n v="3930396"/>
    <d v="2020-10-30T00:00:00"/>
    <x v="217"/>
    <x v="1"/>
    <x v="55"/>
    <m/>
    <x v="1"/>
    <x v="75"/>
    <x v="1"/>
    <m/>
    <x v="1"/>
    <m/>
    <x v="2"/>
  </r>
  <r>
    <n v="3764949"/>
    <d v="2020-10-25T00:00:00"/>
    <x v="231"/>
    <x v="1"/>
    <x v="20"/>
    <m/>
    <x v="0"/>
    <x v="51"/>
    <x v="0"/>
    <m/>
    <x v="1"/>
    <m/>
    <x v="0"/>
  </r>
  <r>
    <n v="1080561"/>
    <d v="2020-11-29T00:00:00"/>
    <x v="127"/>
    <x v="0"/>
    <x v="41"/>
    <n v="1"/>
    <x v="1"/>
    <x v="83"/>
    <x v="0"/>
    <d v="2020-12-15T00:00:00"/>
    <x v="1"/>
    <m/>
    <x v="0"/>
  </r>
  <r>
    <n v="3460283"/>
    <d v="2020-10-15T00:00:00"/>
    <x v="56"/>
    <x v="0"/>
    <x v="10"/>
    <n v="2"/>
    <x v="0"/>
    <x v="93"/>
    <x v="0"/>
    <m/>
    <x v="1"/>
    <m/>
    <x v="1"/>
  </r>
  <r>
    <n v="1812557"/>
    <d v="2020-08-11T00:00:00"/>
    <x v="22"/>
    <x v="0"/>
    <x v="38"/>
    <n v="13"/>
    <x v="1"/>
    <x v="45"/>
    <x v="0"/>
    <m/>
    <x v="1"/>
    <m/>
    <x v="0"/>
  </r>
  <r>
    <n v="2722292"/>
    <d v="2020-09-17T00:00:00"/>
    <x v="108"/>
    <x v="0"/>
    <x v="3"/>
    <n v="13"/>
    <x v="1"/>
    <x v="61"/>
    <x v="1"/>
    <m/>
    <x v="1"/>
    <m/>
    <x v="2"/>
  </r>
  <r>
    <n v="4799649"/>
    <d v="2020-11-28T00:00:00"/>
    <x v="226"/>
    <x v="0"/>
    <x v="35"/>
    <n v="9"/>
    <x v="0"/>
    <x v="76"/>
    <x v="1"/>
    <m/>
    <x v="1"/>
    <m/>
    <x v="2"/>
  </r>
  <r>
    <n v="5559407"/>
    <d v="2021-01-09T00:00:00"/>
    <x v="232"/>
    <x v="1"/>
    <x v="65"/>
    <m/>
    <x v="0"/>
    <x v="45"/>
    <x v="0"/>
    <m/>
    <x v="1"/>
    <m/>
    <x v="0"/>
  </r>
  <r>
    <n v="1473741"/>
    <d v="2020-07-21T00:00:00"/>
    <x v="68"/>
    <x v="0"/>
    <x v="4"/>
    <n v="7"/>
    <x v="1"/>
    <x v="55"/>
    <x v="0"/>
    <m/>
    <x v="1"/>
    <m/>
    <x v="0"/>
  </r>
  <r>
    <n v="3933029"/>
    <d v="2020-10-29T00:00:00"/>
    <x v="217"/>
    <x v="0"/>
    <x v="40"/>
    <n v="8"/>
    <x v="0"/>
    <x v="75"/>
    <x v="0"/>
    <m/>
    <x v="1"/>
    <m/>
    <x v="0"/>
  </r>
  <r>
    <n v="2193764"/>
    <d v="2020-08-27T00:00:00"/>
    <x v="3"/>
    <x v="1"/>
    <x v="19"/>
    <m/>
    <x v="0"/>
    <x v="68"/>
    <x v="1"/>
    <m/>
    <x v="1"/>
    <m/>
    <x v="2"/>
  </r>
  <r>
    <n v="5562044"/>
    <d v="2020-12-24T00:00:00"/>
    <x v="134"/>
    <x v="0"/>
    <x v="36"/>
    <n v="3"/>
    <x v="0"/>
    <x v="29"/>
    <x v="1"/>
    <m/>
    <x v="1"/>
    <m/>
    <x v="2"/>
  </r>
  <r>
    <n v="4364313"/>
    <d v="2020-11-11T00:00:00"/>
    <x v="12"/>
    <x v="10"/>
    <x v="82"/>
    <m/>
    <x v="0"/>
    <x v="78"/>
    <x v="1"/>
    <m/>
    <x v="1"/>
    <m/>
    <x v="2"/>
  </r>
  <r>
    <n v="4429651"/>
    <d v="2022-01-10T00:00:00"/>
    <x v="233"/>
    <x v="1"/>
    <x v="20"/>
    <m/>
    <x v="0"/>
    <x v="79"/>
    <x v="0"/>
    <m/>
    <x v="1"/>
    <m/>
    <x v="0"/>
  </r>
  <r>
    <n v="2522213"/>
    <d v="2020-09-10T00:00:00"/>
    <x v="102"/>
    <x v="0"/>
    <x v="15"/>
    <n v="1"/>
    <x v="1"/>
    <x v="72"/>
    <x v="1"/>
    <m/>
    <x v="1"/>
    <m/>
    <x v="2"/>
  </r>
  <r>
    <n v="2752789"/>
    <d v="2020-09-20T00:00:00"/>
    <x v="65"/>
    <x v="0"/>
    <x v="26"/>
    <n v="11"/>
    <x v="1"/>
    <x v="81"/>
    <x v="0"/>
    <m/>
    <x v="1"/>
    <m/>
    <x v="0"/>
  </r>
  <r>
    <n v="5288000"/>
    <d v="2020-12-15T00:00:00"/>
    <x v="228"/>
    <x v="11"/>
    <x v="83"/>
    <m/>
    <x v="0"/>
    <x v="43"/>
    <x v="0"/>
    <d v="2020-11-01T00:00:00"/>
    <x v="1"/>
    <m/>
    <x v="0"/>
  </r>
  <r>
    <n v="887361"/>
    <d v="2020-05-05T00:00:00"/>
    <x v="234"/>
    <x v="0"/>
    <x v="37"/>
    <n v="1"/>
    <x v="0"/>
    <x v="88"/>
    <x v="0"/>
    <m/>
    <x v="1"/>
    <d v="2020-05-06T00:00:00"/>
    <x v="1"/>
  </r>
  <r>
    <n v="4457199"/>
    <d v="2020-11-14T00:00:00"/>
    <x v="225"/>
    <x v="0"/>
    <x v="10"/>
    <n v="2"/>
    <x v="0"/>
    <x v="19"/>
    <x v="1"/>
    <m/>
    <x v="1"/>
    <m/>
    <x v="2"/>
  </r>
  <r>
    <n v="763726"/>
    <d v="2020-03-21T00:00:00"/>
    <x v="115"/>
    <x v="0"/>
    <x v="2"/>
    <n v="3"/>
    <x v="1"/>
    <x v="70"/>
    <x v="1"/>
    <m/>
    <x v="1"/>
    <d v="2020-03-24T00:00:00"/>
    <x v="2"/>
  </r>
  <r>
    <n v="5304666"/>
    <d v="2020-12-15T00:00:00"/>
    <x v="228"/>
    <x v="1"/>
    <x v="21"/>
    <m/>
    <x v="1"/>
    <x v="42"/>
    <x v="1"/>
    <m/>
    <x v="1"/>
    <m/>
    <x v="2"/>
  </r>
  <r>
    <n v="3007151"/>
    <d v="2020-09-28T00:00:00"/>
    <x v="21"/>
    <x v="0"/>
    <x v="10"/>
    <n v="2"/>
    <x v="1"/>
    <x v="26"/>
    <x v="1"/>
    <m/>
    <x v="1"/>
    <m/>
    <x v="2"/>
  </r>
  <r>
    <n v="1709052"/>
    <d v="2020-08-05T00:00:00"/>
    <x v="88"/>
    <x v="0"/>
    <x v="7"/>
    <n v="6"/>
    <x v="1"/>
    <x v="16"/>
    <x v="1"/>
    <m/>
    <x v="1"/>
    <m/>
    <x v="2"/>
  </r>
  <r>
    <n v="5278594"/>
    <d v="2020-12-11T00:00:00"/>
    <x v="25"/>
    <x v="1"/>
    <x v="16"/>
    <m/>
    <x v="1"/>
    <x v="72"/>
    <x v="1"/>
    <m/>
    <x v="1"/>
    <m/>
    <x v="2"/>
  </r>
  <r>
    <n v="1069644"/>
    <d v="2020-06-12T00:00:00"/>
    <x v="157"/>
    <x v="0"/>
    <x v="40"/>
    <n v="8"/>
    <x v="1"/>
    <x v="97"/>
    <x v="1"/>
    <m/>
    <x v="1"/>
    <m/>
    <x v="2"/>
  </r>
  <r>
    <n v="5411570"/>
    <d v="2020-12-19T00:00:00"/>
    <x v="235"/>
    <x v="12"/>
    <x v="84"/>
    <m/>
    <x v="0"/>
    <x v="26"/>
    <x v="1"/>
    <m/>
    <x v="1"/>
    <m/>
    <x v="2"/>
  </r>
  <r>
    <n v="1032941"/>
    <d v="2020-06-06T00:00:00"/>
    <x v="93"/>
    <x v="1"/>
    <x v="20"/>
    <m/>
    <x v="0"/>
    <x v="32"/>
    <x v="0"/>
    <m/>
    <x v="1"/>
    <d v="2020-06-30T00:00:00"/>
    <x v="4"/>
  </r>
  <r>
    <n v="5373936"/>
    <d v="2020-12-21T00:00:00"/>
    <x v="121"/>
    <x v="0"/>
    <x v="48"/>
    <n v="5"/>
    <x v="0"/>
    <x v="31"/>
    <x v="0"/>
    <m/>
    <x v="1"/>
    <m/>
    <x v="0"/>
  </r>
  <r>
    <n v="2150031"/>
    <d v="2020-08-27T00:00:00"/>
    <x v="3"/>
    <x v="0"/>
    <x v="14"/>
    <n v="15"/>
    <x v="1"/>
    <x v="55"/>
    <x v="0"/>
    <m/>
    <x v="1"/>
    <m/>
    <x v="0"/>
  </r>
  <r>
    <n v="4704664"/>
    <d v="2020-11-23T00:00:00"/>
    <x v="214"/>
    <x v="0"/>
    <x v="37"/>
    <n v="1"/>
    <x v="1"/>
    <x v="72"/>
    <x v="1"/>
    <m/>
    <x v="1"/>
    <m/>
    <x v="2"/>
  </r>
  <r>
    <n v="5606791"/>
    <d v="2020-12-26T00:00:00"/>
    <x v="126"/>
    <x v="1"/>
    <x v="19"/>
    <m/>
    <x v="0"/>
    <x v="79"/>
    <x v="1"/>
    <m/>
    <x v="1"/>
    <m/>
    <x v="2"/>
  </r>
  <r>
    <n v="1346126"/>
    <d v="2020-07-13T00:00:00"/>
    <x v="170"/>
    <x v="0"/>
    <x v="46"/>
    <n v="4"/>
    <x v="1"/>
    <x v="90"/>
    <x v="0"/>
    <m/>
    <x v="1"/>
    <d v="2020-07-25T00:00:00"/>
    <x v="0"/>
  </r>
  <r>
    <n v="1841461"/>
    <d v="2020-08-12T00:00:00"/>
    <x v="155"/>
    <x v="0"/>
    <x v="11"/>
    <n v="14"/>
    <x v="0"/>
    <x v="31"/>
    <x v="1"/>
    <m/>
    <x v="1"/>
    <m/>
    <x v="2"/>
  </r>
  <r>
    <n v="1630521"/>
    <d v="2020-08-02T00:00:00"/>
    <x v="236"/>
    <x v="1"/>
    <x v="50"/>
    <m/>
    <x v="1"/>
    <x v="2"/>
    <x v="0"/>
    <d v="2020-12-02T00:00:00"/>
    <x v="1"/>
    <m/>
    <x v="3"/>
  </r>
  <r>
    <n v="797633"/>
    <d v="2020-04-07T00:00:00"/>
    <x v="237"/>
    <x v="0"/>
    <x v="6"/>
    <n v="5"/>
    <x v="0"/>
    <x v="4"/>
    <x v="1"/>
    <m/>
    <x v="1"/>
    <m/>
    <x v="2"/>
  </r>
  <r>
    <n v="5614768"/>
    <d v="2020-12-24T00:00:00"/>
    <x v="134"/>
    <x v="1"/>
    <x v="19"/>
    <m/>
    <x v="1"/>
    <x v="8"/>
    <x v="1"/>
    <m/>
    <x v="1"/>
    <m/>
    <x v="2"/>
  </r>
  <r>
    <n v="1257992"/>
    <d v="2020-07-05T00:00:00"/>
    <x v="81"/>
    <x v="1"/>
    <x v="16"/>
    <m/>
    <x v="1"/>
    <x v="72"/>
    <x v="0"/>
    <m/>
    <x v="1"/>
    <m/>
    <x v="1"/>
  </r>
  <r>
    <n v="3051406"/>
    <d v="2020-09-30T00:00:00"/>
    <x v="165"/>
    <x v="1"/>
    <x v="9"/>
    <m/>
    <x v="0"/>
    <x v="2"/>
    <x v="0"/>
    <m/>
    <x v="1"/>
    <m/>
    <x v="0"/>
  </r>
  <r>
    <n v="3009188"/>
    <d v="2020-09-30T00:00:00"/>
    <x v="165"/>
    <x v="0"/>
    <x v="27"/>
    <n v="12"/>
    <x v="1"/>
    <x v="48"/>
    <x v="0"/>
    <m/>
    <x v="1"/>
    <m/>
    <x v="0"/>
  </r>
  <r>
    <n v="3673767"/>
    <d v="2020-10-20T00:00:00"/>
    <x v="51"/>
    <x v="1"/>
    <x v="13"/>
    <m/>
    <x v="1"/>
    <x v="95"/>
    <x v="1"/>
    <m/>
    <x v="1"/>
    <m/>
    <x v="2"/>
  </r>
  <r>
    <n v="3570038"/>
    <d v="2020-11-01T00:00:00"/>
    <x v="205"/>
    <x v="1"/>
    <x v="67"/>
    <m/>
    <x v="0"/>
    <x v="50"/>
    <x v="1"/>
    <m/>
    <x v="1"/>
    <m/>
    <x v="2"/>
  </r>
  <r>
    <n v="1335744"/>
    <d v="2020-07-12T00:00:00"/>
    <x v="238"/>
    <x v="0"/>
    <x v="10"/>
    <n v="2"/>
    <x v="0"/>
    <x v="17"/>
    <x v="0"/>
    <m/>
    <x v="1"/>
    <m/>
    <x v="0"/>
  </r>
  <r>
    <n v="4954602"/>
    <d v="2020-12-03T00:00:00"/>
    <x v="239"/>
    <x v="0"/>
    <x v="2"/>
    <n v="3"/>
    <x v="1"/>
    <x v="18"/>
    <x v="1"/>
    <m/>
    <x v="1"/>
    <m/>
    <x v="2"/>
  </r>
  <r>
    <n v="3680728"/>
    <d v="2020-10-21T00:00:00"/>
    <x v="106"/>
    <x v="1"/>
    <x v="16"/>
    <m/>
    <x v="1"/>
    <x v="93"/>
    <x v="0"/>
    <m/>
    <x v="1"/>
    <m/>
    <x v="0"/>
  </r>
  <r>
    <n v="5029991"/>
    <d v="2020-12-02T00:00:00"/>
    <x v="219"/>
    <x v="1"/>
    <x v="9"/>
    <m/>
    <x v="1"/>
    <x v="45"/>
    <x v="1"/>
    <m/>
    <x v="1"/>
    <m/>
    <x v="2"/>
  </r>
  <r>
    <n v="4740825"/>
    <d v="2020-11-24T00:00:00"/>
    <x v="74"/>
    <x v="1"/>
    <x v="9"/>
    <m/>
    <x v="0"/>
    <x v="35"/>
    <x v="1"/>
    <m/>
    <x v="1"/>
    <m/>
    <x v="2"/>
  </r>
  <r>
    <n v="3635928"/>
    <d v="2020-10-19T00:00:00"/>
    <x v="51"/>
    <x v="1"/>
    <x v="55"/>
    <m/>
    <x v="0"/>
    <x v="71"/>
    <x v="0"/>
    <m/>
    <x v="1"/>
    <m/>
    <x v="0"/>
  </r>
  <r>
    <n v="5686267"/>
    <d v="2020-12-29T00:00:00"/>
    <x v="211"/>
    <x v="0"/>
    <x v="57"/>
    <n v="1"/>
    <x v="1"/>
    <x v="79"/>
    <x v="1"/>
    <m/>
    <x v="1"/>
    <m/>
    <x v="2"/>
  </r>
  <r>
    <n v="1495861"/>
    <d v="2020-07-23T00:00:00"/>
    <x v="6"/>
    <x v="0"/>
    <x v="2"/>
    <n v="3"/>
    <x v="1"/>
    <x v="96"/>
    <x v="0"/>
    <m/>
    <x v="1"/>
    <d v="2020-08-02T00:00:00"/>
    <x v="1"/>
  </r>
  <r>
    <n v="5055725"/>
    <d v="2020-12-08T00:00:00"/>
    <x v="240"/>
    <x v="0"/>
    <x v="11"/>
    <n v="14"/>
    <x v="1"/>
    <x v="45"/>
    <x v="0"/>
    <m/>
    <x v="1"/>
    <m/>
    <x v="0"/>
  </r>
  <r>
    <n v="2840033"/>
    <d v="2020-10-02T00:00:00"/>
    <x v="153"/>
    <x v="1"/>
    <x v="13"/>
    <m/>
    <x v="0"/>
    <x v="61"/>
    <x v="0"/>
    <m/>
    <x v="1"/>
    <m/>
    <x v="4"/>
  </r>
  <r>
    <n v="5513051"/>
    <d v="2020-12-21T00:00:00"/>
    <x v="121"/>
    <x v="0"/>
    <x v="43"/>
    <n v="11"/>
    <x v="1"/>
    <x v="45"/>
    <x v="0"/>
    <m/>
    <x v="1"/>
    <m/>
    <x v="1"/>
  </r>
  <r>
    <n v="4041542"/>
    <d v="2020-11-04T00:00:00"/>
    <x v="174"/>
    <x v="0"/>
    <x v="4"/>
    <n v="7"/>
    <x v="0"/>
    <x v="56"/>
    <x v="0"/>
    <m/>
    <x v="1"/>
    <m/>
    <x v="0"/>
  </r>
  <r>
    <n v="5353239"/>
    <d v="2020-12-17T00:00:00"/>
    <x v="167"/>
    <x v="0"/>
    <x v="37"/>
    <n v="1"/>
    <x v="1"/>
    <x v="79"/>
    <x v="1"/>
    <m/>
    <x v="1"/>
    <m/>
    <x v="2"/>
  </r>
  <r>
    <n v="2398828"/>
    <d v="2020-09-06T00:00:00"/>
    <x v="1"/>
    <x v="0"/>
    <x v="49"/>
    <n v="12"/>
    <x v="1"/>
    <x v="45"/>
    <x v="0"/>
    <m/>
    <x v="1"/>
    <m/>
    <x v="0"/>
  </r>
  <r>
    <n v="1459255"/>
    <d v="2020-07-21T00:00:00"/>
    <x v="16"/>
    <x v="1"/>
    <x v="16"/>
    <m/>
    <x v="0"/>
    <x v="65"/>
    <x v="1"/>
    <m/>
    <x v="1"/>
    <m/>
    <x v="2"/>
  </r>
  <r>
    <n v="5568250"/>
    <d v="2020-12-24T00:00:00"/>
    <x v="134"/>
    <x v="0"/>
    <x v="85"/>
    <n v="8"/>
    <x v="1"/>
    <x v="78"/>
    <x v="1"/>
    <m/>
    <x v="1"/>
    <m/>
    <x v="2"/>
  </r>
  <r>
    <n v="959422"/>
    <d v="2020-05-20T00:00:00"/>
    <x v="172"/>
    <x v="1"/>
    <x v="65"/>
    <m/>
    <x v="1"/>
    <x v="81"/>
    <x v="0"/>
    <m/>
    <x v="1"/>
    <m/>
    <x v="0"/>
  </r>
  <r>
    <n v="2938388"/>
    <d v="2020-09-27T00:00:00"/>
    <x v="140"/>
    <x v="0"/>
    <x v="42"/>
    <n v="4"/>
    <x v="0"/>
    <x v="98"/>
    <x v="0"/>
    <m/>
    <x v="1"/>
    <m/>
    <x v="0"/>
  </r>
  <r>
    <n v="5616506"/>
    <d v="2020-12-24T00:00:00"/>
    <x v="134"/>
    <x v="0"/>
    <x v="17"/>
    <n v="8"/>
    <x v="0"/>
    <x v="89"/>
    <x v="1"/>
    <m/>
    <x v="1"/>
    <m/>
    <x v="2"/>
  </r>
  <r>
    <n v="3254507"/>
    <d v="2020-10-06T00:00:00"/>
    <x v="27"/>
    <x v="1"/>
    <x v="13"/>
    <m/>
    <x v="1"/>
    <x v="78"/>
    <x v="0"/>
    <m/>
    <x v="1"/>
    <m/>
    <x v="0"/>
  </r>
  <r>
    <n v="4506627"/>
    <d v="2020-11-16T00:00:00"/>
    <x v="215"/>
    <x v="1"/>
    <x v="19"/>
    <m/>
    <x v="1"/>
    <x v="70"/>
    <x v="1"/>
    <m/>
    <x v="1"/>
    <m/>
    <x v="2"/>
  </r>
  <r>
    <n v="1244863"/>
    <d v="2020-07-03T00:00:00"/>
    <x v="93"/>
    <x v="1"/>
    <x v="13"/>
    <m/>
    <x v="1"/>
    <x v="72"/>
    <x v="1"/>
    <m/>
    <x v="1"/>
    <m/>
    <x v="2"/>
  </r>
  <r>
    <n v="3056891"/>
    <d v="2020-10-01T00:00:00"/>
    <x v="153"/>
    <x v="1"/>
    <x v="16"/>
    <m/>
    <x v="1"/>
    <x v="87"/>
    <x v="1"/>
    <m/>
    <x v="1"/>
    <m/>
    <x v="2"/>
  </r>
  <r>
    <n v="4868908"/>
    <d v="2020-11-27T00:00:00"/>
    <x v="220"/>
    <x v="0"/>
    <x v="44"/>
    <n v="10"/>
    <x v="0"/>
    <x v="77"/>
    <x v="1"/>
    <m/>
    <x v="1"/>
    <m/>
    <x v="2"/>
  </r>
  <r>
    <n v="2590989"/>
    <d v="2020-09-14T00:00:00"/>
    <x v="210"/>
    <x v="0"/>
    <x v="38"/>
    <n v="13"/>
    <x v="1"/>
    <x v="31"/>
    <x v="0"/>
    <m/>
    <x v="1"/>
    <m/>
    <x v="0"/>
  </r>
  <r>
    <n v="3046280"/>
    <d v="2020-10-01T00:00:00"/>
    <x v="165"/>
    <x v="0"/>
    <x v="10"/>
    <n v="2"/>
    <x v="0"/>
    <x v="69"/>
    <x v="0"/>
    <m/>
    <x v="1"/>
    <m/>
    <x v="0"/>
  </r>
  <r>
    <n v="1839146"/>
    <d v="2020-08-12T00:00:00"/>
    <x v="138"/>
    <x v="0"/>
    <x v="39"/>
    <n v="12"/>
    <x v="0"/>
    <x v="93"/>
    <x v="0"/>
    <m/>
    <x v="1"/>
    <d v="2020-08-19T00:00:00"/>
    <x v="1"/>
  </r>
  <r>
    <n v="2994262"/>
    <d v="2020-09-27T00:00:00"/>
    <x v="46"/>
    <x v="1"/>
    <x v="9"/>
    <m/>
    <x v="1"/>
    <x v="71"/>
    <x v="1"/>
    <m/>
    <x v="1"/>
    <m/>
    <x v="2"/>
  </r>
  <r>
    <n v="3592967"/>
    <d v="2020-10-20T00:00:00"/>
    <x v="202"/>
    <x v="1"/>
    <x v="9"/>
    <m/>
    <x v="1"/>
    <x v="67"/>
    <x v="0"/>
    <m/>
    <x v="1"/>
    <m/>
    <x v="0"/>
  </r>
  <r>
    <n v="1950076"/>
    <d v="2020-08-18T00:00:00"/>
    <x v="32"/>
    <x v="0"/>
    <x v="36"/>
    <n v="3"/>
    <x v="1"/>
    <x v="21"/>
    <x v="0"/>
    <m/>
    <x v="1"/>
    <m/>
    <x v="0"/>
  </r>
  <r>
    <n v="3340172"/>
    <d v="2020-10-11T00:00:00"/>
    <x v="230"/>
    <x v="0"/>
    <x v="45"/>
    <n v="9"/>
    <x v="1"/>
    <x v="60"/>
    <x v="0"/>
    <m/>
    <x v="1"/>
    <m/>
    <x v="3"/>
  </r>
  <r>
    <n v="1335675"/>
    <d v="2020-07-12T00:00:00"/>
    <x v="238"/>
    <x v="1"/>
    <x v="30"/>
    <m/>
    <x v="0"/>
    <x v="49"/>
    <x v="0"/>
    <m/>
    <x v="1"/>
    <m/>
    <x v="0"/>
  </r>
  <r>
    <n v="4213452"/>
    <d v="2020-11-07T00:00:00"/>
    <x v="224"/>
    <x v="1"/>
    <x v="33"/>
    <m/>
    <x v="0"/>
    <x v="68"/>
    <x v="1"/>
    <m/>
    <x v="1"/>
    <m/>
    <x v="2"/>
  </r>
  <r>
    <n v="4611925"/>
    <d v="2020-11-19T00:00:00"/>
    <x v="45"/>
    <x v="1"/>
    <x v="51"/>
    <m/>
    <x v="1"/>
    <x v="56"/>
    <x v="1"/>
    <m/>
    <x v="1"/>
    <m/>
    <x v="2"/>
  </r>
  <r>
    <n v="2477320"/>
    <d v="2020-09-07T00:00:00"/>
    <x v="89"/>
    <x v="1"/>
    <x v="52"/>
    <m/>
    <x v="1"/>
    <x v="46"/>
    <x v="0"/>
    <m/>
    <x v="1"/>
    <m/>
    <x v="0"/>
  </r>
  <r>
    <n v="5599268"/>
    <d v="2020-12-26T00:00:00"/>
    <x v="126"/>
    <x v="1"/>
    <x v="62"/>
    <m/>
    <x v="1"/>
    <x v="61"/>
    <x v="1"/>
    <m/>
    <x v="1"/>
    <m/>
    <x v="2"/>
  </r>
  <r>
    <n v="1224152"/>
    <d v="2020-06-25T00:00:00"/>
    <x v="161"/>
    <x v="0"/>
    <x v="26"/>
    <n v="11"/>
    <x v="0"/>
    <x v="28"/>
    <x v="1"/>
    <m/>
    <x v="1"/>
    <m/>
    <x v="2"/>
  </r>
  <r>
    <n v="2287409"/>
    <d v="2020-09-01T00:00:00"/>
    <x v="58"/>
    <x v="1"/>
    <x v="16"/>
    <m/>
    <x v="1"/>
    <x v="97"/>
    <x v="1"/>
    <m/>
    <x v="1"/>
    <m/>
    <x v="2"/>
  </r>
  <r>
    <n v="3744823"/>
    <d v="2020-10-24T00:00:00"/>
    <x v="190"/>
    <x v="1"/>
    <x v="50"/>
    <m/>
    <x v="0"/>
    <x v="14"/>
    <x v="1"/>
    <m/>
    <x v="1"/>
    <m/>
    <x v="2"/>
  </r>
  <r>
    <n v="3427172"/>
    <d v="2020-10-14T00:00:00"/>
    <x v="56"/>
    <x v="0"/>
    <x v="27"/>
    <n v="12"/>
    <x v="1"/>
    <x v="41"/>
    <x v="0"/>
    <m/>
    <x v="1"/>
    <m/>
    <x v="0"/>
  </r>
  <r>
    <n v="4050708"/>
    <d v="2020-11-02T00:00:00"/>
    <x v="90"/>
    <x v="0"/>
    <x v="68"/>
    <n v="1"/>
    <x v="0"/>
    <x v="79"/>
    <x v="1"/>
    <m/>
    <x v="1"/>
    <m/>
    <x v="2"/>
  </r>
  <r>
    <n v="1161198"/>
    <d v="2020-06-22T00:00:00"/>
    <x v="144"/>
    <x v="0"/>
    <x v="68"/>
    <n v="1"/>
    <x v="0"/>
    <x v="69"/>
    <x v="0"/>
    <m/>
    <x v="1"/>
    <d v="2020-07-02T00:00:00"/>
    <x v="1"/>
  </r>
  <r>
    <n v="2793807"/>
    <d v="2020-09-22T00:00:00"/>
    <x v="14"/>
    <x v="0"/>
    <x v="11"/>
    <n v="14"/>
    <x v="0"/>
    <x v="71"/>
    <x v="1"/>
    <m/>
    <x v="1"/>
    <m/>
    <x v="2"/>
  </r>
  <r>
    <n v="3361515"/>
    <d v="2020-10-10T00:00:00"/>
    <x v="222"/>
    <x v="0"/>
    <x v="28"/>
    <n v="15"/>
    <x v="0"/>
    <x v="1"/>
    <x v="0"/>
    <m/>
    <x v="1"/>
    <m/>
    <x v="1"/>
  </r>
  <r>
    <n v="1008654"/>
    <d v="2020-06-02T00:00:00"/>
    <x v="59"/>
    <x v="0"/>
    <x v="7"/>
    <n v="6"/>
    <x v="0"/>
    <x v="61"/>
    <x v="0"/>
    <m/>
    <x v="1"/>
    <d v="2020-06-09T00:00:00"/>
    <x v="0"/>
  </r>
  <r>
    <n v="2228442"/>
    <d v="2020-08-28T00:00:00"/>
    <x v="176"/>
    <x v="1"/>
    <x v="19"/>
    <m/>
    <x v="1"/>
    <x v="32"/>
    <x v="1"/>
    <m/>
    <x v="1"/>
    <m/>
    <x v="2"/>
  </r>
  <r>
    <n v="2819407"/>
    <d v="2020-09-23T00:00:00"/>
    <x v="49"/>
    <x v="1"/>
    <x v="16"/>
    <m/>
    <x v="0"/>
    <x v="24"/>
    <x v="1"/>
    <m/>
    <x v="1"/>
    <m/>
    <x v="2"/>
  </r>
  <r>
    <n v="864580"/>
    <d v="2020-04-26T00:00:00"/>
    <x v="160"/>
    <x v="0"/>
    <x v="46"/>
    <n v="4"/>
    <x v="1"/>
    <x v="55"/>
    <x v="0"/>
    <m/>
    <x v="1"/>
    <m/>
    <x v="0"/>
  </r>
  <r>
    <n v="5390806"/>
    <d v="2020-12-19T00:00:00"/>
    <x v="235"/>
    <x v="1"/>
    <x v="62"/>
    <m/>
    <x v="0"/>
    <x v="45"/>
    <x v="2"/>
    <m/>
    <x v="1"/>
    <m/>
    <x v="3"/>
  </r>
  <r>
    <n v="1640100"/>
    <d v="2020-08-02T00:00:00"/>
    <x v="236"/>
    <x v="0"/>
    <x v="17"/>
    <n v="8"/>
    <x v="1"/>
    <x v="94"/>
    <x v="0"/>
    <m/>
    <x v="1"/>
    <d v="2020-08-08T00:00:00"/>
    <x v="0"/>
  </r>
  <r>
    <n v="2724154"/>
    <d v="2020-10-17T00:00:00"/>
    <x v="229"/>
    <x v="1"/>
    <x v="65"/>
    <m/>
    <x v="0"/>
    <x v="65"/>
    <x v="0"/>
    <m/>
    <x v="1"/>
    <m/>
    <x v="0"/>
  </r>
  <r>
    <n v="3372127"/>
    <d v="2020-10-12T00:00:00"/>
    <x v="230"/>
    <x v="1"/>
    <x v="16"/>
    <m/>
    <x v="1"/>
    <x v="51"/>
    <x v="1"/>
    <m/>
    <x v="1"/>
    <m/>
    <x v="2"/>
  </r>
  <r>
    <n v="2293561"/>
    <d v="2020-09-02T00:00:00"/>
    <x v="44"/>
    <x v="0"/>
    <x v="7"/>
    <n v="6"/>
    <x v="1"/>
    <x v="42"/>
    <x v="1"/>
    <m/>
    <x v="1"/>
    <m/>
    <x v="2"/>
  </r>
  <r>
    <n v="937062"/>
    <d v="2020-05-18T00:00:00"/>
    <x v="139"/>
    <x v="1"/>
    <x v="61"/>
    <m/>
    <x v="0"/>
    <x v="78"/>
    <x v="0"/>
    <m/>
    <x v="1"/>
    <d v="2020-05-29T00:00:00"/>
    <x v="0"/>
  </r>
  <r>
    <n v="3723994"/>
    <d v="2020-10-23T00:00:00"/>
    <x v="241"/>
    <x v="0"/>
    <x v="6"/>
    <n v="5"/>
    <x v="1"/>
    <x v="90"/>
    <x v="1"/>
    <m/>
    <x v="1"/>
    <m/>
    <x v="2"/>
  </r>
  <r>
    <n v="4647143"/>
    <d v="2020-11-20T00:00:00"/>
    <x v="114"/>
    <x v="1"/>
    <x v="12"/>
    <m/>
    <x v="0"/>
    <x v="32"/>
    <x v="1"/>
    <m/>
    <x v="1"/>
    <m/>
    <x v="2"/>
  </r>
  <r>
    <n v="2140998"/>
    <d v="2020-08-25T00:00:00"/>
    <x v="131"/>
    <x v="0"/>
    <x v="2"/>
    <n v="3"/>
    <x v="0"/>
    <x v="71"/>
    <x v="0"/>
    <m/>
    <x v="1"/>
    <m/>
    <x v="0"/>
  </r>
  <r>
    <n v="5483479"/>
    <d v="2020-12-22T00:00:00"/>
    <x v="201"/>
    <x v="12"/>
    <x v="84"/>
    <m/>
    <x v="0"/>
    <x v="67"/>
    <x v="1"/>
    <m/>
    <x v="1"/>
    <m/>
    <x v="2"/>
  </r>
  <r>
    <n v="1516617"/>
    <d v="2020-07-21T00:00:00"/>
    <x v="16"/>
    <x v="1"/>
    <x v="16"/>
    <m/>
    <x v="1"/>
    <x v="78"/>
    <x v="0"/>
    <m/>
    <x v="1"/>
    <m/>
    <x v="0"/>
  </r>
  <r>
    <n v="5537989"/>
    <d v="2020-12-21T00:00:00"/>
    <x v="121"/>
    <x v="0"/>
    <x v="11"/>
    <n v="14"/>
    <x v="0"/>
    <x v="92"/>
    <x v="1"/>
    <m/>
    <x v="1"/>
    <m/>
    <x v="2"/>
  </r>
  <r>
    <n v="1011548"/>
    <d v="2020-06-01T00:00:00"/>
    <x v="242"/>
    <x v="0"/>
    <x v="34"/>
    <n v="13"/>
    <x v="1"/>
    <x v="43"/>
    <x v="0"/>
    <m/>
    <x v="1"/>
    <m/>
    <x v="0"/>
  </r>
  <r>
    <n v="2070444"/>
    <d v="2020-08-14T00:00:00"/>
    <x v="155"/>
    <x v="0"/>
    <x v="14"/>
    <n v="15"/>
    <x v="1"/>
    <x v="56"/>
    <x v="0"/>
    <m/>
    <x v="1"/>
    <m/>
    <x v="0"/>
  </r>
  <r>
    <n v="3885557"/>
    <d v="2020-10-20T00:00:00"/>
    <x v="51"/>
    <x v="0"/>
    <x v="6"/>
    <n v="5"/>
    <x v="1"/>
    <x v="59"/>
    <x v="1"/>
    <m/>
    <x v="1"/>
    <m/>
    <x v="2"/>
  </r>
  <r>
    <n v="5350438"/>
    <d v="2020-12-17T00:00:00"/>
    <x v="167"/>
    <x v="1"/>
    <x v="13"/>
    <m/>
    <x v="1"/>
    <x v="76"/>
    <x v="1"/>
    <m/>
    <x v="1"/>
    <m/>
    <x v="2"/>
  </r>
  <r>
    <n v="3500145"/>
    <d v="2020-10-16T00:00:00"/>
    <x v="229"/>
    <x v="0"/>
    <x v="48"/>
    <n v="5"/>
    <x v="0"/>
    <x v="7"/>
    <x v="1"/>
    <m/>
    <x v="1"/>
    <m/>
    <x v="2"/>
  </r>
  <r>
    <n v="1237367"/>
    <d v="2020-07-02T00:00:00"/>
    <x v="40"/>
    <x v="0"/>
    <x v="40"/>
    <n v="8"/>
    <x v="0"/>
    <x v="41"/>
    <x v="0"/>
    <m/>
    <x v="1"/>
    <d v="2020-07-13T00:00:00"/>
    <x v="1"/>
  </r>
  <r>
    <n v="4160749"/>
    <d v="2020-10-21T00:00:00"/>
    <x v="106"/>
    <x v="0"/>
    <x v="17"/>
    <n v="8"/>
    <x v="0"/>
    <x v="4"/>
    <x v="1"/>
    <m/>
    <x v="1"/>
    <m/>
    <x v="2"/>
  </r>
  <r>
    <n v="1910196"/>
    <d v="2020-08-15T00:00:00"/>
    <x v="156"/>
    <x v="0"/>
    <x v="11"/>
    <n v="14"/>
    <x v="0"/>
    <x v="43"/>
    <x v="0"/>
    <d v="2020-09-03T00:00:00"/>
    <x v="1"/>
    <m/>
    <x v="1"/>
  </r>
  <r>
    <n v="3481191"/>
    <d v="2020-10-15T00:00:00"/>
    <x v="71"/>
    <x v="1"/>
    <x v="13"/>
    <m/>
    <x v="0"/>
    <x v="92"/>
    <x v="1"/>
    <m/>
    <x v="1"/>
    <m/>
    <x v="2"/>
  </r>
  <r>
    <n v="5181834"/>
    <d v="2020-12-12T00:00:00"/>
    <x v="36"/>
    <x v="0"/>
    <x v="4"/>
    <n v="7"/>
    <x v="1"/>
    <x v="78"/>
    <x v="0"/>
    <m/>
    <x v="1"/>
    <m/>
    <x v="0"/>
  </r>
  <r>
    <n v="1740862"/>
    <d v="2020-08-06T00:00:00"/>
    <x v="0"/>
    <x v="0"/>
    <x v="59"/>
    <n v="11"/>
    <x v="0"/>
    <x v="39"/>
    <x v="1"/>
    <m/>
    <x v="1"/>
    <m/>
    <x v="2"/>
  </r>
  <r>
    <n v="1250151"/>
    <d v="2020-07-02T00:00:00"/>
    <x v="187"/>
    <x v="0"/>
    <x v="45"/>
    <n v="9"/>
    <x v="0"/>
    <x v="68"/>
    <x v="0"/>
    <m/>
    <x v="1"/>
    <m/>
    <x v="4"/>
  </r>
  <r>
    <n v="5257947"/>
    <d v="2020-12-14T00:00:00"/>
    <x v="130"/>
    <x v="0"/>
    <x v="7"/>
    <n v="6"/>
    <x v="1"/>
    <x v="77"/>
    <x v="1"/>
    <m/>
    <x v="1"/>
    <m/>
    <x v="2"/>
  </r>
  <r>
    <n v="4166446"/>
    <d v="2020-10-24T00:00:00"/>
    <x v="241"/>
    <x v="13"/>
    <x v="86"/>
    <m/>
    <x v="1"/>
    <x v="48"/>
    <x v="0"/>
    <m/>
    <x v="1"/>
    <m/>
    <x v="0"/>
  </r>
  <r>
    <n v="2843250"/>
    <d v="2020-09-23T00:00:00"/>
    <x v="171"/>
    <x v="0"/>
    <x v="11"/>
    <n v="14"/>
    <x v="1"/>
    <x v="65"/>
    <x v="0"/>
    <m/>
    <x v="1"/>
    <m/>
    <x v="3"/>
  </r>
  <r>
    <n v="2422066"/>
    <d v="2020-09-05T00:00:00"/>
    <x v="33"/>
    <x v="1"/>
    <x v="55"/>
    <m/>
    <x v="1"/>
    <x v="99"/>
    <x v="1"/>
    <m/>
    <x v="1"/>
    <m/>
    <x v="2"/>
  </r>
  <r>
    <n v="2170212"/>
    <d v="2020-08-24T00:00:00"/>
    <x v="95"/>
    <x v="0"/>
    <x v="10"/>
    <n v="2"/>
    <x v="0"/>
    <x v="43"/>
    <x v="0"/>
    <m/>
    <x v="1"/>
    <m/>
    <x v="0"/>
  </r>
  <r>
    <n v="3958974"/>
    <d v="2020-10-30T00:00:00"/>
    <x v="243"/>
    <x v="0"/>
    <x v="60"/>
    <n v="11"/>
    <x v="1"/>
    <x v="75"/>
    <x v="1"/>
    <m/>
    <x v="1"/>
    <m/>
    <x v="2"/>
  </r>
  <r>
    <n v="2623699"/>
    <d v="2020-09-15T00:00:00"/>
    <x v="210"/>
    <x v="1"/>
    <x v="21"/>
    <m/>
    <x v="1"/>
    <x v="52"/>
    <x v="0"/>
    <m/>
    <x v="1"/>
    <m/>
    <x v="3"/>
  </r>
  <r>
    <n v="1927214"/>
    <d v="2020-08-16T00:00:00"/>
    <x v="136"/>
    <x v="1"/>
    <x v="13"/>
    <m/>
    <x v="0"/>
    <x v="25"/>
    <x v="1"/>
    <m/>
    <x v="1"/>
    <m/>
    <x v="2"/>
  </r>
  <r>
    <n v="2123001"/>
    <d v="2020-08-26T00:00:00"/>
    <x v="95"/>
    <x v="0"/>
    <x v="11"/>
    <n v="14"/>
    <x v="0"/>
    <x v="76"/>
    <x v="0"/>
    <m/>
    <x v="1"/>
    <m/>
    <x v="0"/>
  </r>
  <r>
    <n v="3138919"/>
    <d v="2020-10-04T00:00:00"/>
    <x v="31"/>
    <x v="0"/>
    <x v="14"/>
    <n v="15"/>
    <x v="1"/>
    <x v="64"/>
    <x v="0"/>
    <m/>
    <x v="1"/>
    <m/>
    <x v="0"/>
  </r>
  <r>
    <n v="5386792"/>
    <d v="2020-12-18T00:00:00"/>
    <x v="244"/>
    <x v="7"/>
    <x v="87"/>
    <m/>
    <x v="1"/>
    <x v="32"/>
    <x v="1"/>
    <m/>
    <x v="1"/>
    <m/>
    <x v="2"/>
  </r>
  <r>
    <n v="3599937"/>
    <d v="2020-10-16T00:00:00"/>
    <x v="71"/>
    <x v="1"/>
    <x v="52"/>
    <m/>
    <x v="1"/>
    <x v="51"/>
    <x v="1"/>
    <m/>
    <x v="1"/>
    <m/>
    <x v="2"/>
  </r>
  <r>
    <n v="2941876"/>
    <d v="2020-09-27T00:00:00"/>
    <x v="140"/>
    <x v="1"/>
    <x v="19"/>
    <m/>
    <x v="1"/>
    <x v="68"/>
    <x v="0"/>
    <m/>
    <x v="1"/>
    <m/>
    <x v="0"/>
  </r>
  <r>
    <n v="1697174"/>
    <d v="2020-08-03T00:00:00"/>
    <x v="88"/>
    <x v="1"/>
    <x v="19"/>
    <m/>
    <x v="0"/>
    <x v="11"/>
    <x v="1"/>
    <m/>
    <x v="1"/>
    <m/>
    <x v="2"/>
  </r>
  <r>
    <n v="1067801"/>
    <d v="2020-06-11T00:00:00"/>
    <x v="84"/>
    <x v="1"/>
    <x v="16"/>
    <m/>
    <x v="0"/>
    <x v="12"/>
    <x v="1"/>
    <m/>
    <x v="1"/>
    <m/>
    <x v="2"/>
  </r>
  <r>
    <n v="2694168"/>
    <d v="2020-09-17T00:00:00"/>
    <x v="108"/>
    <x v="1"/>
    <x v="16"/>
    <m/>
    <x v="0"/>
    <x v="88"/>
    <x v="1"/>
    <m/>
    <x v="1"/>
    <m/>
    <x v="2"/>
  </r>
  <r>
    <n v="4566908"/>
    <d v="2020-11-16T00:00:00"/>
    <x v="215"/>
    <x v="0"/>
    <x v="17"/>
    <n v="8"/>
    <x v="0"/>
    <x v="29"/>
    <x v="1"/>
    <m/>
    <x v="1"/>
    <m/>
    <x v="2"/>
  </r>
  <r>
    <n v="3168569"/>
    <d v="2020-10-03T00:00:00"/>
    <x v="31"/>
    <x v="1"/>
    <x v="30"/>
    <m/>
    <x v="0"/>
    <x v="32"/>
    <x v="0"/>
    <m/>
    <x v="1"/>
    <m/>
    <x v="0"/>
  </r>
  <r>
    <n v="4039876"/>
    <d v="2020-11-03T00:00:00"/>
    <x v="90"/>
    <x v="0"/>
    <x v="46"/>
    <n v="4"/>
    <x v="0"/>
    <x v="92"/>
    <x v="0"/>
    <m/>
    <x v="1"/>
    <m/>
    <x v="0"/>
  </r>
  <r>
    <n v="2209565"/>
    <d v="2020-08-28T00:00:00"/>
    <x v="176"/>
    <x v="0"/>
    <x v="36"/>
    <n v="3"/>
    <x v="0"/>
    <x v="35"/>
    <x v="0"/>
    <m/>
    <x v="1"/>
    <m/>
    <x v="0"/>
  </r>
  <r>
    <n v="4919636"/>
    <d v="2020-11-28T00:00:00"/>
    <x v="189"/>
    <x v="1"/>
    <x v="52"/>
    <m/>
    <x v="0"/>
    <x v="71"/>
    <x v="1"/>
    <m/>
    <x v="1"/>
    <m/>
    <x v="2"/>
  </r>
  <r>
    <n v="3026712"/>
    <d v="2020-09-30T00:00:00"/>
    <x v="153"/>
    <x v="0"/>
    <x v="17"/>
    <n v="8"/>
    <x v="1"/>
    <x v="18"/>
    <x v="0"/>
    <m/>
    <x v="1"/>
    <m/>
    <x v="3"/>
  </r>
  <r>
    <n v="2008679"/>
    <d v="2020-08-20T00:00:00"/>
    <x v="11"/>
    <x v="0"/>
    <x v="46"/>
    <n v="4"/>
    <x v="1"/>
    <x v="50"/>
    <x v="0"/>
    <m/>
    <x v="1"/>
    <d v="2020-08-30T00:00:00"/>
    <x v="1"/>
  </r>
  <r>
    <n v="4645718"/>
    <d v="2020-11-22T00:00:00"/>
    <x v="149"/>
    <x v="1"/>
    <x v="16"/>
    <m/>
    <x v="0"/>
    <x v="35"/>
    <x v="2"/>
    <m/>
    <x v="1"/>
    <m/>
    <x v="3"/>
  </r>
  <r>
    <n v="1906959"/>
    <d v="2020-08-15T00:00:00"/>
    <x v="156"/>
    <x v="0"/>
    <x v="11"/>
    <n v="14"/>
    <x v="1"/>
    <x v="69"/>
    <x v="0"/>
    <m/>
    <x v="1"/>
    <m/>
    <x v="0"/>
  </r>
  <r>
    <n v="2877448"/>
    <d v="2020-09-24T00:00:00"/>
    <x v="171"/>
    <x v="0"/>
    <x v="36"/>
    <n v="3"/>
    <x v="0"/>
    <x v="60"/>
    <x v="0"/>
    <m/>
    <x v="1"/>
    <m/>
    <x v="4"/>
  </r>
  <r>
    <n v="4576972"/>
    <d v="2020-11-21T00:00:00"/>
    <x v="114"/>
    <x v="1"/>
    <x v="13"/>
    <m/>
    <x v="1"/>
    <x v="95"/>
    <x v="1"/>
    <m/>
    <x v="1"/>
    <m/>
    <x v="2"/>
  </r>
  <r>
    <n v="2097139"/>
    <d v="2020-08-21T00:00:00"/>
    <x v="37"/>
    <x v="1"/>
    <x v="55"/>
    <m/>
    <x v="1"/>
    <x v="18"/>
    <x v="0"/>
    <m/>
    <x v="1"/>
    <m/>
    <x v="0"/>
  </r>
  <r>
    <n v="3543601"/>
    <d v="2020-10-19T00:00:00"/>
    <x v="51"/>
    <x v="0"/>
    <x v="6"/>
    <n v="5"/>
    <x v="1"/>
    <x v="91"/>
    <x v="1"/>
    <m/>
    <x v="1"/>
    <m/>
    <x v="2"/>
  </r>
  <r>
    <n v="5550986"/>
    <d v="2021-12-29T00:00:00"/>
    <x v="245"/>
    <x v="0"/>
    <x v="49"/>
    <n v="12"/>
    <x v="1"/>
    <x v="3"/>
    <x v="0"/>
    <m/>
    <x v="1"/>
    <m/>
    <x v="0"/>
  </r>
  <r>
    <n v="1358526"/>
    <d v="2020-07-14T00:00:00"/>
    <x v="18"/>
    <x v="1"/>
    <x v="19"/>
    <m/>
    <x v="1"/>
    <x v="90"/>
    <x v="0"/>
    <m/>
    <x v="1"/>
    <m/>
    <x v="0"/>
  </r>
  <r>
    <n v="1802244"/>
    <d v="2020-08-10T00:00:00"/>
    <x v="8"/>
    <x v="0"/>
    <x v="42"/>
    <n v="4"/>
    <x v="0"/>
    <x v="90"/>
    <x v="0"/>
    <m/>
    <x v="1"/>
    <m/>
    <x v="0"/>
  </r>
  <r>
    <n v="1439678"/>
    <d v="2020-07-31T00:00:00"/>
    <x v="60"/>
    <x v="1"/>
    <x v="61"/>
    <m/>
    <x v="1"/>
    <x v="76"/>
    <x v="0"/>
    <m/>
    <x v="1"/>
    <m/>
    <x v="0"/>
  </r>
  <r>
    <n v="1493023"/>
    <d v="2020-07-23T00:00:00"/>
    <x v="54"/>
    <x v="0"/>
    <x v="4"/>
    <n v="7"/>
    <x v="1"/>
    <x v="93"/>
    <x v="1"/>
    <m/>
    <x v="1"/>
    <m/>
    <x v="2"/>
  </r>
  <r>
    <n v="1235912"/>
    <d v="2020-07-02T00:00:00"/>
    <x v="93"/>
    <x v="0"/>
    <x v="6"/>
    <n v="5"/>
    <x v="1"/>
    <x v="85"/>
    <x v="0"/>
    <m/>
    <x v="1"/>
    <d v="2020-07-06T00:00:00"/>
    <x v="1"/>
  </r>
  <r>
    <n v="5633284"/>
    <d v="2020-12-24T00:00:00"/>
    <x v="134"/>
    <x v="0"/>
    <x v="34"/>
    <n v="13"/>
    <x v="1"/>
    <x v="46"/>
    <x v="1"/>
    <m/>
    <x v="1"/>
    <m/>
    <x v="2"/>
  </r>
  <r>
    <n v="4953412"/>
    <d v="2020-12-01T00:00:00"/>
    <x v="219"/>
    <x v="0"/>
    <x v="4"/>
    <n v="7"/>
    <x v="1"/>
    <x v="45"/>
    <x v="1"/>
    <m/>
    <x v="1"/>
    <m/>
    <x v="2"/>
  </r>
  <r>
    <n v="4698458"/>
    <d v="2020-11-24T00:00:00"/>
    <x v="214"/>
    <x v="0"/>
    <x v="17"/>
    <n v="8"/>
    <x v="1"/>
    <x v="55"/>
    <x v="0"/>
    <m/>
    <x v="1"/>
    <m/>
    <x v="0"/>
  </r>
  <r>
    <n v="2896387"/>
    <d v="2020-09-21T00:00:00"/>
    <x v="96"/>
    <x v="14"/>
    <x v="88"/>
    <m/>
    <x v="1"/>
    <x v="57"/>
    <x v="0"/>
    <m/>
    <x v="1"/>
    <m/>
    <x v="0"/>
  </r>
  <r>
    <n v="5114565"/>
    <d v="2020-12-05T00:00:00"/>
    <x v="110"/>
    <x v="0"/>
    <x v="11"/>
    <n v="14"/>
    <x v="0"/>
    <x v="10"/>
    <x v="1"/>
    <m/>
    <x v="1"/>
    <m/>
    <x v="2"/>
  </r>
  <r>
    <n v="3635855"/>
    <d v="2020-10-19T00:00:00"/>
    <x v="51"/>
    <x v="0"/>
    <x v="6"/>
    <n v="5"/>
    <x v="1"/>
    <x v="51"/>
    <x v="1"/>
    <m/>
    <x v="1"/>
    <m/>
    <x v="2"/>
  </r>
  <r>
    <n v="3656542"/>
    <d v="2020-10-20T00:00:00"/>
    <x v="106"/>
    <x v="1"/>
    <x v="21"/>
    <m/>
    <x v="0"/>
    <x v="72"/>
    <x v="1"/>
    <m/>
    <x v="1"/>
    <m/>
    <x v="2"/>
  </r>
  <r>
    <n v="1075871"/>
    <d v="2020-06-12T00:00:00"/>
    <x v="151"/>
    <x v="0"/>
    <x v="17"/>
    <n v="8"/>
    <x v="1"/>
    <x v="93"/>
    <x v="0"/>
    <m/>
    <x v="1"/>
    <d v="2020-06-23T00:00:00"/>
    <x v="1"/>
  </r>
  <r>
    <n v="5508604"/>
    <d v="2020-12-22T00:00:00"/>
    <x v="201"/>
    <x v="1"/>
    <x v="16"/>
    <m/>
    <x v="1"/>
    <x v="78"/>
    <x v="1"/>
    <m/>
    <x v="1"/>
    <m/>
    <x v="2"/>
  </r>
  <r>
    <n v="4973261"/>
    <d v="2020-12-03T00:00:00"/>
    <x v="239"/>
    <x v="0"/>
    <x v="23"/>
    <n v="9"/>
    <x v="1"/>
    <x v="61"/>
    <x v="0"/>
    <m/>
    <x v="1"/>
    <m/>
    <x v="0"/>
  </r>
  <r>
    <n v="2833359"/>
    <d v="2020-09-22T00:00:00"/>
    <x v="14"/>
    <x v="0"/>
    <x v="24"/>
    <n v="4"/>
    <x v="0"/>
    <x v="48"/>
    <x v="1"/>
    <m/>
    <x v="1"/>
    <m/>
    <x v="2"/>
  </r>
  <r>
    <n v="1937116"/>
    <d v="2020-08-17T00:00:00"/>
    <x v="136"/>
    <x v="1"/>
    <x v="12"/>
    <m/>
    <x v="1"/>
    <x v="81"/>
    <x v="0"/>
    <m/>
    <x v="1"/>
    <d v="2020-08-27T00:00:00"/>
    <x v="1"/>
  </r>
  <r>
    <n v="5526893"/>
    <d v="2020-12-22T00:00:00"/>
    <x v="91"/>
    <x v="1"/>
    <x v="20"/>
    <m/>
    <x v="1"/>
    <x v="73"/>
    <x v="0"/>
    <m/>
    <x v="1"/>
    <m/>
    <x v="0"/>
  </r>
  <r>
    <n v="2088347"/>
    <d v="2020-08-25T00:00:00"/>
    <x v="95"/>
    <x v="1"/>
    <x v="62"/>
    <m/>
    <x v="0"/>
    <x v="83"/>
    <x v="1"/>
    <m/>
    <x v="1"/>
    <m/>
    <x v="2"/>
  </r>
  <r>
    <n v="2849184"/>
    <d v="2020-09-23T00:00:00"/>
    <x v="49"/>
    <x v="15"/>
    <x v="89"/>
    <m/>
    <x v="0"/>
    <x v="95"/>
    <x v="1"/>
    <m/>
    <x v="1"/>
    <m/>
    <x v="4"/>
  </r>
  <r>
    <n v="4261075"/>
    <d v="2020-11-10T00:00:00"/>
    <x v="162"/>
    <x v="0"/>
    <x v="10"/>
    <n v="2"/>
    <x v="1"/>
    <x v="35"/>
    <x v="0"/>
    <m/>
    <x v="1"/>
    <m/>
    <x v="0"/>
  </r>
  <r>
    <n v="1653044"/>
    <d v="2020-08-02T00:00:00"/>
    <x v="236"/>
    <x v="0"/>
    <x v="6"/>
    <n v="5"/>
    <x v="0"/>
    <x v="23"/>
    <x v="0"/>
    <m/>
    <x v="1"/>
    <m/>
    <x v="1"/>
  </r>
  <r>
    <n v="852677"/>
    <d v="2020-04-24T00:00:00"/>
    <x v="246"/>
    <x v="1"/>
    <x v="5"/>
    <m/>
    <x v="0"/>
    <x v="42"/>
    <x v="1"/>
    <m/>
    <x v="1"/>
    <m/>
    <x v="2"/>
  </r>
  <r>
    <n v="2931757"/>
    <d v="2020-09-26T00:00:00"/>
    <x v="140"/>
    <x v="0"/>
    <x v="39"/>
    <n v="12"/>
    <x v="0"/>
    <x v="30"/>
    <x v="1"/>
    <m/>
    <x v="1"/>
    <m/>
    <x v="2"/>
  </r>
  <r>
    <n v="1236969"/>
    <d v="2020-07-02T00:00:00"/>
    <x v="187"/>
    <x v="0"/>
    <x v="58"/>
    <n v="15"/>
    <x v="1"/>
    <x v="95"/>
    <x v="1"/>
    <m/>
    <x v="1"/>
    <m/>
    <x v="2"/>
  </r>
  <r>
    <n v="3519856"/>
    <d v="2020-10-13T00:00:00"/>
    <x v="164"/>
    <x v="1"/>
    <x v="16"/>
    <m/>
    <x v="1"/>
    <x v="57"/>
    <x v="1"/>
    <m/>
    <x v="1"/>
    <m/>
    <x v="2"/>
  </r>
  <r>
    <n v="2064097"/>
    <d v="2020-08-23T00:00:00"/>
    <x v="37"/>
    <x v="0"/>
    <x v="22"/>
    <n v="10"/>
    <x v="0"/>
    <x v="69"/>
    <x v="0"/>
    <m/>
    <x v="1"/>
    <d v="2020-09-06T00:00:00"/>
    <x v="0"/>
  </r>
  <r>
    <n v="1264918"/>
    <d v="2020-07-02T00:00:00"/>
    <x v="40"/>
    <x v="1"/>
    <x v="50"/>
    <m/>
    <x v="1"/>
    <x v="67"/>
    <x v="1"/>
    <m/>
    <x v="1"/>
    <m/>
    <x v="2"/>
  </r>
  <r>
    <n v="2397211"/>
    <d v="2020-09-04T00:00:00"/>
    <x v="33"/>
    <x v="1"/>
    <x v="19"/>
    <m/>
    <x v="0"/>
    <x v="71"/>
    <x v="0"/>
    <m/>
    <x v="1"/>
    <m/>
    <x v="0"/>
  </r>
  <r>
    <n v="1702324"/>
    <d v="2020-08-05T00:00:00"/>
    <x v="88"/>
    <x v="1"/>
    <x v="65"/>
    <m/>
    <x v="1"/>
    <x v="86"/>
    <x v="2"/>
    <m/>
    <x v="1"/>
    <m/>
    <x v="3"/>
  </r>
  <r>
    <n v="5379959"/>
    <d v="2020-12-18T00:00:00"/>
    <x v="235"/>
    <x v="0"/>
    <x v="34"/>
    <n v="13"/>
    <x v="1"/>
    <x v="50"/>
    <x v="0"/>
    <m/>
    <x v="1"/>
    <m/>
    <x v="0"/>
  </r>
  <r>
    <n v="4676657"/>
    <d v="2020-11-24T00:00:00"/>
    <x v="214"/>
    <x v="0"/>
    <x v="3"/>
    <n v="13"/>
    <x v="1"/>
    <x v="87"/>
    <x v="1"/>
    <m/>
    <x v="1"/>
    <m/>
    <x v="2"/>
  </r>
  <r>
    <n v="4684380"/>
    <d v="2020-11-18T00:00:00"/>
    <x v="45"/>
    <x v="0"/>
    <x v="17"/>
    <n v="8"/>
    <x v="0"/>
    <x v="43"/>
    <x v="1"/>
    <m/>
    <x v="1"/>
    <m/>
    <x v="2"/>
  </r>
  <r>
    <n v="4872053"/>
    <d v="2020-12-01T00:00:00"/>
    <x v="57"/>
    <x v="1"/>
    <x v="62"/>
    <m/>
    <x v="0"/>
    <x v="50"/>
    <x v="2"/>
    <m/>
    <x v="1"/>
    <m/>
    <x v="3"/>
  </r>
  <r>
    <n v="1515110"/>
    <d v="2020-07-25T00:00:00"/>
    <x v="124"/>
    <x v="1"/>
    <x v="55"/>
    <m/>
    <x v="1"/>
    <x v="67"/>
    <x v="0"/>
    <m/>
    <x v="1"/>
    <d v="2020-08-01T00:00:00"/>
    <x v="0"/>
  </r>
  <r>
    <n v="3903942"/>
    <d v="2020-10-29T00:00:00"/>
    <x v="206"/>
    <x v="1"/>
    <x v="16"/>
    <m/>
    <x v="1"/>
    <x v="83"/>
    <x v="0"/>
    <m/>
    <x v="1"/>
    <m/>
    <x v="0"/>
  </r>
  <r>
    <n v="2994679"/>
    <d v="2020-09-29T00:00:00"/>
    <x v="21"/>
    <x v="1"/>
    <x v="16"/>
    <m/>
    <x v="1"/>
    <x v="79"/>
    <x v="1"/>
    <m/>
    <x v="1"/>
    <m/>
    <x v="2"/>
  </r>
  <r>
    <n v="2422486"/>
    <d v="2020-09-18T00:00:00"/>
    <x v="65"/>
    <x v="0"/>
    <x v="42"/>
    <n v="4"/>
    <x v="0"/>
    <x v="2"/>
    <x v="0"/>
    <m/>
    <x v="1"/>
    <m/>
    <x v="0"/>
  </r>
  <r>
    <n v="3298167"/>
    <d v="2020-10-08T00:00:00"/>
    <x v="63"/>
    <x v="1"/>
    <x v="30"/>
    <m/>
    <x v="1"/>
    <x v="93"/>
    <x v="1"/>
    <m/>
    <x v="1"/>
    <m/>
    <x v="2"/>
  </r>
  <r>
    <n v="3780926"/>
    <d v="2020-10-26T00:00:00"/>
    <x v="87"/>
    <x v="1"/>
    <x v="33"/>
    <m/>
    <x v="1"/>
    <x v="31"/>
    <x v="0"/>
    <m/>
    <x v="1"/>
    <m/>
    <x v="0"/>
  </r>
  <r>
    <n v="2641502"/>
    <d v="2020-09-14T00:00:00"/>
    <x v="41"/>
    <x v="1"/>
    <x v="51"/>
    <m/>
    <x v="0"/>
    <x v="97"/>
    <x v="1"/>
    <m/>
    <x v="1"/>
    <m/>
    <x v="2"/>
  </r>
  <r>
    <n v="5767489"/>
    <d v="2020-12-29T00:00:00"/>
    <x v="96"/>
    <x v="1"/>
    <x v="50"/>
    <m/>
    <x v="1"/>
    <x v="61"/>
    <x v="0"/>
    <m/>
    <x v="1"/>
    <m/>
    <x v="0"/>
  </r>
  <r>
    <n v="967839"/>
    <d v="2020-05-25T00:00:00"/>
    <x v="247"/>
    <x v="1"/>
    <x v="12"/>
    <m/>
    <x v="1"/>
    <x v="67"/>
    <x v="1"/>
    <m/>
    <x v="1"/>
    <m/>
    <x v="2"/>
  </r>
  <r>
    <n v="2781780"/>
    <d v="2020-09-21T00:00:00"/>
    <x v="141"/>
    <x v="1"/>
    <x v="16"/>
    <m/>
    <x v="0"/>
    <x v="77"/>
    <x v="2"/>
    <m/>
    <x v="1"/>
    <m/>
    <x v="3"/>
  </r>
  <r>
    <n v="5359116"/>
    <d v="2020-12-17T00:00:00"/>
    <x v="167"/>
    <x v="5"/>
    <x v="90"/>
    <m/>
    <x v="0"/>
    <x v="96"/>
    <x v="1"/>
    <m/>
    <x v="1"/>
    <m/>
    <x v="2"/>
  </r>
  <r>
    <n v="5767775"/>
    <d v="2020-12-28T00:00:00"/>
    <x v="211"/>
    <x v="1"/>
    <x v="65"/>
    <m/>
    <x v="1"/>
    <x v="83"/>
    <x v="0"/>
    <m/>
    <x v="1"/>
    <m/>
    <x v="0"/>
  </r>
  <r>
    <n v="1093102"/>
    <d v="2020-06-16T00:00:00"/>
    <x v="94"/>
    <x v="0"/>
    <x v="0"/>
    <n v="15"/>
    <x v="1"/>
    <x v="91"/>
    <x v="0"/>
    <m/>
    <x v="1"/>
    <d v="2020-06-26T00:00:00"/>
    <x v="0"/>
  </r>
  <r>
    <n v="892094"/>
    <d v="2020-05-06T00:00:00"/>
    <x v="178"/>
    <x v="1"/>
    <x v="16"/>
    <m/>
    <x v="0"/>
    <x v="91"/>
    <x v="1"/>
    <m/>
    <x v="1"/>
    <m/>
    <x v="2"/>
  </r>
  <r>
    <n v="1688931"/>
    <d v="2020-08-03T00:00:00"/>
    <x v="207"/>
    <x v="0"/>
    <x v="14"/>
    <n v="15"/>
    <x v="0"/>
    <x v="92"/>
    <x v="0"/>
    <m/>
    <x v="1"/>
    <m/>
    <x v="0"/>
  </r>
  <r>
    <n v="2933251"/>
    <d v="2020-09-25T00:00:00"/>
    <x v="192"/>
    <x v="1"/>
    <x v="61"/>
    <m/>
    <x v="0"/>
    <x v="60"/>
    <x v="1"/>
    <m/>
    <x v="1"/>
    <m/>
    <x v="2"/>
  </r>
  <r>
    <n v="4720510"/>
    <d v="2020-11-23T00:00:00"/>
    <x v="214"/>
    <x v="0"/>
    <x v="23"/>
    <n v="9"/>
    <x v="1"/>
    <x v="52"/>
    <x v="1"/>
    <m/>
    <x v="1"/>
    <m/>
    <x v="2"/>
  </r>
  <r>
    <n v="5391945"/>
    <d v="2020-12-18T00:00:00"/>
    <x v="244"/>
    <x v="0"/>
    <x v="2"/>
    <n v="3"/>
    <x v="0"/>
    <x v="31"/>
    <x v="0"/>
    <m/>
    <x v="1"/>
    <m/>
    <x v="3"/>
  </r>
  <r>
    <n v="4381736"/>
    <d v="2020-11-13T00:00:00"/>
    <x v="197"/>
    <x v="0"/>
    <x v="40"/>
    <n v="8"/>
    <x v="0"/>
    <x v="78"/>
    <x v="0"/>
    <m/>
    <x v="1"/>
    <m/>
    <x v="0"/>
  </r>
  <r>
    <n v="3873636"/>
    <d v="2020-10-28T00:00:00"/>
    <x v="87"/>
    <x v="0"/>
    <x v="38"/>
    <n v="13"/>
    <x v="1"/>
    <x v="25"/>
    <x v="0"/>
    <m/>
    <x v="1"/>
    <m/>
    <x v="0"/>
  </r>
  <r>
    <n v="995456"/>
    <d v="2020-05-30T00:00:00"/>
    <x v="109"/>
    <x v="0"/>
    <x v="37"/>
    <n v="1"/>
    <x v="1"/>
    <x v="100"/>
    <x v="0"/>
    <m/>
    <x v="1"/>
    <m/>
    <x v="1"/>
  </r>
  <r>
    <n v="1120557"/>
    <d v="2020-06-19T00:00:00"/>
    <x v="160"/>
    <x v="0"/>
    <x v="59"/>
    <n v="11"/>
    <x v="1"/>
    <x v="97"/>
    <x v="0"/>
    <m/>
    <x v="1"/>
    <d v="2020-06-26T00:00:00"/>
    <x v="0"/>
  </r>
  <r>
    <n v="5755171"/>
    <d v="2020-12-28T00:00:00"/>
    <x v="194"/>
    <x v="0"/>
    <x v="6"/>
    <n v="5"/>
    <x v="0"/>
    <x v="16"/>
    <x v="1"/>
    <m/>
    <x v="1"/>
    <m/>
    <x v="2"/>
  </r>
  <r>
    <n v="5770963"/>
    <d v="2020-12-30T00:00:00"/>
    <x v="96"/>
    <x v="1"/>
    <x v="16"/>
    <m/>
    <x v="0"/>
    <x v="86"/>
    <x v="1"/>
    <m/>
    <x v="1"/>
    <m/>
    <x v="2"/>
  </r>
  <r>
    <n v="3616805"/>
    <d v="2020-10-20T00:00:00"/>
    <x v="51"/>
    <x v="0"/>
    <x v="45"/>
    <n v="9"/>
    <x v="0"/>
    <x v="73"/>
    <x v="1"/>
    <m/>
    <x v="1"/>
    <m/>
    <x v="2"/>
  </r>
  <r>
    <n v="1384532"/>
    <d v="2020-07-16T00:00:00"/>
    <x v="66"/>
    <x v="0"/>
    <x v="15"/>
    <n v="1"/>
    <x v="1"/>
    <x v="18"/>
    <x v="0"/>
    <m/>
    <x v="1"/>
    <d v="2020-07-26T00:00:00"/>
    <x v="1"/>
  </r>
  <r>
    <n v="2254851"/>
    <d v="2020-08-31T00:00:00"/>
    <x v="80"/>
    <x v="1"/>
    <x v="30"/>
    <m/>
    <x v="0"/>
    <x v="45"/>
    <x v="1"/>
    <m/>
    <x v="1"/>
    <m/>
    <x v="2"/>
  </r>
  <r>
    <n v="4678002"/>
    <d v="2020-11-19T00:00:00"/>
    <x v="114"/>
    <x v="1"/>
    <x v="33"/>
    <m/>
    <x v="0"/>
    <x v="71"/>
    <x v="1"/>
    <m/>
    <x v="1"/>
    <m/>
    <x v="2"/>
  </r>
  <r>
    <n v="957662"/>
    <d v="2020-05-22T00:00:00"/>
    <x v="86"/>
    <x v="0"/>
    <x v="7"/>
    <n v="6"/>
    <x v="1"/>
    <x v="101"/>
    <x v="0"/>
    <m/>
    <x v="1"/>
    <d v="2020-06-01T00:00:00"/>
    <x v="1"/>
  </r>
  <r>
    <n v="1538273"/>
    <d v="2020-07-22T00:00:00"/>
    <x v="68"/>
    <x v="1"/>
    <x v="52"/>
    <m/>
    <x v="0"/>
    <x v="52"/>
    <x v="0"/>
    <m/>
    <x v="1"/>
    <m/>
    <x v="1"/>
  </r>
  <r>
    <n v="1118794"/>
    <d v="2020-06-19T00:00:00"/>
    <x v="160"/>
    <x v="1"/>
    <x v="16"/>
    <m/>
    <x v="1"/>
    <x v="88"/>
    <x v="0"/>
    <m/>
    <x v="1"/>
    <d v="2021-10-14T00:00:00"/>
    <x v="1"/>
  </r>
  <r>
    <n v="4737597"/>
    <d v="2020-11-25T00:00:00"/>
    <x v="15"/>
    <x v="0"/>
    <x v="44"/>
    <n v="10"/>
    <x v="0"/>
    <x v="6"/>
    <x v="1"/>
    <m/>
    <x v="1"/>
    <m/>
    <x v="2"/>
  </r>
  <r>
    <n v="4552344"/>
    <d v="2021-03-30T00:00:00"/>
    <x v="248"/>
    <x v="1"/>
    <x v="50"/>
    <m/>
    <x v="1"/>
    <x v="52"/>
    <x v="0"/>
    <m/>
    <x v="1"/>
    <m/>
    <x v="0"/>
  </r>
  <r>
    <n v="5387517"/>
    <d v="2020-12-18T00:00:00"/>
    <x v="244"/>
    <x v="1"/>
    <x v="91"/>
    <m/>
    <x v="0"/>
    <x v="32"/>
    <x v="1"/>
    <m/>
    <x v="1"/>
    <m/>
    <x v="2"/>
  </r>
  <r>
    <n v="1445090"/>
    <d v="2020-07-21T00:00:00"/>
    <x v="68"/>
    <x v="0"/>
    <x v="23"/>
    <n v="9"/>
    <x v="0"/>
    <x v="43"/>
    <x v="0"/>
    <m/>
    <x v="1"/>
    <m/>
    <x v="4"/>
  </r>
  <r>
    <n v="1031909"/>
    <d v="2020-06-28T00:00:00"/>
    <x v="68"/>
    <x v="0"/>
    <x v="7"/>
    <n v="6"/>
    <x v="1"/>
    <x v="78"/>
    <x v="0"/>
    <m/>
    <x v="1"/>
    <m/>
    <x v="4"/>
  </r>
  <r>
    <n v="2228079"/>
    <d v="2020-08-28T00:00:00"/>
    <x v="158"/>
    <x v="0"/>
    <x v="64"/>
    <n v="7"/>
    <x v="1"/>
    <x v="70"/>
    <x v="0"/>
    <m/>
    <x v="1"/>
    <d v="2020-09-09T00:00:00"/>
    <x v="0"/>
  </r>
  <r>
    <n v="3997851"/>
    <d v="2020-10-31T00:00:00"/>
    <x v="227"/>
    <x v="0"/>
    <x v="45"/>
    <n v="9"/>
    <x v="0"/>
    <x v="70"/>
    <x v="0"/>
    <m/>
    <x v="1"/>
    <d v="2020-11-11T00:00:00"/>
    <x v="0"/>
  </r>
  <r>
    <n v="3336731"/>
    <d v="2020-10-03T00:00:00"/>
    <x v="249"/>
    <x v="0"/>
    <x v="25"/>
    <n v="4"/>
    <x v="0"/>
    <x v="75"/>
    <x v="0"/>
    <m/>
    <x v="1"/>
    <m/>
    <x v="0"/>
  </r>
  <r>
    <n v="1448031"/>
    <d v="2020-07-21T00:00:00"/>
    <x v="16"/>
    <x v="0"/>
    <x v="3"/>
    <n v="13"/>
    <x v="1"/>
    <x v="54"/>
    <x v="0"/>
    <m/>
    <x v="1"/>
    <m/>
    <x v="1"/>
  </r>
  <r>
    <n v="1063726"/>
    <d v="2020-06-11T00:00:00"/>
    <x v="151"/>
    <x v="0"/>
    <x v="34"/>
    <n v="13"/>
    <x v="0"/>
    <x v="63"/>
    <x v="0"/>
    <m/>
    <x v="1"/>
    <m/>
    <x v="0"/>
  </r>
  <r>
    <n v="3478815"/>
    <d v="2020-10-16T00:00:00"/>
    <x v="71"/>
    <x v="1"/>
    <x v="16"/>
    <m/>
    <x v="1"/>
    <x v="78"/>
    <x v="1"/>
    <m/>
    <x v="1"/>
    <m/>
    <x v="2"/>
  </r>
  <r>
    <n v="5313327"/>
    <d v="2020-12-14T00:00:00"/>
    <x v="130"/>
    <x v="0"/>
    <x v="31"/>
    <n v="10"/>
    <x v="1"/>
    <x v="26"/>
    <x v="1"/>
    <m/>
    <x v="1"/>
    <m/>
    <x v="2"/>
  </r>
  <r>
    <n v="3264604"/>
    <d v="2020-10-06T00:00:00"/>
    <x v="129"/>
    <x v="1"/>
    <x v="55"/>
    <m/>
    <x v="0"/>
    <x v="61"/>
    <x v="0"/>
    <m/>
    <x v="1"/>
    <m/>
    <x v="0"/>
  </r>
  <r>
    <n v="848820"/>
    <d v="2020-04-22T00:00:00"/>
    <x v="35"/>
    <x v="1"/>
    <x v="16"/>
    <m/>
    <x v="0"/>
    <x v="90"/>
    <x v="1"/>
    <m/>
    <x v="1"/>
    <m/>
    <x v="2"/>
  </r>
  <r>
    <n v="1535461"/>
    <d v="2020-07-24T00:00:00"/>
    <x v="6"/>
    <x v="1"/>
    <x v="16"/>
    <m/>
    <x v="1"/>
    <x v="77"/>
    <x v="0"/>
    <m/>
    <x v="1"/>
    <m/>
    <x v="0"/>
  </r>
  <r>
    <n v="2468783"/>
    <d v="2020-09-07T00:00:00"/>
    <x v="89"/>
    <x v="0"/>
    <x v="11"/>
    <n v="14"/>
    <x v="0"/>
    <x v="83"/>
    <x v="0"/>
    <m/>
    <x v="1"/>
    <m/>
    <x v="0"/>
  </r>
  <r>
    <n v="4256807"/>
    <d v="2020-11-09T00:00:00"/>
    <x v="250"/>
    <x v="0"/>
    <x v="58"/>
    <n v="15"/>
    <x v="0"/>
    <x v="73"/>
    <x v="0"/>
    <m/>
    <x v="1"/>
    <m/>
    <x v="0"/>
  </r>
  <r>
    <n v="1857687"/>
    <d v="2020-08-09T00:00:00"/>
    <x v="8"/>
    <x v="0"/>
    <x v="39"/>
    <n v="12"/>
    <x v="1"/>
    <x v="83"/>
    <x v="0"/>
    <m/>
    <x v="1"/>
    <d v="2020-08-17T00:00:00"/>
    <x v="0"/>
  </r>
  <r>
    <n v="3158363"/>
    <d v="2020-10-02T00:00:00"/>
    <x v="249"/>
    <x v="1"/>
    <x v="16"/>
    <m/>
    <x v="1"/>
    <x v="55"/>
    <x v="1"/>
    <m/>
    <x v="1"/>
    <d v="2020-10-05T00:00:00"/>
    <x v="2"/>
  </r>
  <r>
    <n v="1441755"/>
    <d v="2020-07-20T00:00:00"/>
    <x v="120"/>
    <x v="0"/>
    <x v="17"/>
    <n v="8"/>
    <x v="0"/>
    <x v="90"/>
    <x v="0"/>
    <m/>
    <x v="1"/>
    <d v="2020-07-30T00:00:00"/>
    <x v="1"/>
  </r>
  <r>
    <n v="2007282"/>
    <d v="2020-08-12T00:00:00"/>
    <x v="138"/>
    <x v="0"/>
    <x v="41"/>
    <n v="1"/>
    <x v="1"/>
    <x v="59"/>
    <x v="1"/>
    <m/>
    <x v="1"/>
    <d v="2020-08-11T00:00:00"/>
    <x v="2"/>
  </r>
  <r>
    <n v="1865402"/>
    <d v="2020-08-11T00:00:00"/>
    <x v="156"/>
    <x v="1"/>
    <x v="30"/>
    <m/>
    <x v="1"/>
    <x v="56"/>
    <x v="0"/>
    <m/>
    <x v="1"/>
    <m/>
    <x v="1"/>
  </r>
  <r>
    <n v="5289112"/>
    <d v="2020-12-18T00:00:00"/>
    <x v="212"/>
    <x v="1"/>
    <x v="33"/>
    <m/>
    <x v="0"/>
    <x v="35"/>
    <x v="0"/>
    <m/>
    <x v="1"/>
    <m/>
    <x v="0"/>
  </r>
  <r>
    <n v="2509824"/>
    <d v="2020-09-09T00:00:00"/>
    <x v="102"/>
    <x v="1"/>
    <x v="51"/>
    <m/>
    <x v="0"/>
    <x v="75"/>
    <x v="0"/>
    <m/>
    <x v="1"/>
    <m/>
    <x v="0"/>
  </r>
  <r>
    <n v="4185486"/>
    <d v="2020-11-06T00:00:00"/>
    <x v="198"/>
    <x v="0"/>
    <x v="6"/>
    <n v="5"/>
    <x v="1"/>
    <x v="5"/>
    <x v="1"/>
    <m/>
    <x v="1"/>
    <m/>
    <x v="2"/>
  </r>
  <r>
    <n v="4852872"/>
    <d v="2021-01-11T00:00:00"/>
    <x v="251"/>
    <x v="0"/>
    <x v="69"/>
    <n v="10"/>
    <x v="0"/>
    <x v="95"/>
    <x v="0"/>
    <m/>
    <x v="1"/>
    <m/>
    <x v="0"/>
  </r>
  <r>
    <n v="2450086"/>
    <d v="2020-09-06T00:00:00"/>
    <x v="38"/>
    <x v="0"/>
    <x v="41"/>
    <n v="1"/>
    <x v="0"/>
    <x v="32"/>
    <x v="1"/>
    <m/>
    <x v="1"/>
    <m/>
    <x v="2"/>
  </r>
  <r>
    <n v="2053603"/>
    <d v="2020-08-20T00:00:00"/>
    <x v="147"/>
    <x v="1"/>
    <x v="52"/>
    <m/>
    <x v="0"/>
    <x v="57"/>
    <x v="0"/>
    <m/>
    <x v="1"/>
    <m/>
    <x v="0"/>
  </r>
  <r>
    <n v="1423712"/>
    <d v="2020-07-17T00:00:00"/>
    <x v="120"/>
    <x v="1"/>
    <x v="5"/>
    <m/>
    <x v="0"/>
    <x v="11"/>
    <x v="0"/>
    <m/>
    <x v="1"/>
    <m/>
    <x v="0"/>
  </r>
  <r>
    <n v="4538910"/>
    <d v="2020-11-18T00:00:00"/>
    <x v="168"/>
    <x v="1"/>
    <x v="65"/>
    <m/>
    <x v="0"/>
    <x v="43"/>
    <x v="1"/>
    <m/>
    <x v="1"/>
    <m/>
    <x v="2"/>
  </r>
  <r>
    <n v="1320094"/>
    <d v="2020-07-10T00:00:00"/>
    <x v="204"/>
    <x v="1"/>
    <x v="5"/>
    <m/>
    <x v="1"/>
    <x v="24"/>
    <x v="0"/>
    <m/>
    <x v="1"/>
    <d v="2020-07-28T00:00:00"/>
    <x v="0"/>
  </r>
  <r>
    <n v="2635663"/>
    <d v="2020-08-25T00:00:00"/>
    <x v="131"/>
    <x v="1"/>
    <x v="12"/>
    <m/>
    <x v="0"/>
    <x v="45"/>
    <x v="1"/>
    <m/>
    <x v="1"/>
    <m/>
    <x v="2"/>
  </r>
  <r>
    <n v="5145864"/>
    <d v="2020-08-17T00:00:00"/>
    <x v="136"/>
    <x v="0"/>
    <x v="26"/>
    <n v="11"/>
    <x v="0"/>
    <x v="48"/>
    <x v="1"/>
    <m/>
    <x v="1"/>
    <m/>
    <x v="2"/>
  </r>
  <r>
    <n v="2430819"/>
    <d v="2020-09-08T00:00:00"/>
    <x v="7"/>
    <x v="1"/>
    <x v="16"/>
    <m/>
    <x v="1"/>
    <x v="12"/>
    <x v="0"/>
    <m/>
    <x v="1"/>
    <m/>
    <x v="0"/>
  </r>
  <r>
    <n v="2701910"/>
    <d v="2020-09-17T00:00:00"/>
    <x v="108"/>
    <x v="0"/>
    <x v="2"/>
    <n v="3"/>
    <x v="0"/>
    <x v="26"/>
    <x v="0"/>
    <m/>
    <x v="1"/>
    <d v="2020-09-27T00:00:00"/>
    <x v="3"/>
  </r>
  <r>
    <n v="936531"/>
    <d v="2020-05-18T00:00:00"/>
    <x v="19"/>
    <x v="0"/>
    <x v="37"/>
    <n v="1"/>
    <x v="1"/>
    <x v="92"/>
    <x v="1"/>
    <m/>
    <x v="1"/>
    <m/>
    <x v="2"/>
  </r>
  <r>
    <n v="5284295"/>
    <d v="2020-09-21T00:00:00"/>
    <x v="141"/>
    <x v="1"/>
    <x v="50"/>
    <m/>
    <x v="0"/>
    <x v="56"/>
    <x v="1"/>
    <m/>
    <x v="1"/>
    <m/>
    <x v="2"/>
  </r>
  <r>
    <n v="4923502"/>
    <d v="2020-11-30T00:00:00"/>
    <x v="127"/>
    <x v="0"/>
    <x v="14"/>
    <n v="15"/>
    <x v="1"/>
    <x v="79"/>
    <x v="0"/>
    <m/>
    <x v="1"/>
    <m/>
    <x v="0"/>
  </r>
  <r>
    <n v="1519142"/>
    <d v="2020-07-24T00:00:00"/>
    <x v="6"/>
    <x v="1"/>
    <x v="91"/>
    <m/>
    <x v="1"/>
    <x v="48"/>
    <x v="0"/>
    <m/>
    <x v="1"/>
    <d v="2020-08-08T00:00:00"/>
    <x v="1"/>
  </r>
  <r>
    <n v="4128684"/>
    <d v="2020-11-06T00:00:00"/>
    <x v="198"/>
    <x v="1"/>
    <x v="92"/>
    <m/>
    <x v="1"/>
    <x v="56"/>
    <x v="0"/>
    <m/>
    <x v="1"/>
    <m/>
    <x v="0"/>
  </r>
  <r>
    <n v="3353454"/>
    <d v="2020-10-12T00:00:00"/>
    <x v="164"/>
    <x v="1"/>
    <x v="93"/>
    <m/>
    <x v="1"/>
    <x v="43"/>
    <x v="0"/>
    <m/>
    <x v="1"/>
    <m/>
    <x v="0"/>
  </r>
  <r>
    <n v="5487357"/>
    <d v="2020-12-21T00:00:00"/>
    <x v="121"/>
    <x v="0"/>
    <x v="64"/>
    <n v="7"/>
    <x v="1"/>
    <x v="86"/>
    <x v="1"/>
    <m/>
    <x v="1"/>
    <m/>
    <x v="2"/>
  </r>
  <r>
    <n v="3979568"/>
    <d v="2020-10-26T00:00:00"/>
    <x v="231"/>
    <x v="0"/>
    <x v="14"/>
    <n v="15"/>
    <x v="0"/>
    <x v="52"/>
    <x v="0"/>
    <m/>
    <x v="1"/>
    <m/>
    <x v="0"/>
  </r>
  <r>
    <n v="1664515"/>
    <d v="2020-08-03T00:00:00"/>
    <x v="207"/>
    <x v="1"/>
    <x v="50"/>
    <m/>
    <x v="0"/>
    <x v="73"/>
    <x v="1"/>
    <m/>
    <x v="1"/>
    <m/>
    <x v="2"/>
  </r>
  <r>
    <n v="1670341"/>
    <d v="2020-08-03T00:00:00"/>
    <x v="207"/>
    <x v="1"/>
    <x v="16"/>
    <m/>
    <x v="1"/>
    <x v="52"/>
    <x v="1"/>
    <m/>
    <x v="1"/>
    <m/>
    <x v="2"/>
  </r>
  <r>
    <n v="2058796"/>
    <d v="2020-08-23T00:00:00"/>
    <x v="50"/>
    <x v="1"/>
    <x v="61"/>
    <m/>
    <x v="0"/>
    <x v="24"/>
    <x v="1"/>
    <m/>
    <x v="1"/>
    <m/>
    <x v="2"/>
  </r>
  <r>
    <n v="1761574"/>
    <d v="2020-08-08T00:00:00"/>
    <x v="143"/>
    <x v="1"/>
    <x v="61"/>
    <m/>
    <x v="0"/>
    <x v="92"/>
    <x v="2"/>
    <m/>
    <x v="1"/>
    <m/>
    <x v="3"/>
  </r>
  <r>
    <n v="1448987"/>
    <d v="2020-07-17T00:00:00"/>
    <x v="16"/>
    <x v="1"/>
    <x v="92"/>
    <m/>
    <x v="1"/>
    <x v="72"/>
    <x v="1"/>
    <m/>
    <x v="1"/>
    <m/>
    <x v="2"/>
  </r>
  <r>
    <n v="4400873"/>
    <d v="2020-11-12T00:00:00"/>
    <x v="197"/>
    <x v="0"/>
    <x v="23"/>
    <n v="9"/>
    <x v="1"/>
    <x v="97"/>
    <x v="1"/>
    <m/>
    <x v="1"/>
    <m/>
    <x v="2"/>
  </r>
  <r>
    <n v="2408770"/>
    <d v="2020-09-06T00:00:00"/>
    <x v="1"/>
    <x v="0"/>
    <x v="46"/>
    <n v="4"/>
    <x v="0"/>
    <x v="85"/>
    <x v="0"/>
    <m/>
    <x v="1"/>
    <m/>
    <x v="0"/>
  </r>
  <r>
    <n v="2746224"/>
    <d v="2020-09-19T00:00:00"/>
    <x v="159"/>
    <x v="0"/>
    <x v="15"/>
    <n v="1"/>
    <x v="1"/>
    <x v="70"/>
    <x v="0"/>
    <m/>
    <x v="1"/>
    <m/>
    <x v="1"/>
  </r>
  <r>
    <n v="1006958"/>
    <d v="2020-05-31T00:00:00"/>
    <x v="72"/>
    <x v="1"/>
    <x v="30"/>
    <m/>
    <x v="1"/>
    <x v="52"/>
    <x v="0"/>
    <m/>
    <x v="1"/>
    <m/>
    <x v="0"/>
  </r>
  <r>
    <n v="1139624"/>
    <d v="2020-06-22T00:00:00"/>
    <x v="144"/>
    <x v="1"/>
    <x v="33"/>
    <m/>
    <x v="1"/>
    <x v="32"/>
    <x v="0"/>
    <m/>
    <x v="1"/>
    <m/>
    <x v="3"/>
  </r>
  <r>
    <n v="3471938"/>
    <d v="2020-10-14T00:00:00"/>
    <x v="56"/>
    <x v="1"/>
    <x v="51"/>
    <m/>
    <x v="0"/>
    <x v="78"/>
    <x v="1"/>
    <m/>
    <x v="1"/>
    <m/>
    <x v="2"/>
  </r>
  <r>
    <n v="2437732"/>
    <d v="2020-09-04T00:00:00"/>
    <x v="33"/>
    <x v="1"/>
    <x v="61"/>
    <m/>
    <x v="0"/>
    <x v="55"/>
    <x v="0"/>
    <m/>
    <x v="1"/>
    <m/>
    <x v="0"/>
  </r>
  <r>
    <n v="1154077"/>
    <d v="2020-06-24T00:00:00"/>
    <x v="252"/>
    <x v="0"/>
    <x v="2"/>
    <n v="3"/>
    <x v="0"/>
    <x v="97"/>
    <x v="1"/>
    <m/>
    <x v="1"/>
    <m/>
    <x v="2"/>
  </r>
  <r>
    <n v="3095510"/>
    <d v="2020-10-02T00:00:00"/>
    <x v="153"/>
    <x v="0"/>
    <x v="0"/>
    <n v="15"/>
    <x v="0"/>
    <x v="94"/>
    <x v="0"/>
    <m/>
    <x v="1"/>
    <m/>
    <x v="1"/>
  </r>
  <r>
    <n v="5773807"/>
    <d v="2020-12-30T00:00:00"/>
    <x v="96"/>
    <x v="0"/>
    <x v="31"/>
    <n v="10"/>
    <x v="0"/>
    <x v="81"/>
    <x v="0"/>
    <m/>
    <x v="1"/>
    <m/>
    <x v="1"/>
  </r>
  <r>
    <n v="1268377"/>
    <d v="2020-07-03T00:00:00"/>
    <x v="93"/>
    <x v="0"/>
    <x v="17"/>
    <n v="8"/>
    <x v="1"/>
    <x v="72"/>
    <x v="1"/>
    <m/>
    <x v="1"/>
    <m/>
    <x v="2"/>
  </r>
  <r>
    <n v="1618622"/>
    <d v="2020-07-29T00:00:00"/>
    <x v="122"/>
    <x v="1"/>
    <x v="61"/>
    <m/>
    <x v="1"/>
    <x v="24"/>
    <x v="0"/>
    <m/>
    <x v="1"/>
    <d v="2020-08-08T00:00:00"/>
    <x v="0"/>
  </r>
  <r>
    <n v="1663190"/>
    <d v="2020-08-01T00:00:00"/>
    <x v="207"/>
    <x v="1"/>
    <x v="61"/>
    <m/>
    <x v="1"/>
    <x v="68"/>
    <x v="0"/>
    <m/>
    <x v="1"/>
    <m/>
    <x v="0"/>
  </r>
  <r>
    <n v="1803174"/>
    <d v="2020-07-14T00:00:00"/>
    <x v="18"/>
    <x v="0"/>
    <x v="57"/>
    <n v="1"/>
    <x v="1"/>
    <x v="60"/>
    <x v="1"/>
    <m/>
    <x v="1"/>
    <m/>
    <x v="2"/>
  </r>
  <r>
    <n v="1562036"/>
    <d v="2020-07-28T00:00:00"/>
    <x v="146"/>
    <x v="0"/>
    <x v="6"/>
    <n v="5"/>
    <x v="1"/>
    <x v="57"/>
    <x v="0"/>
    <m/>
    <x v="1"/>
    <m/>
    <x v="0"/>
  </r>
  <r>
    <n v="1769895"/>
    <d v="2020-08-10T00:00:00"/>
    <x v="22"/>
    <x v="0"/>
    <x v="15"/>
    <n v="1"/>
    <x v="0"/>
    <x v="35"/>
    <x v="0"/>
    <m/>
    <x v="1"/>
    <m/>
    <x v="0"/>
  </r>
  <r>
    <n v="1557249"/>
    <d v="2020-07-25T00:00:00"/>
    <x v="124"/>
    <x v="1"/>
    <x v="12"/>
    <m/>
    <x v="0"/>
    <x v="41"/>
    <x v="0"/>
    <m/>
    <x v="1"/>
    <m/>
    <x v="0"/>
  </r>
  <r>
    <n v="2110317"/>
    <d v="2020-08-25T00:00:00"/>
    <x v="131"/>
    <x v="1"/>
    <x v="61"/>
    <m/>
    <x v="1"/>
    <x v="52"/>
    <x v="1"/>
    <m/>
    <x v="1"/>
    <m/>
    <x v="2"/>
  </r>
  <r>
    <n v="4102595"/>
    <d v="2020-11-04T00:00:00"/>
    <x v="253"/>
    <x v="0"/>
    <x v="34"/>
    <n v="13"/>
    <x v="0"/>
    <x v="14"/>
    <x v="0"/>
    <m/>
    <x v="1"/>
    <m/>
    <x v="0"/>
  </r>
  <r>
    <n v="5446776"/>
    <d v="2020-12-20T00:00:00"/>
    <x v="121"/>
    <x v="0"/>
    <x v="7"/>
    <n v="6"/>
    <x v="1"/>
    <x v="72"/>
    <x v="0"/>
    <m/>
    <x v="1"/>
    <m/>
    <x v="0"/>
  </r>
  <r>
    <n v="4670700"/>
    <d v="2020-11-23T00:00:00"/>
    <x v="214"/>
    <x v="1"/>
    <x v="29"/>
    <m/>
    <x v="0"/>
    <x v="37"/>
    <x v="1"/>
    <m/>
    <x v="1"/>
    <m/>
    <x v="2"/>
  </r>
  <r>
    <n v="2939846"/>
    <d v="2020-09-26T00:00:00"/>
    <x v="140"/>
    <x v="1"/>
    <x v="61"/>
    <m/>
    <x v="0"/>
    <x v="82"/>
    <x v="0"/>
    <m/>
    <x v="1"/>
    <m/>
    <x v="0"/>
  </r>
  <r>
    <n v="1413728"/>
    <d v="2020-07-19T00:00:00"/>
    <x v="137"/>
    <x v="0"/>
    <x v="7"/>
    <n v="6"/>
    <x v="0"/>
    <x v="48"/>
    <x v="0"/>
    <m/>
    <x v="1"/>
    <m/>
    <x v="1"/>
  </r>
  <r>
    <n v="5527638"/>
    <d v="2020-12-23T00:00:00"/>
    <x v="91"/>
    <x v="2"/>
    <x v="77"/>
    <m/>
    <x v="0"/>
    <x v="76"/>
    <x v="1"/>
    <m/>
    <x v="1"/>
    <m/>
    <x v="2"/>
  </r>
  <r>
    <n v="1870161"/>
    <d v="2020-08-13T00:00:00"/>
    <x v="122"/>
    <x v="1"/>
    <x v="61"/>
    <m/>
    <x v="0"/>
    <x v="31"/>
    <x v="0"/>
    <m/>
    <x v="1"/>
    <m/>
    <x v="0"/>
  </r>
  <r>
    <n v="4845152"/>
    <d v="2020-11-28T00:00:00"/>
    <x v="189"/>
    <x v="1"/>
    <x v="91"/>
    <m/>
    <x v="1"/>
    <x v="12"/>
    <x v="1"/>
    <m/>
    <x v="1"/>
    <m/>
    <x v="2"/>
  </r>
  <r>
    <n v="1357561"/>
    <d v="2020-07-14T00:00:00"/>
    <x v="18"/>
    <x v="1"/>
    <x v="92"/>
    <m/>
    <x v="1"/>
    <x v="54"/>
    <x v="0"/>
    <m/>
    <x v="1"/>
    <m/>
    <x v="0"/>
  </r>
  <r>
    <n v="1130795"/>
    <d v="2020-06-16T00:00:00"/>
    <x v="30"/>
    <x v="1"/>
    <x v="93"/>
    <m/>
    <x v="0"/>
    <x v="54"/>
    <x v="0"/>
    <m/>
    <x v="1"/>
    <m/>
    <x v="0"/>
  </r>
  <r>
    <n v="3473150"/>
    <d v="2020-09-22T00:00:00"/>
    <x v="171"/>
    <x v="1"/>
    <x v="12"/>
    <m/>
    <x v="1"/>
    <x v="48"/>
    <x v="1"/>
    <m/>
    <x v="1"/>
    <m/>
    <x v="2"/>
  </r>
  <r>
    <n v="1085560"/>
    <d v="2020-06-15T00:00:00"/>
    <x v="10"/>
    <x v="0"/>
    <x v="46"/>
    <n v="4"/>
    <x v="1"/>
    <x v="43"/>
    <x v="0"/>
    <m/>
    <x v="1"/>
    <m/>
    <x v="3"/>
  </r>
  <r>
    <n v="1226875"/>
    <d v="2020-07-01T00:00:00"/>
    <x v="42"/>
    <x v="0"/>
    <x v="93"/>
    <n v="1"/>
    <x v="0"/>
    <x v="5"/>
    <x v="0"/>
    <m/>
    <x v="1"/>
    <m/>
    <x v="4"/>
  </r>
  <r>
    <n v="3114175"/>
    <d v="2020-10-03T00:00:00"/>
    <x v="249"/>
    <x v="1"/>
    <x v="12"/>
    <m/>
    <x v="0"/>
    <x v="81"/>
    <x v="1"/>
    <m/>
    <x v="1"/>
    <m/>
    <x v="2"/>
  </r>
  <r>
    <n v="3288732"/>
    <d v="2020-10-08T00:00:00"/>
    <x v="63"/>
    <x v="7"/>
    <x v="87"/>
    <m/>
    <x v="1"/>
    <x v="72"/>
    <x v="1"/>
    <m/>
    <x v="1"/>
    <m/>
    <x v="2"/>
  </r>
  <r>
    <n v="4989019"/>
    <d v="2020-12-03T00:00:00"/>
    <x v="218"/>
    <x v="1"/>
    <x v="91"/>
    <m/>
    <x v="1"/>
    <x v="65"/>
    <x v="0"/>
    <m/>
    <x v="1"/>
    <m/>
    <x v="3"/>
  </r>
  <r>
    <n v="5189008"/>
    <d v="2021-01-21T00:00:00"/>
    <x v="254"/>
    <x v="0"/>
    <x v="36"/>
    <n v="3"/>
    <x v="0"/>
    <x v="78"/>
    <x v="0"/>
    <m/>
    <x v="1"/>
    <m/>
    <x v="0"/>
  </r>
  <r>
    <n v="5329328"/>
    <d v="2020-12-16T00:00:00"/>
    <x v="125"/>
    <x v="1"/>
    <x v="93"/>
    <m/>
    <x v="1"/>
    <x v="26"/>
    <x v="1"/>
    <m/>
    <x v="1"/>
    <m/>
    <x v="2"/>
  </r>
  <r>
    <n v="2131301"/>
    <d v="2020-08-26T00:00:00"/>
    <x v="95"/>
    <x v="0"/>
    <x v="57"/>
    <n v="1"/>
    <x v="1"/>
    <x v="87"/>
    <x v="1"/>
    <m/>
    <x v="1"/>
    <m/>
    <x v="2"/>
  </r>
  <r>
    <n v="1212052"/>
    <d v="2020-06-29T00:00:00"/>
    <x v="42"/>
    <x v="0"/>
    <x v="37"/>
    <n v="1"/>
    <x v="0"/>
    <x v="90"/>
    <x v="1"/>
    <m/>
    <x v="1"/>
    <m/>
    <x v="2"/>
  </r>
  <r>
    <n v="1520214"/>
    <d v="2020-07-25T00:00:00"/>
    <x v="191"/>
    <x v="0"/>
    <x v="24"/>
    <n v="4"/>
    <x v="0"/>
    <x v="64"/>
    <x v="0"/>
    <m/>
    <x v="1"/>
    <d v="2020-08-06T00:00:00"/>
    <x v="1"/>
  </r>
  <r>
    <n v="2087717"/>
    <d v="2020-08-24T00:00:00"/>
    <x v="37"/>
    <x v="0"/>
    <x v="23"/>
    <n v="9"/>
    <x v="1"/>
    <x v="80"/>
    <x v="0"/>
    <m/>
    <x v="1"/>
    <m/>
    <x v="0"/>
  </r>
  <r>
    <n v="2453197"/>
    <d v="2020-09-08T00:00:00"/>
    <x v="7"/>
    <x v="0"/>
    <x v="4"/>
    <n v="7"/>
    <x v="0"/>
    <x v="63"/>
    <x v="0"/>
    <m/>
    <x v="1"/>
    <d v="2020-09-22T00:00:00"/>
    <x v="4"/>
  </r>
  <r>
    <n v="1340230"/>
    <d v="2020-07-09T00:00:00"/>
    <x v="238"/>
    <x v="0"/>
    <x v="57"/>
    <n v="1"/>
    <x v="0"/>
    <x v="7"/>
    <x v="0"/>
    <m/>
    <x v="1"/>
    <m/>
    <x v="0"/>
  </r>
  <r>
    <n v="4758055"/>
    <d v="2020-11-25T00:00:00"/>
    <x v="15"/>
    <x v="1"/>
    <x v="61"/>
    <m/>
    <x v="0"/>
    <x v="72"/>
    <x v="0"/>
    <m/>
    <x v="1"/>
    <m/>
    <x v="0"/>
  </r>
  <r>
    <n v="892754"/>
    <d v="2020-05-06T00:00:00"/>
    <x v="255"/>
    <x v="0"/>
    <x v="46"/>
    <n v="4"/>
    <x v="1"/>
    <x v="29"/>
    <x v="1"/>
    <m/>
    <x v="1"/>
    <m/>
    <x v="2"/>
  </r>
  <r>
    <n v="1200987"/>
    <d v="2020-06-29T00:00:00"/>
    <x v="188"/>
    <x v="1"/>
    <x v="61"/>
    <m/>
    <x v="0"/>
    <x v="2"/>
    <x v="0"/>
    <m/>
    <x v="1"/>
    <d v="2020-07-07T00:00:00"/>
    <x v="0"/>
  </r>
  <r>
    <n v="3004272"/>
    <d v="2020-09-29T00:00:00"/>
    <x v="21"/>
    <x v="1"/>
    <x v="62"/>
    <m/>
    <x v="1"/>
    <x v="56"/>
    <x v="0"/>
    <m/>
    <x v="1"/>
    <m/>
    <x v="0"/>
  </r>
  <r>
    <n v="5601134"/>
    <d v="2020-12-26T00:00:00"/>
    <x v="126"/>
    <x v="0"/>
    <x v="27"/>
    <n v="12"/>
    <x v="0"/>
    <x v="80"/>
    <x v="1"/>
    <m/>
    <x v="1"/>
    <m/>
    <x v="2"/>
  </r>
  <r>
    <n v="1805047"/>
    <d v="2020-08-11T00:00:00"/>
    <x v="138"/>
    <x v="0"/>
    <x v="2"/>
    <n v="3"/>
    <x v="0"/>
    <x v="57"/>
    <x v="0"/>
    <m/>
    <x v="1"/>
    <m/>
    <x v="0"/>
  </r>
  <r>
    <n v="1236068"/>
    <d v="2020-06-30T00:00:00"/>
    <x v="166"/>
    <x v="1"/>
    <x v="61"/>
    <m/>
    <x v="0"/>
    <x v="46"/>
    <x v="1"/>
    <m/>
    <x v="1"/>
    <m/>
    <x v="2"/>
  </r>
  <r>
    <n v="5121431"/>
    <d v="2020-12-08T00:00:00"/>
    <x v="240"/>
    <x v="0"/>
    <x v="40"/>
    <n v="8"/>
    <x v="1"/>
    <x v="51"/>
    <x v="1"/>
    <m/>
    <x v="1"/>
    <m/>
    <x v="2"/>
  </r>
  <r>
    <n v="4073064"/>
    <d v="2020-11-04T00:00:00"/>
    <x v="174"/>
    <x v="4"/>
    <x v="70"/>
    <m/>
    <x v="0"/>
    <x v="79"/>
    <x v="1"/>
    <m/>
    <x v="1"/>
    <m/>
    <x v="2"/>
  </r>
  <r>
    <n v="2895481"/>
    <d v="2020-08-30T00:00:00"/>
    <x v="80"/>
    <x v="0"/>
    <x v="10"/>
    <n v="2"/>
    <x v="0"/>
    <x v="43"/>
    <x v="1"/>
    <m/>
    <x v="1"/>
    <m/>
    <x v="2"/>
  </r>
  <r>
    <n v="5387342"/>
    <d v="2020-12-18T00:00:00"/>
    <x v="244"/>
    <x v="1"/>
    <x v="30"/>
    <m/>
    <x v="0"/>
    <x v="69"/>
    <x v="1"/>
    <m/>
    <x v="1"/>
    <m/>
    <x v="2"/>
  </r>
  <r>
    <n v="3158892"/>
    <d v="2020-10-05T00:00:00"/>
    <x v="169"/>
    <x v="0"/>
    <x v="15"/>
    <n v="1"/>
    <x v="1"/>
    <x v="82"/>
    <x v="2"/>
    <m/>
    <x v="1"/>
    <m/>
    <x v="3"/>
  </r>
  <r>
    <n v="3436291"/>
    <d v="2020-10-14T00:00:00"/>
    <x v="104"/>
    <x v="0"/>
    <x v="39"/>
    <n v="12"/>
    <x v="1"/>
    <x v="80"/>
    <x v="1"/>
    <m/>
    <x v="1"/>
    <m/>
    <x v="2"/>
  </r>
  <r>
    <n v="2324664"/>
    <d v="2020-09-03T00:00:00"/>
    <x v="128"/>
    <x v="0"/>
    <x v="3"/>
    <n v="13"/>
    <x v="0"/>
    <x v="10"/>
    <x v="1"/>
    <m/>
    <x v="1"/>
    <m/>
    <x v="2"/>
  </r>
  <r>
    <n v="912948"/>
    <d v="2020-05-12T00:00:00"/>
    <x v="113"/>
    <x v="0"/>
    <x v="4"/>
    <n v="7"/>
    <x v="1"/>
    <x v="68"/>
    <x v="1"/>
    <m/>
    <x v="1"/>
    <d v="2020-05-13T00:00:00"/>
    <x v="2"/>
  </r>
  <r>
    <n v="995535"/>
    <d v="2020-05-30T00:00:00"/>
    <x v="177"/>
    <x v="0"/>
    <x v="46"/>
    <n v="4"/>
    <x v="1"/>
    <x v="68"/>
    <x v="0"/>
    <m/>
    <x v="1"/>
    <d v="2020-06-10T00:00:00"/>
    <x v="1"/>
  </r>
  <r>
    <n v="2741645"/>
    <d v="2020-09-17T00:00:00"/>
    <x v="108"/>
    <x v="1"/>
    <x v="61"/>
    <m/>
    <x v="0"/>
    <x v="48"/>
    <x v="0"/>
    <m/>
    <x v="1"/>
    <m/>
    <x v="0"/>
  </r>
  <r>
    <n v="3502668"/>
    <d v="2020-10-19T00:00:00"/>
    <x v="202"/>
    <x v="1"/>
    <x v="61"/>
    <m/>
    <x v="0"/>
    <x v="3"/>
    <x v="1"/>
    <m/>
    <x v="1"/>
    <m/>
    <x v="2"/>
  </r>
  <r>
    <n v="2003780"/>
    <d v="2020-08-19T00:00:00"/>
    <x v="32"/>
    <x v="1"/>
    <x v="62"/>
    <m/>
    <x v="1"/>
    <x v="80"/>
    <x v="0"/>
    <m/>
    <x v="1"/>
    <m/>
    <x v="0"/>
  </r>
  <r>
    <n v="1060232"/>
    <d v="2020-06-11T00:00:00"/>
    <x v="151"/>
    <x v="0"/>
    <x v="42"/>
    <n v="4"/>
    <x v="1"/>
    <x v="32"/>
    <x v="0"/>
    <m/>
    <x v="1"/>
    <d v="2020-06-21T00:00:00"/>
    <x v="0"/>
  </r>
  <r>
    <n v="1925485"/>
    <d v="2020-08-17T00:00:00"/>
    <x v="11"/>
    <x v="1"/>
    <x v="91"/>
    <m/>
    <x v="0"/>
    <x v="76"/>
    <x v="1"/>
    <m/>
    <x v="1"/>
    <m/>
    <x v="2"/>
  </r>
  <r>
    <n v="5547809"/>
    <d v="2020-12-23T00:00:00"/>
    <x v="91"/>
    <x v="0"/>
    <x v="59"/>
    <n v="11"/>
    <x v="1"/>
    <x v="77"/>
    <x v="1"/>
    <m/>
    <x v="1"/>
    <m/>
    <x v="2"/>
  </r>
  <r>
    <n v="857798"/>
    <d v="2020-04-26T00:00:00"/>
    <x v="151"/>
    <x v="1"/>
    <x v="93"/>
    <m/>
    <x v="0"/>
    <x v="55"/>
    <x v="0"/>
    <m/>
    <x v="1"/>
    <m/>
    <x v="4"/>
  </r>
  <r>
    <n v="1161891"/>
    <d v="2020-06-23T00:00:00"/>
    <x v="28"/>
    <x v="0"/>
    <x v="17"/>
    <n v="8"/>
    <x v="1"/>
    <x v="43"/>
    <x v="0"/>
    <m/>
    <x v="1"/>
    <d v="2020-07-03T00:00:00"/>
    <x v="0"/>
  </r>
  <r>
    <n v="2185000"/>
    <d v="2020-08-28T00:00:00"/>
    <x v="176"/>
    <x v="0"/>
    <x v="43"/>
    <n v="11"/>
    <x v="0"/>
    <x v="83"/>
    <x v="1"/>
    <m/>
    <x v="1"/>
    <m/>
    <x v="2"/>
  </r>
  <r>
    <n v="5360838"/>
    <d v="2020-12-18T00:00:00"/>
    <x v="244"/>
    <x v="0"/>
    <x v="35"/>
    <n v="9"/>
    <x v="0"/>
    <x v="81"/>
    <x v="0"/>
    <m/>
    <x v="1"/>
    <m/>
    <x v="0"/>
  </r>
  <r>
    <n v="2143884"/>
    <d v="2020-08-27T00:00:00"/>
    <x v="158"/>
    <x v="0"/>
    <x v="7"/>
    <n v="6"/>
    <x v="1"/>
    <x v="14"/>
    <x v="1"/>
    <m/>
    <x v="1"/>
    <m/>
    <x v="2"/>
  </r>
  <r>
    <n v="1831720"/>
    <d v="2020-08-09T00:00:00"/>
    <x v="53"/>
    <x v="1"/>
    <x v="61"/>
    <m/>
    <x v="1"/>
    <x v="26"/>
    <x v="0"/>
    <m/>
    <x v="1"/>
    <m/>
    <x v="1"/>
  </r>
  <r>
    <n v="4399898"/>
    <d v="2020-11-12T00:00:00"/>
    <x v="12"/>
    <x v="0"/>
    <x v="7"/>
    <n v="6"/>
    <x v="0"/>
    <x v="93"/>
    <x v="1"/>
    <m/>
    <x v="1"/>
    <m/>
    <x v="2"/>
  </r>
  <r>
    <n v="4066356"/>
    <d v="2020-11-01T00:00:00"/>
    <x v="174"/>
    <x v="1"/>
    <x v="61"/>
    <m/>
    <x v="1"/>
    <x v="89"/>
    <x v="1"/>
    <m/>
    <x v="1"/>
    <m/>
    <x v="2"/>
  </r>
  <r>
    <n v="4636983"/>
    <d v="2020-11-21T00:00:00"/>
    <x v="114"/>
    <x v="0"/>
    <x v="0"/>
    <n v="15"/>
    <x v="1"/>
    <x v="75"/>
    <x v="0"/>
    <m/>
    <x v="1"/>
    <d v="2020-11-21T00:00:00"/>
    <x v="0"/>
  </r>
  <r>
    <n v="4609869"/>
    <d v="2020-11-19T00:00:00"/>
    <x v="168"/>
    <x v="0"/>
    <x v="10"/>
    <n v="2"/>
    <x v="0"/>
    <x v="43"/>
    <x v="0"/>
    <m/>
    <x v="1"/>
    <m/>
    <x v="0"/>
  </r>
  <r>
    <n v="1872439"/>
    <d v="2020-08-13T00:00:00"/>
    <x v="156"/>
    <x v="1"/>
    <x v="92"/>
    <m/>
    <x v="0"/>
    <x v="35"/>
    <x v="0"/>
    <m/>
    <x v="1"/>
    <m/>
    <x v="0"/>
  </r>
  <r>
    <n v="1645903"/>
    <d v="2020-08-02T00:00:00"/>
    <x v="236"/>
    <x v="1"/>
    <x v="65"/>
    <m/>
    <x v="1"/>
    <x v="57"/>
    <x v="0"/>
    <m/>
    <x v="1"/>
    <m/>
    <x v="1"/>
  </r>
  <r>
    <n v="2554971"/>
    <d v="2020-09-10T00:00:00"/>
    <x v="142"/>
    <x v="1"/>
    <x v="55"/>
    <m/>
    <x v="1"/>
    <x v="79"/>
    <x v="0"/>
    <m/>
    <x v="1"/>
    <m/>
    <x v="0"/>
  </r>
  <r>
    <n v="1698612"/>
    <d v="2020-08-05T00:00:00"/>
    <x v="88"/>
    <x v="0"/>
    <x v="24"/>
    <n v="4"/>
    <x v="1"/>
    <x v="92"/>
    <x v="0"/>
    <m/>
    <x v="1"/>
    <d v="2020-08-12T00:00:00"/>
    <x v="1"/>
  </r>
  <r>
    <n v="5432773"/>
    <d v="2020-12-20T00:00:00"/>
    <x v="201"/>
    <x v="0"/>
    <x v="36"/>
    <n v="3"/>
    <x v="0"/>
    <x v="47"/>
    <x v="0"/>
    <m/>
    <x v="1"/>
    <d v="2021-01-05T00:00:00"/>
    <x v="0"/>
  </r>
  <r>
    <n v="1987529"/>
    <d v="2020-08-19T00:00:00"/>
    <x v="32"/>
    <x v="0"/>
    <x v="39"/>
    <n v="12"/>
    <x v="0"/>
    <x v="60"/>
    <x v="0"/>
    <m/>
    <x v="1"/>
    <m/>
    <x v="4"/>
  </r>
  <r>
    <n v="1438364"/>
    <d v="2020-07-20T00:00:00"/>
    <x v="16"/>
    <x v="1"/>
    <x v="52"/>
    <m/>
    <x v="1"/>
    <x v="84"/>
    <x v="1"/>
    <m/>
    <x v="1"/>
    <m/>
    <x v="2"/>
  </r>
  <r>
    <n v="2516373"/>
    <d v="2020-09-07T00:00:00"/>
    <x v="102"/>
    <x v="1"/>
    <x v="29"/>
    <m/>
    <x v="1"/>
    <x v="35"/>
    <x v="0"/>
    <m/>
    <x v="1"/>
    <m/>
    <x v="0"/>
  </r>
  <r>
    <n v="4804855"/>
    <d v="2020-11-27T00:00:00"/>
    <x v="189"/>
    <x v="1"/>
    <x v="50"/>
    <m/>
    <x v="1"/>
    <x v="85"/>
    <x v="1"/>
    <m/>
    <x v="1"/>
    <m/>
    <x v="2"/>
  </r>
  <r>
    <n v="1133104"/>
    <d v="2020-06-18T00:00:00"/>
    <x v="94"/>
    <x v="1"/>
    <x v="61"/>
    <m/>
    <x v="1"/>
    <x v="26"/>
    <x v="1"/>
    <m/>
    <x v="1"/>
    <d v="2020-06-22T00:00:00"/>
    <x v="2"/>
  </r>
  <r>
    <n v="1873212"/>
    <d v="2020-08-13T00:00:00"/>
    <x v="122"/>
    <x v="1"/>
    <x v="62"/>
    <m/>
    <x v="1"/>
    <x v="60"/>
    <x v="0"/>
    <m/>
    <x v="1"/>
    <m/>
    <x v="0"/>
  </r>
  <r>
    <n v="1911754"/>
    <d v="2020-08-15T00:00:00"/>
    <x v="136"/>
    <x v="0"/>
    <x v="10"/>
    <n v="2"/>
    <x v="1"/>
    <x v="78"/>
    <x v="0"/>
    <m/>
    <x v="1"/>
    <m/>
    <x v="0"/>
  </r>
  <r>
    <n v="2673230"/>
    <d v="2020-09-17T00:00:00"/>
    <x v="108"/>
    <x v="1"/>
    <x v="92"/>
    <m/>
    <x v="0"/>
    <x v="82"/>
    <x v="1"/>
    <m/>
    <x v="1"/>
    <m/>
    <x v="2"/>
  </r>
  <r>
    <n v="3683059"/>
    <d v="2020-10-22T00:00:00"/>
    <x v="73"/>
    <x v="0"/>
    <x v="15"/>
    <n v="1"/>
    <x v="1"/>
    <x v="78"/>
    <x v="1"/>
    <m/>
    <x v="1"/>
    <m/>
    <x v="2"/>
  </r>
  <r>
    <n v="1958371"/>
    <d v="2020-08-18T00:00:00"/>
    <x v="107"/>
    <x v="0"/>
    <x v="46"/>
    <n v="4"/>
    <x v="0"/>
    <x v="31"/>
    <x v="0"/>
    <m/>
    <x v="1"/>
    <d v="2020-08-25T00:00:00"/>
    <x v="1"/>
  </r>
  <r>
    <n v="5595790"/>
    <d v="2020-12-26T00:00:00"/>
    <x v="126"/>
    <x v="1"/>
    <x v="65"/>
    <m/>
    <x v="0"/>
    <x v="73"/>
    <x v="1"/>
    <m/>
    <x v="1"/>
    <m/>
    <x v="2"/>
  </r>
  <r>
    <n v="1924162"/>
    <d v="2020-11-25T00:00:00"/>
    <x v="15"/>
    <x v="0"/>
    <x v="14"/>
    <n v="15"/>
    <x v="1"/>
    <x v="71"/>
    <x v="0"/>
    <m/>
    <x v="1"/>
    <m/>
    <x v="0"/>
  </r>
  <r>
    <n v="2257740"/>
    <d v="2020-08-31T00:00:00"/>
    <x v="58"/>
    <x v="0"/>
    <x v="46"/>
    <n v="4"/>
    <x v="0"/>
    <x v="31"/>
    <x v="0"/>
    <m/>
    <x v="1"/>
    <m/>
    <x v="3"/>
  </r>
  <r>
    <n v="1449452"/>
    <d v="2020-07-02T00:00:00"/>
    <x v="93"/>
    <x v="1"/>
    <x v="91"/>
    <m/>
    <x v="0"/>
    <x v="52"/>
    <x v="0"/>
    <m/>
    <x v="1"/>
    <m/>
    <x v="0"/>
  </r>
  <r>
    <n v="1427643"/>
    <d v="2020-07-20T00:00:00"/>
    <x v="120"/>
    <x v="0"/>
    <x v="10"/>
    <n v="2"/>
    <x v="1"/>
    <x v="52"/>
    <x v="0"/>
    <m/>
    <x v="1"/>
    <m/>
    <x v="0"/>
  </r>
  <r>
    <n v="1743733"/>
    <d v="2020-08-07T00:00:00"/>
    <x v="143"/>
    <x v="1"/>
    <x v="92"/>
    <m/>
    <x v="0"/>
    <x v="61"/>
    <x v="1"/>
    <m/>
    <x v="1"/>
    <m/>
    <x v="2"/>
  </r>
  <r>
    <n v="3528733"/>
    <d v="2020-10-17T00:00:00"/>
    <x v="256"/>
    <x v="1"/>
    <x v="16"/>
    <m/>
    <x v="0"/>
    <x v="71"/>
    <x v="1"/>
    <m/>
    <x v="1"/>
    <m/>
    <x v="2"/>
  </r>
  <r>
    <n v="1960705"/>
    <d v="2020-08-13T00:00:00"/>
    <x v="122"/>
    <x v="0"/>
    <x v="2"/>
    <n v="3"/>
    <x v="0"/>
    <x v="76"/>
    <x v="0"/>
    <m/>
    <x v="1"/>
    <m/>
    <x v="3"/>
  </r>
  <r>
    <n v="2153924"/>
    <d v="2020-08-19T00:00:00"/>
    <x v="32"/>
    <x v="1"/>
    <x v="12"/>
    <m/>
    <x v="1"/>
    <x v="79"/>
    <x v="0"/>
    <m/>
    <x v="1"/>
    <m/>
    <x v="0"/>
  </r>
  <r>
    <n v="4974694"/>
    <d v="2020-12-02T00:00:00"/>
    <x v="219"/>
    <x v="1"/>
    <x v="55"/>
    <m/>
    <x v="0"/>
    <x v="80"/>
    <x v="1"/>
    <m/>
    <x v="1"/>
    <m/>
    <x v="2"/>
  </r>
  <r>
    <n v="1428084"/>
    <d v="2020-07-19T00:00:00"/>
    <x v="16"/>
    <x v="0"/>
    <x v="4"/>
    <n v="7"/>
    <x v="1"/>
    <x v="84"/>
    <x v="0"/>
    <m/>
    <x v="1"/>
    <d v="2020-08-03T00:00:00"/>
    <x v="0"/>
  </r>
  <r>
    <n v="4374218"/>
    <d v="2020-11-12T00:00:00"/>
    <x v="12"/>
    <x v="1"/>
    <x v="62"/>
    <m/>
    <x v="1"/>
    <x v="42"/>
    <x v="1"/>
    <m/>
    <x v="1"/>
    <m/>
    <x v="2"/>
  </r>
  <r>
    <n v="3039174"/>
    <d v="2020-09-29T00:00:00"/>
    <x v="257"/>
    <x v="0"/>
    <x v="32"/>
    <n v="10"/>
    <x v="1"/>
    <x v="60"/>
    <x v="0"/>
    <m/>
    <x v="1"/>
    <m/>
    <x v="0"/>
  </r>
  <r>
    <n v="1068823"/>
    <d v="2020-06-12T00:00:00"/>
    <x v="151"/>
    <x v="1"/>
    <x v="55"/>
    <m/>
    <x v="1"/>
    <x v="93"/>
    <x v="1"/>
    <m/>
    <x v="1"/>
    <m/>
    <x v="2"/>
  </r>
  <r>
    <n v="1295817"/>
    <d v="2020-07-08T00:00:00"/>
    <x v="69"/>
    <x v="0"/>
    <x v="17"/>
    <n v="8"/>
    <x v="0"/>
    <x v="73"/>
    <x v="1"/>
    <m/>
    <x v="1"/>
    <m/>
    <x v="2"/>
  </r>
  <r>
    <n v="782845"/>
    <d v="2020-03-31T00:00:00"/>
    <x v="258"/>
    <x v="0"/>
    <x v="34"/>
    <n v="13"/>
    <x v="1"/>
    <x v="101"/>
    <x v="1"/>
    <m/>
    <x v="1"/>
    <m/>
    <x v="2"/>
  </r>
  <r>
    <n v="3373978"/>
    <d v="2020-10-14T00:00:00"/>
    <x v="104"/>
    <x v="0"/>
    <x v="40"/>
    <n v="8"/>
    <x v="1"/>
    <x v="85"/>
    <x v="1"/>
    <m/>
    <x v="1"/>
    <m/>
    <x v="2"/>
  </r>
  <r>
    <n v="1433363"/>
    <d v="2020-07-20T00:00:00"/>
    <x v="120"/>
    <x v="0"/>
    <x v="4"/>
    <n v="7"/>
    <x v="1"/>
    <x v="92"/>
    <x v="1"/>
    <m/>
    <x v="1"/>
    <m/>
    <x v="2"/>
  </r>
  <r>
    <n v="3537686"/>
    <d v="2020-10-18T00:00:00"/>
    <x v="202"/>
    <x v="0"/>
    <x v="38"/>
    <n v="13"/>
    <x v="0"/>
    <x v="54"/>
    <x v="1"/>
    <m/>
    <x v="1"/>
    <m/>
    <x v="2"/>
  </r>
  <r>
    <n v="897656"/>
    <d v="2020-05-08T00:00:00"/>
    <x v="72"/>
    <x v="0"/>
    <x v="37"/>
    <n v="1"/>
    <x v="1"/>
    <x v="78"/>
    <x v="0"/>
    <m/>
    <x v="1"/>
    <d v="2020-05-19T00:00:00"/>
    <x v="1"/>
  </r>
  <r>
    <n v="2070006"/>
    <d v="2020-08-21T00:00:00"/>
    <x v="147"/>
    <x v="0"/>
    <x v="14"/>
    <n v="15"/>
    <x v="0"/>
    <x v="43"/>
    <x v="0"/>
    <m/>
    <x v="1"/>
    <d v="2020-08-29T00:00:00"/>
    <x v="4"/>
  </r>
  <r>
    <n v="3914891"/>
    <d v="2020-10-29T00:00:00"/>
    <x v="217"/>
    <x v="1"/>
    <x v="94"/>
    <m/>
    <x v="1"/>
    <x v="73"/>
    <x v="0"/>
    <m/>
    <x v="1"/>
    <m/>
    <x v="0"/>
  </r>
  <r>
    <n v="3257376"/>
    <d v="2020-10-08T00:00:00"/>
    <x v="63"/>
    <x v="1"/>
    <x v="61"/>
    <m/>
    <x v="1"/>
    <x v="57"/>
    <x v="2"/>
    <m/>
    <x v="1"/>
    <m/>
    <x v="3"/>
  </r>
  <r>
    <n v="1068633"/>
    <d v="2020-06-12T00:00:00"/>
    <x v="84"/>
    <x v="0"/>
    <x v="6"/>
    <n v="5"/>
    <x v="0"/>
    <x v="1"/>
    <x v="0"/>
    <m/>
    <x v="1"/>
    <d v="2020-06-25T00:00:00"/>
    <x v="0"/>
  </r>
  <r>
    <n v="5172954"/>
    <d v="2020-12-12T00:00:00"/>
    <x v="200"/>
    <x v="0"/>
    <x v="34"/>
    <n v="13"/>
    <x v="0"/>
    <x v="76"/>
    <x v="0"/>
    <m/>
    <x v="1"/>
    <m/>
    <x v="0"/>
  </r>
  <r>
    <n v="3065606"/>
    <d v="2020-10-01T00:00:00"/>
    <x v="153"/>
    <x v="1"/>
    <x v="65"/>
    <m/>
    <x v="0"/>
    <x v="71"/>
    <x v="1"/>
    <m/>
    <x v="1"/>
    <m/>
    <x v="2"/>
  </r>
  <r>
    <n v="1911004"/>
    <d v="2020-08-16T00:00:00"/>
    <x v="33"/>
    <x v="0"/>
    <x v="48"/>
    <n v="5"/>
    <x v="1"/>
    <x v="64"/>
    <x v="0"/>
    <m/>
    <x v="1"/>
    <m/>
    <x v="0"/>
  </r>
  <r>
    <n v="1471952"/>
    <d v="2020-07-22T00:00:00"/>
    <x v="68"/>
    <x v="0"/>
    <x v="10"/>
    <n v="2"/>
    <x v="1"/>
    <x v="79"/>
    <x v="0"/>
    <m/>
    <x v="1"/>
    <m/>
    <x v="3"/>
  </r>
  <r>
    <n v="1224742"/>
    <d v="2020-07-01T00:00:00"/>
    <x v="40"/>
    <x v="0"/>
    <x v="4"/>
    <n v="7"/>
    <x v="0"/>
    <x v="18"/>
    <x v="0"/>
    <m/>
    <x v="1"/>
    <d v="2020-07-11T00:00:00"/>
    <x v="1"/>
  </r>
  <r>
    <n v="755713"/>
    <d v="2020-03-13T00:00:00"/>
    <x v="259"/>
    <x v="0"/>
    <x v="11"/>
    <n v="14"/>
    <x v="0"/>
    <x v="70"/>
    <x v="1"/>
    <m/>
    <x v="1"/>
    <m/>
    <x v="2"/>
  </r>
  <r>
    <n v="3262287"/>
    <d v="2020-10-07T00:00:00"/>
    <x v="27"/>
    <x v="0"/>
    <x v="37"/>
    <n v="1"/>
    <x v="1"/>
    <x v="91"/>
    <x v="1"/>
    <m/>
    <x v="1"/>
    <m/>
    <x v="2"/>
  </r>
  <r>
    <n v="4390483"/>
    <d v="2020-11-13T00:00:00"/>
    <x v="197"/>
    <x v="0"/>
    <x v="41"/>
    <n v="1"/>
    <x v="0"/>
    <x v="43"/>
    <x v="0"/>
    <m/>
    <x v="1"/>
    <m/>
    <x v="3"/>
  </r>
  <r>
    <n v="2431120"/>
    <d v="2020-09-07T00:00:00"/>
    <x v="89"/>
    <x v="0"/>
    <x v="68"/>
    <n v="1"/>
    <x v="0"/>
    <x v="55"/>
    <x v="0"/>
    <m/>
    <x v="1"/>
    <m/>
    <x v="0"/>
  </r>
  <r>
    <n v="4758307"/>
    <d v="2020-11-25T00:00:00"/>
    <x v="15"/>
    <x v="0"/>
    <x v="25"/>
    <n v="4"/>
    <x v="1"/>
    <x v="86"/>
    <x v="1"/>
    <m/>
    <x v="1"/>
    <m/>
    <x v="2"/>
  </r>
  <r>
    <n v="4822846"/>
    <d v="2020-11-24T00:00:00"/>
    <x v="214"/>
    <x v="0"/>
    <x v="4"/>
    <n v="7"/>
    <x v="0"/>
    <x v="79"/>
    <x v="1"/>
    <m/>
    <x v="1"/>
    <m/>
    <x v="2"/>
  </r>
  <r>
    <n v="1442403"/>
    <d v="2020-07-20T00:00:00"/>
    <x v="120"/>
    <x v="0"/>
    <x v="40"/>
    <n v="8"/>
    <x v="1"/>
    <x v="0"/>
    <x v="1"/>
    <m/>
    <x v="1"/>
    <m/>
    <x v="2"/>
  </r>
  <r>
    <n v="2582398"/>
    <d v="2020-09-13T00:00:00"/>
    <x v="172"/>
    <x v="0"/>
    <x v="17"/>
    <n v="8"/>
    <x v="1"/>
    <x v="42"/>
    <x v="0"/>
    <m/>
    <x v="1"/>
    <m/>
    <x v="0"/>
  </r>
  <r>
    <n v="1229128"/>
    <d v="2020-06-25T00:00:00"/>
    <x v="161"/>
    <x v="1"/>
    <x v="62"/>
    <m/>
    <x v="1"/>
    <x v="69"/>
    <x v="0"/>
    <m/>
    <x v="1"/>
    <d v="2020-07-08T00:00:00"/>
    <x v="0"/>
  </r>
  <r>
    <n v="871834"/>
    <d v="2020-04-29T00:00:00"/>
    <x v="260"/>
    <x v="0"/>
    <x v="7"/>
    <n v="6"/>
    <x v="1"/>
    <x v="1"/>
    <x v="1"/>
    <m/>
    <x v="1"/>
    <m/>
    <x v="2"/>
  </r>
  <r>
    <n v="2121284"/>
    <d v="2020-08-26T00:00:00"/>
    <x v="95"/>
    <x v="0"/>
    <x v="38"/>
    <n v="13"/>
    <x v="0"/>
    <x v="68"/>
    <x v="0"/>
    <m/>
    <x v="1"/>
    <m/>
    <x v="0"/>
  </r>
  <r>
    <n v="2091844"/>
    <d v="2020-08-19T00:00:00"/>
    <x v="11"/>
    <x v="0"/>
    <x v="2"/>
    <n v="3"/>
    <x v="1"/>
    <x v="87"/>
    <x v="0"/>
    <m/>
    <x v="1"/>
    <m/>
    <x v="0"/>
  </r>
  <r>
    <n v="1285738"/>
    <d v="2020-07-07T00:00:00"/>
    <x v="39"/>
    <x v="0"/>
    <x v="23"/>
    <n v="9"/>
    <x v="1"/>
    <x v="87"/>
    <x v="0"/>
    <m/>
    <x v="1"/>
    <d v="2020-07-14T00:00:00"/>
    <x v="1"/>
  </r>
  <r>
    <n v="2409315"/>
    <d v="2020-09-04T00:00:00"/>
    <x v="1"/>
    <x v="1"/>
    <x v="91"/>
    <m/>
    <x v="0"/>
    <x v="52"/>
    <x v="1"/>
    <m/>
    <x v="1"/>
    <m/>
    <x v="2"/>
  </r>
  <r>
    <n v="2294629"/>
    <d v="2020-09-02T00:00:00"/>
    <x v="44"/>
    <x v="0"/>
    <x v="2"/>
    <n v="3"/>
    <x v="0"/>
    <x v="69"/>
    <x v="1"/>
    <m/>
    <x v="1"/>
    <m/>
    <x v="2"/>
  </r>
  <r>
    <n v="5460885"/>
    <d v="2020-12-19T00:00:00"/>
    <x v="235"/>
    <x v="0"/>
    <x v="64"/>
    <n v="7"/>
    <x v="0"/>
    <x v="29"/>
    <x v="1"/>
    <m/>
    <x v="1"/>
    <m/>
    <x v="2"/>
  </r>
  <r>
    <n v="5270324"/>
    <d v="2020-12-14T00:00:00"/>
    <x v="130"/>
    <x v="1"/>
    <x v="12"/>
    <m/>
    <x v="1"/>
    <x v="79"/>
    <x v="0"/>
    <m/>
    <x v="1"/>
    <m/>
    <x v="0"/>
  </r>
  <r>
    <n v="2050464"/>
    <d v="2020-08-20T00:00:00"/>
    <x v="147"/>
    <x v="1"/>
    <x v="55"/>
    <m/>
    <x v="1"/>
    <x v="35"/>
    <x v="0"/>
    <m/>
    <x v="1"/>
    <m/>
    <x v="0"/>
  </r>
  <r>
    <n v="4653695"/>
    <d v="2020-11-21T00:00:00"/>
    <x v="149"/>
    <x v="1"/>
    <x v="52"/>
    <m/>
    <x v="0"/>
    <x v="46"/>
    <x v="1"/>
    <m/>
    <x v="1"/>
    <m/>
    <x v="2"/>
  </r>
  <r>
    <n v="1132111"/>
    <d v="2020-06-20T00:00:00"/>
    <x v="144"/>
    <x v="0"/>
    <x v="17"/>
    <n v="8"/>
    <x v="1"/>
    <x v="60"/>
    <x v="0"/>
    <m/>
    <x v="1"/>
    <d v="2020-07-01T00:00:00"/>
    <x v="1"/>
  </r>
  <r>
    <n v="3726912"/>
    <d v="2020-10-23T00:00:00"/>
    <x v="163"/>
    <x v="0"/>
    <x v="23"/>
    <n v="9"/>
    <x v="0"/>
    <x v="55"/>
    <x v="1"/>
    <m/>
    <x v="1"/>
    <m/>
    <x v="2"/>
  </r>
  <r>
    <n v="2918348"/>
    <d v="2020-09-26T00:00:00"/>
    <x v="31"/>
    <x v="1"/>
    <x v="50"/>
    <m/>
    <x v="0"/>
    <x v="99"/>
    <x v="0"/>
    <m/>
    <x v="1"/>
    <m/>
    <x v="1"/>
  </r>
  <r>
    <n v="5607112"/>
    <d v="2020-12-26T00:00:00"/>
    <x v="126"/>
    <x v="0"/>
    <x v="10"/>
    <n v="2"/>
    <x v="0"/>
    <x v="42"/>
    <x v="1"/>
    <m/>
    <x v="1"/>
    <m/>
    <x v="2"/>
  </r>
  <r>
    <n v="3075090"/>
    <d v="2020-10-01T00:00:00"/>
    <x v="153"/>
    <x v="1"/>
    <x v="92"/>
    <m/>
    <x v="0"/>
    <x v="64"/>
    <x v="1"/>
    <m/>
    <x v="1"/>
    <m/>
    <x v="2"/>
  </r>
  <r>
    <n v="4882261"/>
    <d v="2020-07-06T00:00:00"/>
    <x v="118"/>
    <x v="1"/>
    <x v="29"/>
    <m/>
    <x v="1"/>
    <x v="61"/>
    <x v="1"/>
    <m/>
    <x v="1"/>
    <m/>
    <x v="2"/>
  </r>
  <r>
    <n v="5013907"/>
    <d v="2020-12-04T00:00:00"/>
    <x v="218"/>
    <x v="1"/>
    <x v="52"/>
    <m/>
    <x v="1"/>
    <x v="29"/>
    <x v="1"/>
    <m/>
    <x v="1"/>
    <d v="2020-12-05T00:00:00"/>
    <x v="2"/>
  </r>
  <r>
    <n v="1179089"/>
    <d v="2020-08-10T00:00:00"/>
    <x v="138"/>
    <x v="1"/>
    <x v="62"/>
    <m/>
    <x v="1"/>
    <x v="83"/>
    <x v="0"/>
    <m/>
    <x v="1"/>
    <m/>
    <x v="4"/>
  </r>
  <r>
    <n v="3249689"/>
    <d v="2020-10-08T00:00:00"/>
    <x v="63"/>
    <x v="0"/>
    <x v="34"/>
    <n v="13"/>
    <x v="1"/>
    <x v="35"/>
    <x v="0"/>
    <m/>
    <x v="1"/>
    <m/>
    <x v="0"/>
  </r>
  <r>
    <n v="3653742"/>
    <d v="2020-10-21T00:00:00"/>
    <x v="106"/>
    <x v="1"/>
    <x v="55"/>
    <m/>
    <x v="0"/>
    <x v="20"/>
    <x v="2"/>
    <m/>
    <x v="1"/>
    <m/>
    <x v="3"/>
  </r>
  <r>
    <n v="2664624"/>
    <d v="2020-09-16T00:00:00"/>
    <x v="24"/>
    <x v="0"/>
    <x v="2"/>
    <n v="3"/>
    <x v="1"/>
    <x v="46"/>
    <x v="2"/>
    <m/>
    <x v="1"/>
    <m/>
    <x v="3"/>
  </r>
  <r>
    <n v="5532989"/>
    <d v="2020-12-22T00:00:00"/>
    <x v="201"/>
    <x v="0"/>
    <x v="10"/>
    <n v="2"/>
    <x v="1"/>
    <x v="65"/>
    <x v="1"/>
    <m/>
    <x v="1"/>
    <m/>
    <x v="2"/>
  </r>
  <r>
    <n v="3285954"/>
    <d v="2020-10-07T00:00:00"/>
    <x v="27"/>
    <x v="1"/>
    <x v="92"/>
    <m/>
    <x v="1"/>
    <x v="48"/>
    <x v="0"/>
    <m/>
    <x v="1"/>
    <m/>
    <x v="0"/>
  </r>
  <r>
    <n v="4483478"/>
    <d v="2020-11-16T00:00:00"/>
    <x v="225"/>
    <x v="0"/>
    <x v="4"/>
    <n v="7"/>
    <x v="0"/>
    <x v="40"/>
    <x v="1"/>
    <m/>
    <x v="1"/>
    <m/>
    <x v="2"/>
  </r>
  <r>
    <n v="1919843"/>
    <d v="2020-05-20T00:00:00"/>
    <x v="261"/>
    <x v="0"/>
    <x v="68"/>
    <n v="1"/>
    <x v="1"/>
    <x v="93"/>
    <x v="1"/>
    <m/>
    <x v="1"/>
    <m/>
    <x v="2"/>
  </r>
  <r>
    <n v="1508549"/>
    <d v="2020-07-24T00:00:00"/>
    <x v="124"/>
    <x v="0"/>
    <x v="14"/>
    <n v="15"/>
    <x v="1"/>
    <x v="18"/>
    <x v="0"/>
    <m/>
    <x v="1"/>
    <m/>
    <x v="0"/>
  </r>
  <r>
    <n v="2534387"/>
    <d v="2020-09-11T00:00:00"/>
    <x v="14"/>
    <x v="0"/>
    <x v="39"/>
    <n v="12"/>
    <x v="0"/>
    <x v="67"/>
    <x v="0"/>
    <m/>
    <x v="1"/>
    <m/>
    <x v="0"/>
  </r>
  <r>
    <n v="3612652"/>
    <d v="2020-10-19T00:00:00"/>
    <x v="51"/>
    <x v="0"/>
    <x v="23"/>
    <n v="9"/>
    <x v="1"/>
    <x v="70"/>
    <x v="1"/>
    <m/>
    <x v="1"/>
    <m/>
    <x v="2"/>
  </r>
  <r>
    <n v="2188645"/>
    <d v="2020-08-27T00:00:00"/>
    <x v="158"/>
    <x v="1"/>
    <x v="65"/>
    <m/>
    <x v="0"/>
    <x v="67"/>
    <x v="0"/>
    <m/>
    <x v="1"/>
    <m/>
    <x v="0"/>
  </r>
  <r>
    <n v="2925637"/>
    <d v="2020-09-25T00:00:00"/>
    <x v="145"/>
    <x v="1"/>
    <x v="92"/>
    <m/>
    <x v="1"/>
    <x v="12"/>
    <x v="0"/>
    <m/>
    <x v="1"/>
    <m/>
    <x v="0"/>
  </r>
  <r>
    <n v="1373565"/>
    <d v="2020-07-15T00:00:00"/>
    <x v="67"/>
    <x v="0"/>
    <x v="6"/>
    <n v="5"/>
    <x v="1"/>
    <x v="100"/>
    <x v="1"/>
    <m/>
    <x v="1"/>
    <m/>
    <x v="2"/>
  </r>
  <r>
    <n v="983487"/>
    <d v="2020-05-26T00:00:00"/>
    <x v="262"/>
    <x v="1"/>
    <x v="62"/>
    <m/>
    <x v="0"/>
    <x v="52"/>
    <x v="1"/>
    <m/>
    <x v="1"/>
    <m/>
    <x v="2"/>
  </r>
  <r>
    <n v="1637731"/>
    <d v="2020-08-01T00:00:00"/>
    <x v="52"/>
    <x v="1"/>
    <x v="61"/>
    <m/>
    <x v="0"/>
    <x v="81"/>
    <x v="0"/>
    <m/>
    <x v="1"/>
    <d v="2020-08-01T00:00:00"/>
    <x v="4"/>
  </r>
  <r>
    <n v="2680341"/>
    <d v="2020-09-16T00:00:00"/>
    <x v="108"/>
    <x v="0"/>
    <x v="2"/>
    <n v="3"/>
    <x v="1"/>
    <x v="68"/>
    <x v="1"/>
    <m/>
    <x v="1"/>
    <m/>
    <x v="2"/>
  </r>
  <r>
    <n v="3539021"/>
    <d v="2020-10-14T00:00:00"/>
    <x v="104"/>
    <x v="1"/>
    <x v="61"/>
    <m/>
    <x v="0"/>
    <x v="72"/>
    <x v="1"/>
    <m/>
    <x v="1"/>
    <m/>
    <x v="2"/>
  </r>
  <r>
    <n v="1452590"/>
    <d v="2020-07-21T00:00:00"/>
    <x v="16"/>
    <x v="1"/>
    <x v="91"/>
    <m/>
    <x v="0"/>
    <x v="65"/>
    <x v="2"/>
    <m/>
    <x v="1"/>
    <m/>
    <x v="3"/>
  </r>
  <r>
    <n v="1119507"/>
    <d v="2020-06-19T00:00:00"/>
    <x v="160"/>
    <x v="0"/>
    <x v="10"/>
    <n v="2"/>
    <x v="1"/>
    <x v="43"/>
    <x v="0"/>
    <m/>
    <x v="1"/>
    <m/>
    <x v="3"/>
  </r>
  <r>
    <n v="1538615"/>
    <d v="2020-07-27T00:00:00"/>
    <x v="78"/>
    <x v="1"/>
    <x v="16"/>
    <m/>
    <x v="0"/>
    <x v="95"/>
    <x v="1"/>
    <m/>
    <x v="1"/>
    <m/>
    <x v="2"/>
  </r>
  <r>
    <n v="1863629"/>
    <d v="2020-08-11T00:00:00"/>
    <x v="122"/>
    <x v="1"/>
    <x v="12"/>
    <m/>
    <x v="1"/>
    <x v="11"/>
    <x v="0"/>
    <m/>
    <x v="1"/>
    <m/>
    <x v="0"/>
  </r>
  <r>
    <n v="5253377"/>
    <d v="2020-12-10T00:00:00"/>
    <x v="76"/>
    <x v="0"/>
    <x v="60"/>
    <n v="11"/>
    <x v="0"/>
    <x v="63"/>
    <x v="1"/>
    <m/>
    <x v="1"/>
    <m/>
    <x v="2"/>
  </r>
  <r>
    <n v="2229069"/>
    <d v="2020-08-30T00:00:00"/>
    <x v="64"/>
    <x v="0"/>
    <x v="17"/>
    <n v="8"/>
    <x v="1"/>
    <x v="56"/>
    <x v="1"/>
    <m/>
    <x v="1"/>
    <m/>
    <x v="2"/>
  </r>
  <r>
    <n v="1225620"/>
    <d v="2020-07-01T00:00:00"/>
    <x v="42"/>
    <x v="0"/>
    <x v="23"/>
    <n v="9"/>
    <x v="0"/>
    <x v="19"/>
    <x v="0"/>
    <m/>
    <x v="1"/>
    <d v="2020-07-08T00:00:00"/>
    <x v="1"/>
  </r>
  <r>
    <n v="5069066"/>
    <d v="2020-12-08T00:00:00"/>
    <x v="196"/>
    <x v="1"/>
    <x v="91"/>
    <m/>
    <x v="0"/>
    <x v="78"/>
    <x v="1"/>
    <m/>
    <x v="1"/>
    <m/>
    <x v="2"/>
  </r>
  <r>
    <n v="5369289"/>
    <d v="2020-12-17T00:00:00"/>
    <x v="167"/>
    <x v="0"/>
    <x v="6"/>
    <n v="5"/>
    <x v="1"/>
    <x v="83"/>
    <x v="0"/>
    <m/>
    <x v="1"/>
    <d v="2020-12-20T00:00:00"/>
    <x v="0"/>
  </r>
  <r>
    <n v="1227276"/>
    <d v="2020-06-30T00:00:00"/>
    <x v="81"/>
    <x v="1"/>
    <x v="5"/>
    <m/>
    <x v="1"/>
    <x v="48"/>
    <x v="0"/>
    <m/>
    <x v="1"/>
    <m/>
    <x v="4"/>
  </r>
  <r>
    <n v="1461279"/>
    <d v="2020-07-21T00:00:00"/>
    <x v="68"/>
    <x v="1"/>
    <x v="12"/>
    <m/>
    <x v="0"/>
    <x v="32"/>
    <x v="0"/>
    <m/>
    <x v="1"/>
    <d v="2020-07-28T00:00:00"/>
    <x v="0"/>
  </r>
  <r>
    <n v="5497891"/>
    <d v="2020-12-18T00:00:00"/>
    <x v="244"/>
    <x v="0"/>
    <x v="10"/>
    <n v="2"/>
    <x v="0"/>
    <x v="77"/>
    <x v="1"/>
    <m/>
    <x v="1"/>
    <m/>
    <x v="2"/>
  </r>
  <r>
    <n v="1187943"/>
    <d v="2020-06-26T00:00:00"/>
    <x v="34"/>
    <x v="0"/>
    <x v="42"/>
    <n v="4"/>
    <x v="0"/>
    <x v="72"/>
    <x v="0"/>
    <m/>
    <x v="1"/>
    <d v="2020-07-06T00:00:00"/>
    <x v="1"/>
  </r>
  <r>
    <n v="1438346"/>
    <d v="2020-07-20T00:00:00"/>
    <x v="120"/>
    <x v="0"/>
    <x v="57"/>
    <n v="1"/>
    <x v="1"/>
    <x v="97"/>
    <x v="1"/>
    <m/>
    <x v="1"/>
    <m/>
    <x v="2"/>
  </r>
  <r>
    <n v="3955031"/>
    <d v="2020-10-30T00:00:00"/>
    <x v="243"/>
    <x v="0"/>
    <x v="69"/>
    <n v="10"/>
    <x v="0"/>
    <x v="22"/>
    <x v="1"/>
    <m/>
    <x v="1"/>
    <m/>
    <x v="2"/>
  </r>
  <r>
    <n v="5182531"/>
    <d v="2020-12-09T00:00:00"/>
    <x v="196"/>
    <x v="0"/>
    <x v="26"/>
    <n v="11"/>
    <x v="1"/>
    <x v="51"/>
    <x v="0"/>
    <m/>
    <x v="1"/>
    <m/>
    <x v="0"/>
  </r>
  <r>
    <n v="5473247"/>
    <d v="2020-12-21T00:00:00"/>
    <x v="121"/>
    <x v="11"/>
    <x v="83"/>
    <m/>
    <x v="1"/>
    <x v="84"/>
    <x v="1"/>
    <m/>
    <x v="1"/>
    <m/>
    <x v="2"/>
  </r>
  <r>
    <n v="1957864"/>
    <d v="2020-08-18T00:00:00"/>
    <x v="107"/>
    <x v="0"/>
    <x v="46"/>
    <n v="4"/>
    <x v="0"/>
    <x v="71"/>
    <x v="0"/>
    <m/>
    <x v="1"/>
    <d v="2020-08-19T00:00:00"/>
    <x v="0"/>
  </r>
  <r>
    <n v="1237215"/>
    <d v="2020-07-02T00:00:00"/>
    <x v="40"/>
    <x v="0"/>
    <x v="25"/>
    <n v="4"/>
    <x v="0"/>
    <x v="32"/>
    <x v="0"/>
    <m/>
    <x v="1"/>
    <m/>
    <x v="1"/>
  </r>
  <r>
    <n v="1472503"/>
    <d v="2020-07-22T00:00:00"/>
    <x v="68"/>
    <x v="0"/>
    <x v="24"/>
    <n v="4"/>
    <x v="1"/>
    <x v="84"/>
    <x v="0"/>
    <m/>
    <x v="1"/>
    <m/>
    <x v="1"/>
  </r>
  <r>
    <n v="1472893"/>
    <d v="2020-07-22T00:00:00"/>
    <x v="68"/>
    <x v="0"/>
    <x v="46"/>
    <n v="4"/>
    <x v="0"/>
    <x v="99"/>
    <x v="0"/>
    <m/>
    <x v="1"/>
    <m/>
    <x v="1"/>
  </r>
  <r>
    <n v="1472985"/>
    <d v="2020-07-22T00:00:00"/>
    <x v="68"/>
    <x v="0"/>
    <x v="46"/>
    <n v="4"/>
    <x v="0"/>
    <x v="84"/>
    <x v="0"/>
    <m/>
    <x v="1"/>
    <m/>
    <x v="3"/>
  </r>
  <r>
    <n v="1473117"/>
    <d v="2020-07-22T00:00:00"/>
    <x v="68"/>
    <x v="0"/>
    <x v="17"/>
    <n v="8"/>
    <x v="0"/>
    <x v="70"/>
    <x v="0"/>
    <m/>
    <x v="1"/>
    <m/>
    <x v="1"/>
  </r>
  <r>
    <n v="1473119"/>
    <d v="2020-07-22T00:00:00"/>
    <x v="68"/>
    <x v="0"/>
    <x v="17"/>
    <n v="8"/>
    <x v="0"/>
    <x v="83"/>
    <x v="0"/>
    <m/>
    <x v="1"/>
    <m/>
    <x v="1"/>
  </r>
  <r>
    <n v="1473177"/>
    <d v="2020-07-22T00:00:00"/>
    <x v="68"/>
    <x v="0"/>
    <x v="23"/>
    <n v="9"/>
    <x v="0"/>
    <x v="32"/>
    <x v="0"/>
    <m/>
    <x v="1"/>
    <m/>
    <x v="1"/>
  </r>
  <r>
    <n v="1473249"/>
    <d v="2020-07-22T00:00:00"/>
    <x v="68"/>
    <x v="0"/>
    <x v="46"/>
    <n v="4"/>
    <x v="0"/>
    <x v="76"/>
    <x v="0"/>
    <m/>
    <x v="1"/>
    <m/>
    <x v="1"/>
  </r>
  <r>
    <n v="1473418"/>
    <d v="2020-07-22T00:00:00"/>
    <x v="68"/>
    <x v="0"/>
    <x v="23"/>
    <n v="9"/>
    <x v="1"/>
    <x v="73"/>
    <x v="0"/>
    <m/>
    <x v="1"/>
    <m/>
    <x v="1"/>
  </r>
  <r>
    <n v="1473496"/>
    <d v="2020-07-22T00:00:00"/>
    <x v="68"/>
    <x v="0"/>
    <x v="37"/>
    <n v="1"/>
    <x v="0"/>
    <x v="57"/>
    <x v="0"/>
    <m/>
    <x v="1"/>
    <m/>
    <x v="1"/>
  </r>
  <r>
    <n v="1473561"/>
    <d v="2020-07-22T00:00:00"/>
    <x v="68"/>
    <x v="0"/>
    <x v="23"/>
    <n v="9"/>
    <x v="0"/>
    <x v="95"/>
    <x v="0"/>
    <m/>
    <x v="1"/>
    <m/>
    <x v="1"/>
  </r>
  <r>
    <n v="1473572"/>
    <d v="2020-07-22T00:00:00"/>
    <x v="54"/>
    <x v="0"/>
    <x v="11"/>
    <n v="14"/>
    <x v="1"/>
    <x v="43"/>
    <x v="0"/>
    <m/>
    <x v="1"/>
    <m/>
    <x v="1"/>
  </r>
  <r>
    <n v="1473587"/>
    <d v="2020-07-22T00:00:00"/>
    <x v="68"/>
    <x v="0"/>
    <x v="11"/>
    <n v="14"/>
    <x v="0"/>
    <x v="16"/>
    <x v="0"/>
    <m/>
    <x v="1"/>
    <m/>
    <x v="1"/>
  </r>
  <r>
    <n v="1473626"/>
    <d v="2020-07-22T00:00:00"/>
    <x v="54"/>
    <x v="0"/>
    <x v="42"/>
    <n v="4"/>
    <x v="1"/>
    <x v="70"/>
    <x v="0"/>
    <m/>
    <x v="1"/>
    <m/>
    <x v="0"/>
  </r>
  <r>
    <n v="1473687"/>
    <d v="2020-07-22T00:00:00"/>
    <x v="68"/>
    <x v="0"/>
    <x v="17"/>
    <n v="8"/>
    <x v="1"/>
    <x v="95"/>
    <x v="0"/>
    <m/>
    <x v="1"/>
    <m/>
    <x v="1"/>
  </r>
  <r>
    <n v="1473713"/>
    <d v="2020-07-22T00:00:00"/>
    <x v="68"/>
    <x v="0"/>
    <x v="46"/>
    <n v="4"/>
    <x v="1"/>
    <x v="91"/>
    <x v="0"/>
    <m/>
    <x v="1"/>
    <m/>
    <x v="3"/>
  </r>
  <r>
    <n v="1473761"/>
    <d v="2020-07-22T00:00:00"/>
    <x v="68"/>
    <x v="0"/>
    <x v="42"/>
    <n v="4"/>
    <x v="0"/>
    <x v="51"/>
    <x v="0"/>
    <m/>
    <x v="1"/>
    <m/>
    <x v="3"/>
  </r>
  <r>
    <n v="1473899"/>
    <d v="2020-07-22T00:00:00"/>
    <x v="68"/>
    <x v="0"/>
    <x v="35"/>
    <n v="9"/>
    <x v="0"/>
    <x v="43"/>
    <x v="0"/>
    <m/>
    <x v="1"/>
    <m/>
    <x v="1"/>
  </r>
  <r>
    <n v="1473945"/>
    <d v="2020-07-22T00:00:00"/>
    <x v="68"/>
    <x v="0"/>
    <x v="46"/>
    <n v="4"/>
    <x v="1"/>
    <x v="79"/>
    <x v="0"/>
    <m/>
    <x v="1"/>
    <m/>
    <x v="0"/>
  </r>
  <r>
    <n v="1473963"/>
    <d v="2020-07-22T00:00:00"/>
    <x v="68"/>
    <x v="0"/>
    <x v="35"/>
    <n v="9"/>
    <x v="1"/>
    <x v="88"/>
    <x v="0"/>
    <m/>
    <x v="1"/>
    <m/>
    <x v="1"/>
  </r>
  <r>
    <n v="1474025"/>
    <d v="2020-07-22T00:00:00"/>
    <x v="68"/>
    <x v="0"/>
    <x v="35"/>
    <n v="9"/>
    <x v="0"/>
    <x v="94"/>
    <x v="0"/>
    <m/>
    <x v="1"/>
    <m/>
    <x v="1"/>
  </r>
  <r>
    <n v="1474055"/>
    <d v="2020-07-22T00:00:00"/>
    <x v="68"/>
    <x v="0"/>
    <x v="35"/>
    <n v="9"/>
    <x v="0"/>
    <x v="96"/>
    <x v="0"/>
    <m/>
    <x v="1"/>
    <m/>
    <x v="1"/>
  </r>
  <r>
    <n v="1474217"/>
    <d v="2020-07-22T00:00:00"/>
    <x v="68"/>
    <x v="0"/>
    <x v="17"/>
    <n v="8"/>
    <x v="1"/>
    <x v="61"/>
    <x v="0"/>
    <m/>
    <x v="1"/>
    <m/>
    <x v="1"/>
  </r>
  <r>
    <n v="1474569"/>
    <d v="2020-07-22T00:00:00"/>
    <x v="54"/>
    <x v="0"/>
    <x v="15"/>
    <n v="1"/>
    <x v="0"/>
    <x v="83"/>
    <x v="0"/>
    <m/>
    <x v="1"/>
    <m/>
    <x v="0"/>
  </r>
  <r>
    <n v="1474622"/>
    <d v="2020-07-22T00:00:00"/>
    <x v="54"/>
    <x v="0"/>
    <x v="15"/>
    <n v="1"/>
    <x v="1"/>
    <x v="31"/>
    <x v="0"/>
    <m/>
    <x v="1"/>
    <m/>
    <x v="3"/>
  </r>
  <r>
    <n v="1474799"/>
    <d v="2020-07-22T00:00:00"/>
    <x v="68"/>
    <x v="0"/>
    <x v="17"/>
    <n v="8"/>
    <x v="0"/>
    <x v="89"/>
    <x v="0"/>
    <m/>
    <x v="1"/>
    <m/>
    <x v="1"/>
  </r>
  <r>
    <n v="1474839"/>
    <d v="2020-07-22T00:00:00"/>
    <x v="68"/>
    <x v="1"/>
    <x v="12"/>
    <m/>
    <x v="0"/>
    <x v="46"/>
    <x v="0"/>
    <m/>
    <x v="1"/>
    <m/>
    <x v="1"/>
  </r>
  <r>
    <n v="1474844"/>
    <d v="2020-07-22T00:00:00"/>
    <x v="68"/>
    <x v="0"/>
    <x v="17"/>
    <n v="8"/>
    <x v="1"/>
    <x v="80"/>
    <x v="0"/>
    <m/>
    <x v="1"/>
    <m/>
    <x v="1"/>
  </r>
  <r>
    <n v="1474851"/>
    <d v="2020-07-22T00:00:00"/>
    <x v="68"/>
    <x v="0"/>
    <x v="23"/>
    <n v="9"/>
    <x v="0"/>
    <x v="88"/>
    <x v="0"/>
    <m/>
    <x v="1"/>
    <m/>
    <x v="1"/>
  </r>
  <r>
    <n v="1474899"/>
    <d v="2020-07-22T00:00:00"/>
    <x v="68"/>
    <x v="0"/>
    <x v="23"/>
    <n v="9"/>
    <x v="0"/>
    <x v="99"/>
    <x v="0"/>
    <m/>
    <x v="1"/>
    <m/>
    <x v="1"/>
  </r>
  <r>
    <n v="1474906"/>
    <d v="2020-07-22T00:00:00"/>
    <x v="68"/>
    <x v="0"/>
    <x v="17"/>
    <n v="8"/>
    <x v="1"/>
    <x v="48"/>
    <x v="0"/>
    <m/>
    <x v="1"/>
    <m/>
    <x v="1"/>
  </r>
  <r>
    <n v="1474945"/>
    <d v="2020-07-22T00:00:00"/>
    <x v="68"/>
    <x v="0"/>
    <x v="17"/>
    <n v="8"/>
    <x v="0"/>
    <x v="84"/>
    <x v="0"/>
    <m/>
    <x v="1"/>
    <m/>
    <x v="1"/>
  </r>
  <r>
    <n v="1474970"/>
    <d v="2020-07-22T00:00:00"/>
    <x v="54"/>
    <x v="1"/>
    <x v="91"/>
    <m/>
    <x v="1"/>
    <x v="69"/>
    <x v="0"/>
    <m/>
    <x v="1"/>
    <m/>
    <x v="3"/>
  </r>
  <r>
    <n v="1577329"/>
    <d v="2020-07-29T00:00:00"/>
    <x v="20"/>
    <x v="0"/>
    <x v="2"/>
    <n v="3"/>
    <x v="1"/>
    <x v="46"/>
    <x v="0"/>
    <m/>
    <x v="1"/>
    <m/>
    <x v="1"/>
  </r>
  <r>
    <n v="1578681"/>
    <d v="2020-07-27T00:00:00"/>
    <x v="78"/>
    <x v="1"/>
    <x v="13"/>
    <m/>
    <x v="1"/>
    <x v="95"/>
    <x v="0"/>
    <m/>
    <x v="1"/>
    <m/>
    <x v="1"/>
  </r>
  <r>
    <n v="1583480"/>
    <d v="2020-07-29T00:00:00"/>
    <x v="146"/>
    <x v="1"/>
    <x v="12"/>
    <m/>
    <x v="0"/>
    <x v="19"/>
    <x v="0"/>
    <m/>
    <x v="1"/>
    <m/>
    <x v="0"/>
  </r>
  <r>
    <n v="1587585"/>
    <d v="2020-07-29T00:00:00"/>
    <x v="20"/>
    <x v="0"/>
    <x v="46"/>
    <n v="4"/>
    <x v="1"/>
    <x v="87"/>
    <x v="0"/>
    <m/>
    <x v="1"/>
    <m/>
    <x v="3"/>
  </r>
  <r>
    <n v="1593451"/>
    <d v="2020-07-30T00:00:00"/>
    <x v="146"/>
    <x v="1"/>
    <x v="5"/>
    <m/>
    <x v="1"/>
    <x v="52"/>
    <x v="0"/>
    <m/>
    <x v="1"/>
    <m/>
    <x v="3"/>
  </r>
  <r>
    <n v="1594038"/>
    <d v="2020-07-30T00:00:00"/>
    <x v="60"/>
    <x v="0"/>
    <x v="17"/>
    <n v="8"/>
    <x v="0"/>
    <x v="68"/>
    <x v="0"/>
    <m/>
    <x v="1"/>
    <m/>
    <x v="1"/>
  </r>
  <r>
    <n v="1598651"/>
    <d v="2020-07-30T00:00:00"/>
    <x v="146"/>
    <x v="1"/>
    <x v="50"/>
    <m/>
    <x v="0"/>
    <x v="91"/>
    <x v="0"/>
    <m/>
    <x v="1"/>
    <m/>
    <x v="1"/>
  </r>
  <r>
    <n v="1600046"/>
    <d v="2020-07-30T00:00:00"/>
    <x v="146"/>
    <x v="0"/>
    <x v="48"/>
    <n v="5"/>
    <x v="0"/>
    <x v="69"/>
    <x v="0"/>
    <m/>
    <x v="1"/>
    <m/>
    <x v="1"/>
  </r>
  <r>
    <n v="1602654"/>
    <d v="2020-07-30T00:00:00"/>
    <x v="146"/>
    <x v="0"/>
    <x v="46"/>
    <n v="4"/>
    <x v="1"/>
    <x v="94"/>
    <x v="0"/>
    <m/>
    <x v="1"/>
    <m/>
    <x v="0"/>
  </r>
  <r>
    <n v="1603792"/>
    <d v="2020-07-30T00:00:00"/>
    <x v="146"/>
    <x v="0"/>
    <x v="46"/>
    <n v="4"/>
    <x v="0"/>
    <x v="70"/>
    <x v="0"/>
    <m/>
    <x v="1"/>
    <m/>
    <x v="3"/>
  </r>
  <r>
    <n v="1605413"/>
    <d v="2020-07-30T00:00:00"/>
    <x v="146"/>
    <x v="0"/>
    <x v="2"/>
    <n v="3"/>
    <x v="0"/>
    <x v="80"/>
    <x v="0"/>
    <m/>
    <x v="1"/>
    <m/>
    <x v="0"/>
  </r>
  <r>
    <n v="1606834"/>
    <d v="2020-07-31T00:00:00"/>
    <x v="60"/>
    <x v="0"/>
    <x v="57"/>
    <n v="1"/>
    <x v="1"/>
    <x v="76"/>
    <x v="0"/>
    <m/>
    <x v="1"/>
    <m/>
    <x v="3"/>
  </r>
  <r>
    <n v="1607302"/>
    <d v="2020-07-30T00:00:00"/>
    <x v="60"/>
    <x v="1"/>
    <x v="29"/>
    <m/>
    <x v="0"/>
    <x v="93"/>
    <x v="0"/>
    <m/>
    <x v="1"/>
    <m/>
    <x v="3"/>
  </r>
  <r>
    <n v="1611228"/>
    <d v="2020-07-31T00:00:00"/>
    <x v="60"/>
    <x v="1"/>
    <x v="52"/>
    <m/>
    <x v="1"/>
    <x v="71"/>
    <x v="0"/>
    <m/>
    <x v="1"/>
    <m/>
    <x v="1"/>
  </r>
  <r>
    <n v="1613039"/>
    <d v="2020-07-17T00:00:00"/>
    <x v="17"/>
    <x v="0"/>
    <x v="54"/>
    <n v="10"/>
    <x v="0"/>
    <x v="32"/>
    <x v="0"/>
    <m/>
    <x v="1"/>
    <m/>
    <x v="4"/>
  </r>
  <r>
    <n v="1613466"/>
    <d v="2020-07-31T00:00:00"/>
    <x v="60"/>
    <x v="0"/>
    <x v="17"/>
    <n v="8"/>
    <x v="0"/>
    <x v="92"/>
    <x v="0"/>
    <m/>
    <x v="1"/>
    <m/>
    <x v="3"/>
  </r>
  <r>
    <n v="1614601"/>
    <d v="2020-08-09T00:00:00"/>
    <x v="22"/>
    <x v="1"/>
    <x v="12"/>
    <m/>
    <x v="1"/>
    <x v="77"/>
    <x v="0"/>
    <m/>
    <x v="1"/>
    <m/>
    <x v="0"/>
  </r>
  <r>
    <n v="1616923"/>
    <d v="2020-08-10T00:00:00"/>
    <x v="8"/>
    <x v="0"/>
    <x v="15"/>
    <n v="1"/>
    <x v="0"/>
    <x v="65"/>
    <x v="0"/>
    <m/>
    <x v="1"/>
    <m/>
    <x v="1"/>
  </r>
  <r>
    <n v="1616960"/>
    <d v="2020-08-12T00:00:00"/>
    <x v="122"/>
    <x v="1"/>
    <x v="91"/>
    <m/>
    <x v="1"/>
    <x v="23"/>
    <x v="0"/>
    <m/>
    <x v="1"/>
    <m/>
    <x v="0"/>
  </r>
  <r>
    <n v="1622494"/>
    <d v="2020-07-31T00:00:00"/>
    <x v="60"/>
    <x v="0"/>
    <x v="42"/>
    <n v="4"/>
    <x v="0"/>
    <x v="5"/>
    <x v="0"/>
    <m/>
    <x v="1"/>
    <m/>
    <x v="1"/>
  </r>
  <r>
    <n v="1622508"/>
    <d v="2020-07-31T00:00:00"/>
    <x v="60"/>
    <x v="0"/>
    <x v="42"/>
    <n v="4"/>
    <x v="1"/>
    <x v="73"/>
    <x v="0"/>
    <m/>
    <x v="1"/>
    <m/>
    <x v="1"/>
  </r>
  <r>
    <n v="1623283"/>
    <d v="2020-07-31T00:00:00"/>
    <x v="60"/>
    <x v="15"/>
    <x v="89"/>
    <m/>
    <x v="1"/>
    <x v="69"/>
    <x v="0"/>
    <m/>
    <x v="1"/>
    <m/>
    <x v="1"/>
  </r>
  <r>
    <n v="1623328"/>
    <d v="2020-07-31T00:00:00"/>
    <x v="60"/>
    <x v="1"/>
    <x v="16"/>
    <m/>
    <x v="1"/>
    <x v="71"/>
    <x v="0"/>
    <m/>
    <x v="1"/>
    <m/>
    <x v="0"/>
  </r>
  <r>
    <n v="1623532"/>
    <d v="2020-07-31T00:00:00"/>
    <x v="60"/>
    <x v="0"/>
    <x v="17"/>
    <n v="8"/>
    <x v="1"/>
    <x v="69"/>
    <x v="0"/>
    <m/>
    <x v="1"/>
    <m/>
    <x v="3"/>
  </r>
  <r>
    <n v="1623690"/>
    <d v="2020-07-31T00:00:00"/>
    <x v="60"/>
    <x v="0"/>
    <x v="39"/>
    <n v="12"/>
    <x v="1"/>
    <x v="65"/>
    <x v="0"/>
    <m/>
    <x v="1"/>
    <m/>
    <x v="4"/>
  </r>
  <r>
    <n v="1627459"/>
    <d v="2020-07-31T00:00:00"/>
    <x v="60"/>
    <x v="1"/>
    <x v="61"/>
    <m/>
    <x v="1"/>
    <x v="68"/>
    <x v="0"/>
    <m/>
    <x v="1"/>
    <m/>
    <x v="1"/>
  </r>
  <r>
    <n v="1631809"/>
    <d v="2020-08-01T00:00:00"/>
    <x v="236"/>
    <x v="0"/>
    <x v="64"/>
    <n v="7"/>
    <x v="1"/>
    <x v="67"/>
    <x v="0"/>
    <m/>
    <x v="1"/>
    <m/>
    <x v="0"/>
  </r>
  <r>
    <n v="1631876"/>
    <d v="2020-07-31T00:00:00"/>
    <x v="60"/>
    <x v="0"/>
    <x v="24"/>
    <n v="4"/>
    <x v="1"/>
    <x v="78"/>
    <x v="0"/>
    <m/>
    <x v="1"/>
    <m/>
    <x v="0"/>
  </r>
  <r>
    <n v="1635708"/>
    <d v="2020-08-01T00:00:00"/>
    <x v="52"/>
    <x v="1"/>
    <x v="62"/>
    <m/>
    <x v="0"/>
    <x v="80"/>
    <x v="0"/>
    <m/>
    <x v="1"/>
    <m/>
    <x v="1"/>
  </r>
  <r>
    <n v="1635722"/>
    <d v="2020-08-01T00:00:00"/>
    <x v="52"/>
    <x v="1"/>
    <x v="65"/>
    <m/>
    <x v="1"/>
    <x v="95"/>
    <x v="0"/>
    <m/>
    <x v="1"/>
    <m/>
    <x v="1"/>
  </r>
  <r>
    <n v="1637731"/>
    <d v="2020-08-01T00:00:00"/>
    <x v="52"/>
    <x v="1"/>
    <x v="13"/>
    <m/>
    <x v="0"/>
    <x v="81"/>
    <x v="0"/>
    <m/>
    <x v="1"/>
    <m/>
    <x v="4"/>
  </r>
  <r>
    <n v="1657706"/>
    <d v="2020-08-03T00:00:00"/>
    <x v="207"/>
    <x v="0"/>
    <x v="4"/>
    <n v="7"/>
    <x v="1"/>
    <x v="10"/>
    <x v="0"/>
    <m/>
    <x v="1"/>
    <m/>
    <x v="0"/>
  </r>
  <r>
    <n v="1668187"/>
    <d v="2020-08-01T00:00:00"/>
    <x v="52"/>
    <x v="1"/>
    <x v="19"/>
    <m/>
    <x v="0"/>
    <x v="93"/>
    <x v="0"/>
    <m/>
    <x v="1"/>
    <m/>
    <x v="1"/>
  </r>
  <r>
    <n v="1671941"/>
    <d v="2020-08-04T00:00:00"/>
    <x v="29"/>
    <x v="1"/>
    <x v="55"/>
    <m/>
    <x v="0"/>
    <x v="18"/>
    <x v="0"/>
    <m/>
    <x v="1"/>
    <m/>
    <x v="0"/>
  </r>
  <r>
    <n v="1811562"/>
    <d v="2020-07-28T00:00:00"/>
    <x v="204"/>
    <x v="0"/>
    <x v="10"/>
    <n v="2"/>
    <x v="1"/>
    <x v="86"/>
    <x v="0"/>
    <m/>
    <x v="1"/>
    <m/>
    <x v="3"/>
  </r>
  <r>
    <n v="1411295"/>
    <d v="2020-05-09T00:00:00"/>
    <x v="263"/>
    <x v="0"/>
    <x v="42"/>
    <n v="4"/>
    <x v="0"/>
    <x v="23"/>
    <x v="0"/>
    <m/>
    <x v="1"/>
    <m/>
    <x v="1"/>
  </r>
  <r>
    <n v="1411590"/>
    <d v="2020-07-17T00:00:00"/>
    <x v="17"/>
    <x v="1"/>
    <x v="61"/>
    <m/>
    <x v="0"/>
    <x v="45"/>
    <x v="0"/>
    <m/>
    <x v="1"/>
    <m/>
    <x v="0"/>
  </r>
  <r>
    <n v="1412629"/>
    <d v="2020-07-17T00:00:00"/>
    <x v="17"/>
    <x v="0"/>
    <x v="26"/>
    <n v="11"/>
    <x v="0"/>
    <x v="16"/>
    <x v="0"/>
    <m/>
    <x v="1"/>
    <m/>
    <x v="0"/>
  </r>
  <r>
    <n v="1412705"/>
    <d v="2020-07-17T00:00:00"/>
    <x v="17"/>
    <x v="0"/>
    <x v="7"/>
    <n v="6"/>
    <x v="1"/>
    <x v="80"/>
    <x v="0"/>
    <m/>
    <x v="1"/>
    <m/>
    <x v="1"/>
  </r>
  <r>
    <n v="1417246"/>
    <d v="2020-07-18T00:00:00"/>
    <x v="62"/>
    <x v="0"/>
    <x v="10"/>
    <n v="2"/>
    <x v="1"/>
    <x v="17"/>
    <x v="0"/>
    <m/>
    <x v="1"/>
    <m/>
    <x v="1"/>
  </r>
  <r>
    <n v="1417294"/>
    <d v="2020-07-18T00:00:00"/>
    <x v="62"/>
    <x v="0"/>
    <x v="2"/>
    <n v="3"/>
    <x v="0"/>
    <x v="44"/>
    <x v="0"/>
    <m/>
    <x v="1"/>
    <m/>
    <x v="1"/>
  </r>
  <r>
    <n v="1417301"/>
    <d v="2020-07-18T00:00:00"/>
    <x v="62"/>
    <x v="1"/>
    <x v="92"/>
    <m/>
    <x v="0"/>
    <x v="0"/>
    <x v="0"/>
    <m/>
    <x v="1"/>
    <m/>
    <x v="3"/>
  </r>
  <r>
    <n v="1417450"/>
    <d v="2020-07-18T00:00:00"/>
    <x v="62"/>
    <x v="0"/>
    <x v="15"/>
    <n v="1"/>
    <x v="0"/>
    <x v="101"/>
    <x v="0"/>
    <m/>
    <x v="1"/>
    <m/>
    <x v="0"/>
  </r>
  <r>
    <n v="1417259"/>
    <d v="2020-07-18T00:00:00"/>
    <x v="62"/>
    <x v="0"/>
    <x v="35"/>
    <n v="9"/>
    <x v="1"/>
    <x v="21"/>
    <x v="0"/>
    <m/>
    <x v="1"/>
    <m/>
    <x v="3"/>
  </r>
  <r>
    <n v="1417307"/>
    <d v="2020-07-18T00:00:00"/>
    <x v="62"/>
    <x v="0"/>
    <x v="60"/>
    <n v="11"/>
    <x v="0"/>
    <x v="14"/>
    <x v="0"/>
    <m/>
    <x v="1"/>
    <m/>
    <x v="0"/>
  </r>
  <r>
    <n v="1417601"/>
    <d v="2020-07-18T00:00:00"/>
    <x v="137"/>
    <x v="0"/>
    <x v="39"/>
    <n v="12"/>
    <x v="0"/>
    <x v="92"/>
    <x v="0"/>
    <m/>
    <x v="1"/>
    <m/>
    <x v="1"/>
  </r>
  <r>
    <n v="1417609"/>
    <d v="2020-07-18T00:00:00"/>
    <x v="137"/>
    <x v="0"/>
    <x v="39"/>
    <n v="12"/>
    <x v="0"/>
    <x v="41"/>
    <x v="0"/>
    <m/>
    <x v="1"/>
    <m/>
    <x v="1"/>
  </r>
  <r>
    <n v="1418777"/>
    <d v="2020-07-27T00:00:00"/>
    <x v="78"/>
    <x v="0"/>
    <x v="69"/>
    <n v="10"/>
    <x v="0"/>
    <x v="55"/>
    <x v="0"/>
    <m/>
    <x v="1"/>
    <m/>
    <x v="1"/>
  </r>
  <r>
    <n v="1420896"/>
    <d v="2020-07-18T00:00:00"/>
    <x v="62"/>
    <x v="0"/>
    <x v="4"/>
    <n v="7"/>
    <x v="0"/>
    <x v="15"/>
    <x v="0"/>
    <m/>
    <x v="1"/>
    <m/>
    <x v="0"/>
  </r>
  <r>
    <n v="1421409"/>
    <d v="2020-07-17T00:00:00"/>
    <x v="137"/>
    <x v="1"/>
    <x v="50"/>
    <m/>
    <x v="1"/>
    <x v="52"/>
    <x v="0"/>
    <m/>
    <x v="1"/>
    <m/>
    <x v="0"/>
  </r>
  <r>
    <n v="1421608"/>
    <d v="2020-07-19T00:00:00"/>
    <x v="137"/>
    <x v="0"/>
    <x v="0"/>
    <n v="15"/>
    <x v="0"/>
    <x v="37"/>
    <x v="0"/>
    <m/>
    <x v="1"/>
    <m/>
    <x v="1"/>
  </r>
  <r>
    <n v="1421956"/>
    <d v="2020-07-17T00:00:00"/>
    <x v="62"/>
    <x v="1"/>
    <x v="65"/>
    <m/>
    <x v="1"/>
    <x v="46"/>
    <x v="0"/>
    <m/>
    <x v="1"/>
    <m/>
    <x v="0"/>
  </r>
  <r>
    <n v="1422301"/>
    <d v="2020-07-19T00:00:00"/>
    <x v="137"/>
    <x v="0"/>
    <x v="15"/>
    <n v="1"/>
    <x v="0"/>
    <x v="51"/>
    <x v="0"/>
    <m/>
    <x v="1"/>
    <m/>
    <x v="1"/>
  </r>
  <r>
    <n v="1422744"/>
    <d v="2020-07-19T00:00:00"/>
    <x v="137"/>
    <x v="0"/>
    <x v="46"/>
    <n v="4"/>
    <x v="1"/>
    <x v="68"/>
    <x v="0"/>
    <m/>
    <x v="1"/>
    <m/>
    <x v="0"/>
  </r>
  <r>
    <n v="1424056"/>
    <d v="2020-07-19T00:00:00"/>
    <x v="137"/>
    <x v="0"/>
    <x v="57"/>
    <n v="1"/>
    <x v="1"/>
    <x v="71"/>
    <x v="0"/>
    <m/>
    <x v="1"/>
    <m/>
    <x v="0"/>
  </r>
  <r>
    <n v="1425806"/>
    <d v="2020-07-19T00:00:00"/>
    <x v="137"/>
    <x v="0"/>
    <x v="40"/>
    <n v="8"/>
    <x v="0"/>
    <x v="87"/>
    <x v="0"/>
    <m/>
    <x v="1"/>
    <m/>
    <x v="1"/>
  </r>
  <r>
    <n v="1425847"/>
    <d v="2020-07-19T00:00:00"/>
    <x v="137"/>
    <x v="0"/>
    <x v="46"/>
    <n v="4"/>
    <x v="1"/>
    <x v="71"/>
    <x v="0"/>
    <m/>
    <x v="1"/>
    <m/>
    <x v="1"/>
  </r>
  <r>
    <n v="1426129"/>
    <d v="2020-07-19T00:00:00"/>
    <x v="137"/>
    <x v="0"/>
    <x v="17"/>
    <n v="8"/>
    <x v="0"/>
    <x v="4"/>
    <x v="0"/>
    <m/>
    <x v="1"/>
    <m/>
    <x v="0"/>
  </r>
  <r>
    <n v="1426154"/>
    <d v="2020-07-19T00:00:00"/>
    <x v="137"/>
    <x v="0"/>
    <x v="17"/>
    <n v="8"/>
    <x v="1"/>
    <x v="18"/>
    <x v="0"/>
    <m/>
    <x v="1"/>
    <m/>
    <x v="3"/>
  </r>
  <r>
    <n v="1426363"/>
    <d v="2020-07-19T00:00:00"/>
    <x v="137"/>
    <x v="1"/>
    <x v="50"/>
    <m/>
    <x v="0"/>
    <x v="26"/>
    <x v="0"/>
    <m/>
    <x v="1"/>
    <m/>
    <x v="1"/>
  </r>
  <r>
    <n v="1426777"/>
    <d v="2020-07-19T00:00:00"/>
    <x v="137"/>
    <x v="1"/>
    <x v="12"/>
    <m/>
    <x v="0"/>
    <x v="18"/>
    <x v="0"/>
    <m/>
    <x v="1"/>
    <m/>
    <x v="3"/>
  </r>
  <r>
    <n v="1429748"/>
    <d v="2020-07-17T00:00:00"/>
    <x v="62"/>
    <x v="1"/>
    <x v="50"/>
    <m/>
    <x v="1"/>
    <x v="51"/>
    <x v="0"/>
    <m/>
    <x v="1"/>
    <m/>
    <x v="0"/>
  </r>
  <r>
    <n v="1431239"/>
    <d v="2020-07-19T00:00:00"/>
    <x v="120"/>
    <x v="0"/>
    <x v="36"/>
    <n v="3"/>
    <x v="1"/>
    <x v="29"/>
    <x v="0"/>
    <m/>
    <x v="1"/>
    <m/>
    <x v="0"/>
  </r>
  <r>
    <n v="1433328"/>
    <d v="2020-07-20T00:00:00"/>
    <x v="120"/>
    <x v="1"/>
    <x v="61"/>
    <m/>
    <x v="1"/>
    <x v="83"/>
    <x v="0"/>
    <m/>
    <x v="1"/>
    <m/>
    <x v="0"/>
  </r>
  <r>
    <n v="1433418"/>
    <d v="2020-07-20T00:00:00"/>
    <x v="120"/>
    <x v="1"/>
    <x v="65"/>
    <m/>
    <x v="0"/>
    <x v="95"/>
    <x v="0"/>
    <m/>
    <x v="1"/>
    <m/>
    <x v="1"/>
  </r>
  <r>
    <n v="1433952"/>
    <d v="2020-07-20T00:00:00"/>
    <x v="68"/>
    <x v="0"/>
    <x v="37"/>
    <n v="1"/>
    <x v="0"/>
    <x v="11"/>
    <x v="0"/>
    <m/>
    <x v="1"/>
    <m/>
    <x v="4"/>
  </r>
  <r>
    <n v="1434937"/>
    <d v="2020-07-20T00:00:00"/>
    <x v="120"/>
    <x v="1"/>
    <x v="50"/>
    <m/>
    <x v="1"/>
    <x v="69"/>
    <x v="0"/>
    <m/>
    <x v="1"/>
    <m/>
    <x v="1"/>
  </r>
  <r>
    <n v="1435214"/>
    <d v="2020-07-20T00:00:00"/>
    <x v="16"/>
    <x v="0"/>
    <x v="45"/>
    <n v="9"/>
    <x v="1"/>
    <x v="55"/>
    <x v="0"/>
    <m/>
    <x v="1"/>
    <m/>
    <x v="1"/>
  </r>
  <r>
    <n v="1459357"/>
    <d v="2020-07-21T00:00:00"/>
    <x v="16"/>
    <x v="0"/>
    <x v="18"/>
    <n v="15"/>
    <x v="1"/>
    <x v="71"/>
    <x v="0"/>
    <m/>
    <x v="1"/>
    <m/>
    <x v="0"/>
  </r>
  <r>
    <n v="1459367"/>
    <d v="2020-07-21T00:00:00"/>
    <x v="16"/>
    <x v="0"/>
    <x v="45"/>
    <n v="9"/>
    <x v="1"/>
    <x v="101"/>
    <x v="0"/>
    <m/>
    <x v="1"/>
    <m/>
    <x v="1"/>
  </r>
  <r>
    <n v="1459378"/>
    <d v="2020-07-21T00:00:00"/>
    <x v="16"/>
    <x v="0"/>
    <x v="17"/>
    <n v="8"/>
    <x v="1"/>
    <x v="86"/>
    <x v="0"/>
    <m/>
    <x v="1"/>
    <m/>
    <x v="1"/>
  </r>
  <r>
    <n v="1459501"/>
    <d v="2020-07-21T00:00:00"/>
    <x v="16"/>
    <x v="0"/>
    <x v="4"/>
    <n v="7"/>
    <x v="1"/>
    <x v="89"/>
    <x v="0"/>
    <m/>
    <x v="1"/>
    <m/>
    <x v="0"/>
  </r>
  <r>
    <n v="1459507"/>
    <d v="2020-07-21T00:00:00"/>
    <x v="16"/>
    <x v="0"/>
    <x v="17"/>
    <n v="8"/>
    <x v="1"/>
    <x v="92"/>
    <x v="0"/>
    <m/>
    <x v="1"/>
    <m/>
    <x v="1"/>
  </r>
  <r>
    <n v="1459579"/>
    <d v="2020-07-21T00:00:00"/>
    <x v="68"/>
    <x v="0"/>
    <x v="4"/>
    <n v="7"/>
    <x v="1"/>
    <x v="94"/>
    <x v="0"/>
    <m/>
    <x v="1"/>
    <m/>
    <x v="3"/>
  </r>
  <r>
    <n v="1459608"/>
    <d v="2020-07-21T00:00:00"/>
    <x v="68"/>
    <x v="1"/>
    <x v="9"/>
    <m/>
    <x v="1"/>
    <x v="76"/>
    <x v="0"/>
    <m/>
    <x v="1"/>
    <m/>
    <x v="0"/>
  </r>
  <r>
    <n v="1459625"/>
    <d v="2020-07-21T00:00:00"/>
    <x v="68"/>
    <x v="1"/>
    <x v="92"/>
    <m/>
    <x v="1"/>
    <x v="97"/>
    <x v="0"/>
    <m/>
    <x v="1"/>
    <m/>
    <x v="1"/>
  </r>
  <r>
    <n v="1459628"/>
    <d v="2020-07-21T00:00:00"/>
    <x v="68"/>
    <x v="1"/>
    <x v="50"/>
    <m/>
    <x v="1"/>
    <x v="84"/>
    <x v="0"/>
    <m/>
    <x v="1"/>
    <m/>
    <x v="0"/>
  </r>
  <r>
    <n v="1459633"/>
    <d v="2020-07-21T00:00:00"/>
    <x v="68"/>
    <x v="1"/>
    <x v="61"/>
    <m/>
    <x v="1"/>
    <x v="96"/>
    <x v="0"/>
    <m/>
    <x v="1"/>
    <m/>
    <x v="0"/>
  </r>
  <r>
    <n v="1459636"/>
    <d v="2020-07-21T00:00:00"/>
    <x v="68"/>
    <x v="1"/>
    <x v="12"/>
    <m/>
    <x v="1"/>
    <x v="74"/>
    <x v="0"/>
    <m/>
    <x v="1"/>
    <m/>
    <x v="1"/>
  </r>
  <r>
    <n v="1461616"/>
    <d v="2020-07-21T00:00:00"/>
    <x v="16"/>
    <x v="0"/>
    <x v="2"/>
    <n v="3"/>
    <x v="1"/>
    <x v="87"/>
    <x v="0"/>
    <m/>
    <x v="1"/>
    <m/>
    <x v="0"/>
  </r>
  <r>
    <n v="1461724"/>
    <d v="2020-07-21T00:00:00"/>
    <x v="68"/>
    <x v="0"/>
    <x v="8"/>
    <n v="1"/>
    <x v="1"/>
    <x v="73"/>
    <x v="0"/>
    <m/>
    <x v="1"/>
    <m/>
    <x v="1"/>
  </r>
  <r>
    <n v="1461785"/>
    <d v="2020-07-23T00:00:00"/>
    <x v="54"/>
    <x v="0"/>
    <x v="28"/>
    <n v="15"/>
    <x v="1"/>
    <x v="52"/>
    <x v="0"/>
    <m/>
    <x v="1"/>
    <m/>
    <x v="0"/>
  </r>
  <r>
    <n v="1461858"/>
    <d v="2020-07-22T00:00:00"/>
    <x v="68"/>
    <x v="0"/>
    <x v="2"/>
    <n v="3"/>
    <x v="0"/>
    <x v="73"/>
    <x v="0"/>
    <m/>
    <x v="1"/>
    <m/>
    <x v="1"/>
  </r>
  <r>
    <n v="1462179"/>
    <d v="2020-07-21T00:00:00"/>
    <x v="16"/>
    <x v="0"/>
    <x v="4"/>
    <n v="7"/>
    <x v="0"/>
    <x v="41"/>
    <x v="0"/>
    <m/>
    <x v="1"/>
    <m/>
    <x v="3"/>
  </r>
  <r>
    <n v="1462258"/>
    <d v="2020-07-21T00:00:00"/>
    <x v="16"/>
    <x v="0"/>
    <x v="40"/>
    <n v="8"/>
    <x v="0"/>
    <x v="32"/>
    <x v="0"/>
    <m/>
    <x v="1"/>
    <m/>
    <x v="4"/>
  </r>
  <r>
    <n v="1463089"/>
    <d v="2020-07-22T00:00:00"/>
    <x v="68"/>
    <x v="1"/>
    <x v="50"/>
    <m/>
    <x v="0"/>
    <x v="32"/>
    <x v="0"/>
    <m/>
    <x v="1"/>
    <m/>
    <x v="0"/>
  </r>
  <r>
    <n v="1463150"/>
    <d v="2020-07-18T00:00:00"/>
    <x v="62"/>
    <x v="0"/>
    <x v="26"/>
    <n v="11"/>
    <x v="1"/>
    <x v="42"/>
    <x v="0"/>
    <m/>
    <x v="1"/>
    <m/>
    <x v="0"/>
  </r>
  <r>
    <n v="1464050"/>
    <d v="2020-07-21T00:00:00"/>
    <x v="16"/>
    <x v="0"/>
    <x v="31"/>
    <n v="10"/>
    <x v="0"/>
    <x v="26"/>
    <x v="0"/>
    <m/>
    <x v="1"/>
    <m/>
    <x v="1"/>
  </r>
  <r>
    <n v="1464680"/>
    <d v="2020-07-21T00:00:00"/>
    <x v="16"/>
    <x v="0"/>
    <x v="27"/>
    <n v="12"/>
    <x v="1"/>
    <x v="41"/>
    <x v="0"/>
    <m/>
    <x v="1"/>
    <m/>
    <x v="3"/>
  </r>
  <r>
    <n v="1465180"/>
    <d v="2020-07-22T00:00:00"/>
    <x v="68"/>
    <x v="1"/>
    <x v="61"/>
    <m/>
    <x v="0"/>
    <x v="67"/>
    <x v="0"/>
    <m/>
    <x v="1"/>
    <m/>
    <x v="0"/>
  </r>
  <r>
    <n v="1465423"/>
    <d v="2020-07-22T00:00:00"/>
    <x v="54"/>
    <x v="0"/>
    <x v="7"/>
    <n v="6"/>
    <x v="0"/>
    <x v="9"/>
    <x v="0"/>
    <m/>
    <x v="1"/>
    <m/>
    <x v="3"/>
  </r>
  <r>
    <n v="1466405"/>
    <d v="2020-07-21T00:00:00"/>
    <x v="16"/>
    <x v="0"/>
    <x v="17"/>
    <n v="8"/>
    <x v="0"/>
    <x v="56"/>
    <x v="0"/>
    <m/>
    <x v="1"/>
    <m/>
    <x v="1"/>
  </r>
  <r>
    <n v="1467107"/>
    <d v="2020-07-21T00:00:00"/>
    <x v="16"/>
    <x v="0"/>
    <x v="17"/>
    <n v="8"/>
    <x v="0"/>
    <x v="99"/>
    <x v="0"/>
    <m/>
    <x v="1"/>
    <m/>
    <x v="1"/>
  </r>
  <r>
    <n v="1467160"/>
    <d v="2020-07-21T00:00:00"/>
    <x v="16"/>
    <x v="1"/>
    <x v="12"/>
    <m/>
    <x v="0"/>
    <x v="91"/>
    <x v="0"/>
    <m/>
    <x v="1"/>
    <m/>
    <x v="0"/>
  </r>
  <r>
    <n v="1467183"/>
    <d v="2020-07-21T00:00:00"/>
    <x v="16"/>
    <x v="0"/>
    <x v="17"/>
    <n v="8"/>
    <x v="0"/>
    <x v="93"/>
    <x v="0"/>
    <m/>
    <x v="1"/>
    <m/>
    <x v="1"/>
  </r>
  <r>
    <n v="1467198"/>
    <d v="2020-07-22T00:00:00"/>
    <x v="68"/>
    <x v="1"/>
    <x v="50"/>
    <m/>
    <x v="1"/>
    <x v="12"/>
    <x v="0"/>
    <m/>
    <x v="1"/>
    <m/>
    <x v="1"/>
  </r>
  <r>
    <n v="1467249"/>
    <d v="2020-07-21T00:00:00"/>
    <x v="16"/>
    <x v="0"/>
    <x v="17"/>
    <n v="8"/>
    <x v="0"/>
    <x v="48"/>
    <x v="0"/>
    <m/>
    <x v="1"/>
    <m/>
    <x v="1"/>
  </r>
  <r>
    <n v="1467305"/>
    <d v="2020-07-21T00:00:00"/>
    <x v="16"/>
    <x v="0"/>
    <x v="17"/>
    <n v="8"/>
    <x v="0"/>
    <x v="11"/>
    <x v="0"/>
    <m/>
    <x v="1"/>
    <m/>
    <x v="1"/>
  </r>
  <r>
    <n v="1467602"/>
    <d v="2020-07-21T00:00:00"/>
    <x v="16"/>
    <x v="0"/>
    <x v="4"/>
    <n v="7"/>
    <x v="1"/>
    <x v="94"/>
    <x v="0"/>
    <m/>
    <x v="1"/>
    <m/>
    <x v="3"/>
  </r>
  <r>
    <n v="1467689"/>
    <d v="2020-07-21T00:00:00"/>
    <x v="16"/>
    <x v="0"/>
    <x v="23"/>
    <n v="9"/>
    <x v="0"/>
    <x v="70"/>
    <x v="0"/>
    <m/>
    <x v="1"/>
    <m/>
    <x v="0"/>
  </r>
  <r>
    <n v="1467747"/>
    <d v="2020-07-21T00:00:00"/>
    <x v="16"/>
    <x v="0"/>
    <x v="17"/>
    <n v="8"/>
    <x v="0"/>
    <x v="50"/>
    <x v="0"/>
    <m/>
    <x v="1"/>
    <m/>
    <x v="1"/>
  </r>
  <r>
    <n v="1517188"/>
    <d v="2020-07-22T00:00:00"/>
    <x v="54"/>
    <x v="1"/>
    <x v="50"/>
    <m/>
    <x v="0"/>
    <x v="81"/>
    <x v="0"/>
    <m/>
    <x v="1"/>
    <m/>
    <x v="0"/>
  </r>
  <r>
    <n v="1517338"/>
    <d v="2020-07-25T00:00:00"/>
    <x v="191"/>
    <x v="0"/>
    <x v="24"/>
    <n v="4"/>
    <x v="0"/>
    <x v="91"/>
    <x v="0"/>
    <m/>
    <x v="1"/>
    <m/>
    <x v="0"/>
  </r>
  <r>
    <n v="1518167"/>
    <d v="2020-07-25T00:00:00"/>
    <x v="124"/>
    <x v="0"/>
    <x v="44"/>
    <n v="10"/>
    <x v="0"/>
    <x v="45"/>
    <x v="0"/>
    <m/>
    <x v="1"/>
    <m/>
    <x v="1"/>
  </r>
  <r>
    <n v="1518476"/>
    <d v="2020-07-24T00:00:00"/>
    <x v="191"/>
    <x v="1"/>
    <x v="92"/>
    <m/>
    <x v="0"/>
    <x v="92"/>
    <x v="0"/>
    <m/>
    <x v="1"/>
    <m/>
    <x v="1"/>
  </r>
  <r>
    <n v="1518521"/>
    <d v="2020-07-25T00:00:00"/>
    <x v="191"/>
    <x v="0"/>
    <x v="37"/>
    <n v="1"/>
    <x v="1"/>
    <x v="48"/>
    <x v="0"/>
    <m/>
    <x v="1"/>
    <m/>
    <x v="0"/>
  </r>
  <r>
    <n v="1518741"/>
    <d v="2020-07-24T00:00:00"/>
    <x v="6"/>
    <x v="1"/>
    <x v="50"/>
    <m/>
    <x v="0"/>
    <x v="57"/>
    <x v="0"/>
    <m/>
    <x v="1"/>
    <m/>
    <x v="3"/>
  </r>
  <r>
    <n v="1518829"/>
    <d v="2020-07-24T00:00:00"/>
    <x v="6"/>
    <x v="0"/>
    <x v="25"/>
    <n v="4"/>
    <x v="1"/>
    <x v="51"/>
    <x v="0"/>
    <m/>
    <x v="1"/>
    <m/>
    <x v="1"/>
  </r>
  <r>
    <n v="1518955"/>
    <d v="2020-07-25T00:00:00"/>
    <x v="191"/>
    <x v="0"/>
    <x v="15"/>
    <n v="1"/>
    <x v="1"/>
    <x v="39"/>
    <x v="0"/>
    <m/>
    <x v="1"/>
    <m/>
    <x v="1"/>
  </r>
  <r>
    <n v="1519377"/>
    <d v="2020-07-28T00:00:00"/>
    <x v="204"/>
    <x v="0"/>
    <x v="42"/>
    <n v="4"/>
    <x v="1"/>
    <x v="52"/>
    <x v="0"/>
    <m/>
    <x v="1"/>
    <m/>
    <x v="4"/>
  </r>
  <r>
    <n v="1521264"/>
    <d v="2020-07-25T00:00:00"/>
    <x v="124"/>
    <x v="0"/>
    <x v="69"/>
    <n v="10"/>
    <x v="0"/>
    <x v="57"/>
    <x v="0"/>
    <m/>
    <x v="1"/>
    <m/>
    <x v="3"/>
  </r>
  <r>
    <n v="1522134"/>
    <d v="2020-07-24T00:00:00"/>
    <x v="6"/>
    <x v="1"/>
    <x v="12"/>
    <m/>
    <x v="1"/>
    <x v="71"/>
    <x v="0"/>
    <m/>
    <x v="1"/>
    <m/>
    <x v="3"/>
  </r>
  <r>
    <n v="1522593"/>
    <d v="2020-07-22T00:00:00"/>
    <x v="68"/>
    <x v="0"/>
    <x v="45"/>
    <n v="9"/>
    <x v="0"/>
    <x v="65"/>
    <x v="0"/>
    <m/>
    <x v="1"/>
    <m/>
    <x v="0"/>
  </r>
  <r>
    <n v="1527363"/>
    <d v="2020-07-25T00:00:00"/>
    <x v="191"/>
    <x v="1"/>
    <x v="65"/>
    <m/>
    <x v="0"/>
    <x v="68"/>
    <x v="0"/>
    <m/>
    <x v="1"/>
    <m/>
    <x v="0"/>
  </r>
  <r>
    <n v="1527412"/>
    <d v="2020-07-26T00:00:00"/>
    <x v="78"/>
    <x v="0"/>
    <x v="15"/>
    <n v="1"/>
    <x v="1"/>
    <x v="32"/>
    <x v="0"/>
    <m/>
    <x v="1"/>
    <m/>
    <x v="0"/>
  </r>
  <r>
    <n v="1529244"/>
    <d v="2020-07-25T00:00:00"/>
    <x v="78"/>
    <x v="1"/>
    <x v="50"/>
    <m/>
    <x v="1"/>
    <x v="45"/>
    <x v="0"/>
    <m/>
    <x v="1"/>
    <m/>
    <x v="0"/>
  </r>
  <r>
    <n v="1529611"/>
    <d v="2020-07-26T00:00:00"/>
    <x v="124"/>
    <x v="0"/>
    <x v="11"/>
    <n v="14"/>
    <x v="0"/>
    <x v="45"/>
    <x v="0"/>
    <m/>
    <x v="1"/>
    <m/>
    <x v="1"/>
  </r>
  <r>
    <n v="1530690"/>
    <d v="2020-07-24T00:00:00"/>
    <x v="191"/>
    <x v="0"/>
    <x v="6"/>
    <n v="5"/>
    <x v="1"/>
    <x v="51"/>
    <x v="0"/>
    <m/>
    <x v="1"/>
    <m/>
    <x v="1"/>
  </r>
  <r>
    <n v="1532192"/>
    <d v="2020-07-25T00:00:00"/>
    <x v="191"/>
    <x v="0"/>
    <x v="6"/>
    <n v="5"/>
    <x v="0"/>
    <x v="31"/>
    <x v="0"/>
    <m/>
    <x v="1"/>
    <m/>
    <x v="0"/>
  </r>
  <r>
    <n v="1533450"/>
    <d v="2020-07-27T00:00:00"/>
    <x v="78"/>
    <x v="1"/>
    <x v="9"/>
    <m/>
    <x v="1"/>
    <x v="15"/>
    <x v="0"/>
    <m/>
    <x v="1"/>
    <m/>
    <x v="0"/>
  </r>
  <r>
    <n v="1535773"/>
    <d v="2020-07-27T00:00:00"/>
    <x v="204"/>
    <x v="0"/>
    <x v="2"/>
    <n v="3"/>
    <x v="1"/>
    <x v="43"/>
    <x v="0"/>
    <m/>
    <x v="1"/>
    <m/>
    <x v="3"/>
  </r>
  <r>
    <n v="1542607"/>
    <d v="2020-07-27T00:00:00"/>
    <x v="78"/>
    <x v="0"/>
    <x v="7"/>
    <n v="6"/>
    <x v="1"/>
    <x v="61"/>
    <x v="0"/>
    <m/>
    <x v="1"/>
    <m/>
    <x v="1"/>
  </r>
  <r>
    <n v="1542797"/>
    <d v="2020-07-27T00:00:00"/>
    <x v="204"/>
    <x v="0"/>
    <x v="10"/>
    <n v="2"/>
    <x v="0"/>
    <x v="56"/>
    <x v="0"/>
    <m/>
    <x v="1"/>
    <m/>
    <x v="0"/>
  </r>
  <r>
    <n v="1548445"/>
    <d v="2020-07-27T00:00:00"/>
    <x v="146"/>
    <x v="0"/>
    <x v="42"/>
    <n v="4"/>
    <x v="0"/>
    <x v="38"/>
    <x v="0"/>
    <m/>
    <x v="1"/>
    <m/>
    <x v="1"/>
  </r>
  <r>
    <n v="1549914"/>
    <d v="2020-07-27T00:00:00"/>
    <x v="78"/>
    <x v="0"/>
    <x v="4"/>
    <n v="7"/>
    <x v="1"/>
    <x v="69"/>
    <x v="0"/>
    <m/>
    <x v="1"/>
    <m/>
    <x v="1"/>
  </r>
  <r>
    <n v="1557240"/>
    <d v="2020-07-31T00:00:00"/>
    <x v="60"/>
    <x v="1"/>
    <x v="50"/>
    <m/>
    <x v="0"/>
    <x v="77"/>
    <x v="0"/>
    <m/>
    <x v="1"/>
    <m/>
    <x v="1"/>
  </r>
  <r>
    <n v="1559938"/>
    <d v="2020-07-28T00:00:00"/>
    <x v="20"/>
    <x v="1"/>
    <x v="50"/>
    <m/>
    <x v="0"/>
    <x v="31"/>
    <x v="0"/>
    <m/>
    <x v="1"/>
    <m/>
    <x v="1"/>
  </r>
  <r>
    <n v="1560017"/>
    <d v="2020-07-27T00:00:00"/>
    <x v="78"/>
    <x v="1"/>
    <x v="12"/>
    <m/>
    <x v="0"/>
    <x v="73"/>
    <x v="0"/>
    <m/>
    <x v="1"/>
    <m/>
    <x v="0"/>
  </r>
  <r>
    <n v="1560122"/>
    <d v="2020-07-28T00:00:00"/>
    <x v="204"/>
    <x v="0"/>
    <x v="46"/>
    <n v="4"/>
    <x v="0"/>
    <x v="65"/>
    <x v="0"/>
    <m/>
    <x v="1"/>
    <m/>
    <x v="4"/>
  </r>
  <r>
    <n v="1563823"/>
    <d v="2020-07-28T00:00:00"/>
    <x v="204"/>
    <x v="0"/>
    <x v="46"/>
    <n v="4"/>
    <x v="0"/>
    <x v="31"/>
    <x v="0"/>
    <m/>
    <x v="1"/>
    <m/>
    <x v="1"/>
  </r>
  <r>
    <n v="1565033"/>
    <d v="2020-07-27T00:00:00"/>
    <x v="78"/>
    <x v="0"/>
    <x v="26"/>
    <n v="11"/>
    <x v="0"/>
    <x v="67"/>
    <x v="0"/>
    <m/>
    <x v="1"/>
    <m/>
    <x v="0"/>
  </r>
  <r>
    <n v="1567152"/>
    <d v="2020-07-28T00:00:00"/>
    <x v="204"/>
    <x v="0"/>
    <x v="18"/>
    <n v="15"/>
    <x v="0"/>
    <x v="73"/>
    <x v="0"/>
    <m/>
    <x v="1"/>
    <m/>
    <x v="1"/>
  </r>
  <r>
    <n v="1567816"/>
    <d v="2020-07-28T00:00:00"/>
    <x v="204"/>
    <x v="0"/>
    <x v="37"/>
    <n v="1"/>
    <x v="1"/>
    <x v="92"/>
    <x v="0"/>
    <m/>
    <x v="1"/>
    <m/>
    <x v="0"/>
  </r>
  <r>
    <n v="1426512"/>
    <d v="2020-07-19T00:00:00"/>
    <x v="137"/>
    <x v="0"/>
    <x v="37"/>
    <n v="1"/>
    <x v="1"/>
    <x v="3"/>
    <x v="0"/>
    <m/>
    <x v="1"/>
    <m/>
    <x v="0"/>
  </r>
  <r>
    <n v="1427375"/>
    <d v="2020-07-20T00:00:00"/>
    <x v="120"/>
    <x v="1"/>
    <x v="50"/>
    <m/>
    <x v="1"/>
    <x v="100"/>
    <x v="0"/>
    <m/>
    <x v="1"/>
    <m/>
    <x v="1"/>
  </r>
  <r>
    <n v="1427654"/>
    <d v="2020-07-19T00:00:00"/>
    <x v="137"/>
    <x v="0"/>
    <x v="42"/>
    <n v="4"/>
    <x v="1"/>
    <x v="65"/>
    <x v="0"/>
    <m/>
    <x v="1"/>
    <m/>
    <x v="4"/>
  </r>
  <r>
    <n v="1427876"/>
    <d v="2020-07-20T00:00:00"/>
    <x v="120"/>
    <x v="0"/>
    <x v="42"/>
    <n v="4"/>
    <x v="1"/>
    <x v="18"/>
    <x v="0"/>
    <m/>
    <x v="1"/>
    <m/>
    <x v="0"/>
  </r>
  <r>
    <n v="1428203"/>
    <d v="2020-07-20T00:00:00"/>
    <x v="120"/>
    <x v="1"/>
    <x v="61"/>
    <m/>
    <x v="0"/>
    <x v="39"/>
    <x v="0"/>
    <m/>
    <x v="1"/>
    <m/>
    <x v="4"/>
  </r>
  <r>
    <n v="1428627"/>
    <d v="2020-07-20T00:00:00"/>
    <x v="120"/>
    <x v="1"/>
    <x v="9"/>
    <m/>
    <x v="1"/>
    <x v="2"/>
    <x v="0"/>
    <m/>
    <x v="1"/>
    <m/>
    <x v="0"/>
  </r>
  <r>
    <n v="1428910"/>
    <d v="2020-07-20T00:00:00"/>
    <x v="120"/>
    <x v="0"/>
    <x v="46"/>
    <n v="4"/>
    <x v="1"/>
    <x v="72"/>
    <x v="0"/>
    <m/>
    <x v="1"/>
    <m/>
    <x v="3"/>
  </r>
  <r>
    <n v="1429136"/>
    <d v="2020-07-20T00:00:00"/>
    <x v="120"/>
    <x v="0"/>
    <x v="15"/>
    <n v="1"/>
    <x v="0"/>
    <x v="26"/>
    <x v="0"/>
    <m/>
    <x v="1"/>
    <m/>
    <x v="1"/>
  </r>
  <r>
    <n v="1429147"/>
    <d v="2020-07-20T00:00:00"/>
    <x v="120"/>
    <x v="0"/>
    <x v="2"/>
    <n v="3"/>
    <x v="1"/>
    <x v="72"/>
    <x v="0"/>
    <m/>
    <x v="1"/>
    <m/>
    <x v="3"/>
  </r>
  <r>
    <n v="1429693"/>
    <d v="2020-07-20T00:00:00"/>
    <x v="120"/>
    <x v="1"/>
    <x v="50"/>
    <m/>
    <x v="0"/>
    <x v="71"/>
    <x v="0"/>
    <m/>
    <x v="1"/>
    <m/>
    <x v="1"/>
  </r>
  <r>
    <n v="1429790"/>
    <d v="2020-07-20T00:00:00"/>
    <x v="120"/>
    <x v="0"/>
    <x v="15"/>
    <n v="1"/>
    <x v="0"/>
    <x v="85"/>
    <x v="0"/>
    <m/>
    <x v="1"/>
    <m/>
    <x v="0"/>
  </r>
  <r>
    <n v="1429945"/>
    <d v="2020-07-20T00:00:00"/>
    <x v="120"/>
    <x v="0"/>
    <x v="26"/>
    <n v="11"/>
    <x v="1"/>
    <x v="67"/>
    <x v="0"/>
    <m/>
    <x v="1"/>
    <m/>
    <x v="0"/>
  </r>
  <r>
    <n v="1429993"/>
    <d v="2020-07-20T00:00:00"/>
    <x v="120"/>
    <x v="0"/>
    <x v="15"/>
    <n v="1"/>
    <x v="0"/>
    <x v="88"/>
    <x v="0"/>
    <m/>
    <x v="1"/>
    <m/>
    <x v="0"/>
  </r>
  <r>
    <n v="1430033"/>
    <d v="2020-07-20T00:00:00"/>
    <x v="120"/>
    <x v="1"/>
    <x v="50"/>
    <m/>
    <x v="1"/>
    <x v="90"/>
    <x v="0"/>
    <m/>
    <x v="1"/>
    <m/>
    <x v="0"/>
  </r>
  <r>
    <n v="1431003"/>
    <d v="2020-07-20T00:00:00"/>
    <x v="120"/>
    <x v="0"/>
    <x v="37"/>
    <n v="1"/>
    <x v="0"/>
    <x v="71"/>
    <x v="0"/>
    <m/>
    <x v="1"/>
    <m/>
    <x v="0"/>
  </r>
  <r>
    <n v="1431007"/>
    <d v="2020-07-20T00:00:00"/>
    <x v="120"/>
    <x v="1"/>
    <x v="92"/>
    <m/>
    <x v="1"/>
    <x v="70"/>
    <x v="0"/>
    <m/>
    <x v="1"/>
    <m/>
    <x v="0"/>
  </r>
  <r>
    <n v="1431206"/>
    <d v="2020-07-20T00:00:00"/>
    <x v="120"/>
    <x v="0"/>
    <x v="35"/>
    <n v="9"/>
    <x v="1"/>
    <x v="72"/>
    <x v="0"/>
    <m/>
    <x v="1"/>
    <m/>
    <x v="0"/>
  </r>
  <r>
    <n v="1431767"/>
    <d v="2020-07-20T00:00:00"/>
    <x v="120"/>
    <x v="0"/>
    <x v="17"/>
    <n v="8"/>
    <x v="1"/>
    <x v="60"/>
    <x v="0"/>
    <m/>
    <x v="1"/>
    <m/>
    <x v="0"/>
  </r>
  <r>
    <n v="1432010"/>
    <d v="2020-07-20T00:00:00"/>
    <x v="120"/>
    <x v="1"/>
    <x v="50"/>
    <m/>
    <x v="1"/>
    <x v="48"/>
    <x v="0"/>
    <m/>
    <x v="1"/>
    <m/>
    <x v="0"/>
  </r>
  <r>
    <n v="1432059"/>
    <d v="2020-07-20T00:00:00"/>
    <x v="16"/>
    <x v="0"/>
    <x v="2"/>
    <n v="3"/>
    <x v="1"/>
    <x v="79"/>
    <x v="0"/>
    <m/>
    <x v="1"/>
    <m/>
    <x v="1"/>
  </r>
  <r>
    <n v="1432091"/>
    <d v="2020-07-20T00:00:00"/>
    <x v="120"/>
    <x v="1"/>
    <x v="65"/>
    <m/>
    <x v="0"/>
    <x v="87"/>
    <x v="0"/>
    <m/>
    <x v="1"/>
    <m/>
    <x v="0"/>
  </r>
  <r>
    <n v="1432307"/>
    <d v="2020-07-22T00:00:00"/>
    <x v="68"/>
    <x v="0"/>
    <x v="46"/>
    <n v="4"/>
    <x v="0"/>
    <x v="39"/>
    <x v="0"/>
    <m/>
    <x v="1"/>
    <m/>
    <x v="1"/>
  </r>
  <r>
    <n v="1433026"/>
    <d v="2020-07-20T00:00:00"/>
    <x v="120"/>
    <x v="0"/>
    <x v="49"/>
    <n v="12"/>
    <x v="1"/>
    <x v="80"/>
    <x v="0"/>
    <m/>
    <x v="1"/>
    <m/>
    <x v="0"/>
  </r>
  <r>
    <n v="1433071"/>
    <d v="2020-07-20T00:00:00"/>
    <x v="120"/>
    <x v="0"/>
    <x v="46"/>
    <n v="4"/>
    <x v="0"/>
    <x v="76"/>
    <x v="0"/>
    <m/>
    <x v="1"/>
    <m/>
    <x v="0"/>
  </r>
  <r>
    <n v="1433446"/>
    <d v="2020-07-18T00:00:00"/>
    <x v="62"/>
    <x v="1"/>
    <x v="50"/>
    <m/>
    <x v="1"/>
    <x v="54"/>
    <x v="0"/>
    <m/>
    <x v="1"/>
    <m/>
    <x v="1"/>
  </r>
  <r>
    <n v="1433708"/>
    <d v="2020-07-18T00:00:00"/>
    <x v="62"/>
    <x v="1"/>
    <x v="92"/>
    <m/>
    <x v="0"/>
    <x v="24"/>
    <x v="0"/>
    <m/>
    <x v="1"/>
    <m/>
    <x v="1"/>
  </r>
  <r>
    <n v="1434132"/>
    <d v="2020-07-20T00:00:00"/>
    <x v="120"/>
    <x v="0"/>
    <x v="54"/>
    <n v="10"/>
    <x v="1"/>
    <x v="79"/>
    <x v="0"/>
    <m/>
    <x v="1"/>
    <m/>
    <x v="0"/>
  </r>
  <r>
    <n v="1434603"/>
    <d v="2020-07-20T00:00:00"/>
    <x v="120"/>
    <x v="0"/>
    <x v="42"/>
    <n v="4"/>
    <x v="0"/>
    <x v="39"/>
    <x v="0"/>
    <m/>
    <x v="1"/>
    <m/>
    <x v="3"/>
  </r>
  <r>
    <n v="1434638"/>
    <d v="2020-07-19T00:00:00"/>
    <x v="137"/>
    <x v="1"/>
    <x v="50"/>
    <m/>
    <x v="0"/>
    <x v="87"/>
    <x v="0"/>
    <m/>
    <x v="1"/>
    <m/>
    <x v="0"/>
  </r>
  <r>
    <n v="1434664"/>
    <d v="2020-07-17T00:00:00"/>
    <x v="120"/>
    <x v="0"/>
    <x v="26"/>
    <n v="11"/>
    <x v="0"/>
    <x v="10"/>
    <x v="0"/>
    <m/>
    <x v="1"/>
    <m/>
    <x v="0"/>
  </r>
  <r>
    <n v="1434761"/>
    <d v="2020-07-20T00:00:00"/>
    <x v="120"/>
    <x v="0"/>
    <x v="42"/>
    <n v="4"/>
    <x v="0"/>
    <x v="3"/>
    <x v="0"/>
    <m/>
    <x v="1"/>
    <m/>
    <x v="1"/>
  </r>
  <r>
    <n v="1434989"/>
    <d v="2020-07-20T00:00:00"/>
    <x v="120"/>
    <x v="1"/>
    <x v="50"/>
    <m/>
    <x v="1"/>
    <x v="68"/>
    <x v="0"/>
    <m/>
    <x v="1"/>
    <m/>
    <x v="0"/>
  </r>
  <r>
    <n v="1435277"/>
    <d v="2020-07-20T00:00:00"/>
    <x v="16"/>
    <x v="0"/>
    <x v="36"/>
    <n v="3"/>
    <x v="1"/>
    <x v="69"/>
    <x v="0"/>
    <m/>
    <x v="1"/>
    <m/>
    <x v="1"/>
  </r>
  <r>
    <n v="1435293"/>
    <d v="2020-07-20T00:00:00"/>
    <x v="120"/>
    <x v="1"/>
    <x v="12"/>
    <m/>
    <x v="0"/>
    <x v="56"/>
    <x v="0"/>
    <m/>
    <x v="1"/>
    <m/>
    <x v="0"/>
  </r>
  <r>
    <n v="1435778"/>
    <d v="2020-07-20T00:00:00"/>
    <x v="120"/>
    <x v="0"/>
    <x v="7"/>
    <n v="6"/>
    <x v="0"/>
    <x v="55"/>
    <x v="0"/>
    <m/>
    <x v="1"/>
    <m/>
    <x v="0"/>
  </r>
  <r>
    <n v="1487085"/>
    <d v="2020-07-23T00:00:00"/>
    <x v="6"/>
    <x v="0"/>
    <x v="2"/>
    <n v="3"/>
    <x v="0"/>
    <x v="96"/>
    <x v="0"/>
    <m/>
    <x v="1"/>
    <m/>
    <x v="1"/>
  </r>
  <r>
    <n v="1487130"/>
    <d v="2020-07-23T00:00:00"/>
    <x v="6"/>
    <x v="0"/>
    <x v="2"/>
    <n v="3"/>
    <x v="1"/>
    <x v="98"/>
    <x v="0"/>
    <m/>
    <x v="1"/>
    <m/>
    <x v="1"/>
  </r>
  <r>
    <n v="1487162"/>
    <d v="2020-07-23T00:00:00"/>
    <x v="6"/>
    <x v="0"/>
    <x v="2"/>
    <n v="3"/>
    <x v="0"/>
    <x v="84"/>
    <x v="0"/>
    <m/>
    <x v="1"/>
    <m/>
    <x v="1"/>
  </r>
  <r>
    <n v="1487634"/>
    <d v="2020-07-23T00:00:00"/>
    <x v="54"/>
    <x v="0"/>
    <x v="58"/>
    <n v="15"/>
    <x v="1"/>
    <x v="48"/>
    <x v="0"/>
    <m/>
    <x v="1"/>
    <m/>
    <x v="1"/>
  </r>
  <r>
    <n v="1488044"/>
    <d v="2020-07-23T00:00:00"/>
    <x v="54"/>
    <x v="0"/>
    <x v="58"/>
    <n v="15"/>
    <x v="0"/>
    <x v="72"/>
    <x v="0"/>
    <m/>
    <x v="1"/>
    <m/>
    <x v="1"/>
  </r>
  <r>
    <n v="1488743"/>
    <d v="2020-07-23T00:00:00"/>
    <x v="6"/>
    <x v="0"/>
    <x v="57"/>
    <n v="1"/>
    <x v="0"/>
    <x v="56"/>
    <x v="0"/>
    <m/>
    <x v="1"/>
    <m/>
    <x v="0"/>
  </r>
  <r>
    <n v="1488853"/>
    <d v="2020-07-24T00:00:00"/>
    <x v="6"/>
    <x v="0"/>
    <x v="24"/>
    <n v="4"/>
    <x v="1"/>
    <x v="80"/>
    <x v="0"/>
    <m/>
    <x v="1"/>
    <m/>
    <x v="1"/>
  </r>
  <r>
    <n v="1489152"/>
    <d v="2020-07-23T00:00:00"/>
    <x v="6"/>
    <x v="0"/>
    <x v="48"/>
    <n v="5"/>
    <x v="1"/>
    <x v="18"/>
    <x v="0"/>
    <m/>
    <x v="1"/>
    <m/>
    <x v="1"/>
  </r>
  <r>
    <n v="1489664"/>
    <d v="2020-07-23T00:00:00"/>
    <x v="6"/>
    <x v="0"/>
    <x v="10"/>
    <n v="2"/>
    <x v="1"/>
    <x v="79"/>
    <x v="0"/>
    <m/>
    <x v="1"/>
    <m/>
    <x v="3"/>
  </r>
  <r>
    <n v="1489751"/>
    <d v="2020-07-22T00:00:00"/>
    <x v="191"/>
    <x v="0"/>
    <x v="17"/>
    <n v="8"/>
    <x v="0"/>
    <x v="29"/>
    <x v="0"/>
    <m/>
    <x v="1"/>
    <m/>
    <x v="1"/>
  </r>
  <r>
    <n v="1489935"/>
    <d v="2020-07-23T00:00:00"/>
    <x v="6"/>
    <x v="0"/>
    <x v="25"/>
    <n v="4"/>
    <x v="0"/>
    <x v="80"/>
    <x v="0"/>
    <m/>
    <x v="1"/>
    <m/>
    <x v="1"/>
  </r>
  <r>
    <n v="1490203"/>
    <d v="2020-07-24T00:00:00"/>
    <x v="6"/>
    <x v="0"/>
    <x v="35"/>
    <n v="9"/>
    <x v="0"/>
    <x v="101"/>
    <x v="0"/>
    <m/>
    <x v="1"/>
    <m/>
    <x v="1"/>
  </r>
  <r>
    <n v="1490239"/>
    <d v="2020-07-23T00:00:00"/>
    <x v="54"/>
    <x v="0"/>
    <x v="4"/>
    <n v="7"/>
    <x v="1"/>
    <x v="45"/>
    <x v="0"/>
    <m/>
    <x v="1"/>
    <m/>
    <x v="1"/>
  </r>
  <r>
    <n v="1490280"/>
    <d v="2020-07-23T00:00:00"/>
    <x v="6"/>
    <x v="0"/>
    <x v="11"/>
    <n v="14"/>
    <x v="0"/>
    <x v="92"/>
    <x v="0"/>
    <m/>
    <x v="1"/>
    <m/>
    <x v="4"/>
  </r>
  <r>
    <n v="1490655"/>
    <d v="2020-07-23T00:00:00"/>
    <x v="54"/>
    <x v="0"/>
    <x v="25"/>
    <n v="4"/>
    <x v="0"/>
    <x v="82"/>
    <x v="0"/>
    <m/>
    <x v="1"/>
    <m/>
    <x v="1"/>
  </r>
  <r>
    <n v="1490746"/>
    <d v="2020-07-24T00:00:00"/>
    <x v="6"/>
    <x v="0"/>
    <x v="2"/>
    <n v="3"/>
    <x v="0"/>
    <x v="63"/>
    <x v="0"/>
    <m/>
    <x v="1"/>
    <m/>
    <x v="1"/>
  </r>
  <r>
    <n v="1491040"/>
    <d v="2020-07-23T00:00:00"/>
    <x v="54"/>
    <x v="0"/>
    <x v="46"/>
    <n v="4"/>
    <x v="1"/>
    <x v="76"/>
    <x v="0"/>
    <m/>
    <x v="1"/>
    <m/>
    <x v="1"/>
  </r>
  <r>
    <n v="1491523"/>
    <d v="2020-07-21T00:00:00"/>
    <x v="16"/>
    <x v="1"/>
    <x v="50"/>
    <m/>
    <x v="1"/>
    <x v="83"/>
    <x v="0"/>
    <m/>
    <x v="1"/>
    <m/>
    <x v="0"/>
  </r>
  <r>
    <n v="1492092"/>
    <d v="2020-07-23T00:00:00"/>
    <x v="54"/>
    <x v="0"/>
    <x v="15"/>
    <n v="1"/>
    <x v="0"/>
    <x v="31"/>
    <x v="0"/>
    <m/>
    <x v="1"/>
    <m/>
    <x v="1"/>
  </r>
  <r>
    <n v="1492288"/>
    <d v="2020-07-23T00:00:00"/>
    <x v="54"/>
    <x v="0"/>
    <x v="4"/>
    <n v="7"/>
    <x v="0"/>
    <x v="56"/>
    <x v="0"/>
    <m/>
    <x v="1"/>
    <m/>
    <x v="3"/>
  </r>
  <r>
    <n v="1492429"/>
    <d v="2020-07-15T00:00:00"/>
    <x v="66"/>
    <x v="1"/>
    <x v="92"/>
    <m/>
    <x v="0"/>
    <x v="67"/>
    <x v="0"/>
    <m/>
    <x v="1"/>
    <m/>
    <x v="0"/>
  </r>
  <r>
    <n v="1492554"/>
    <d v="2020-07-17T00:00:00"/>
    <x v="62"/>
    <x v="0"/>
    <x v="42"/>
    <n v="4"/>
    <x v="1"/>
    <x v="78"/>
    <x v="0"/>
    <m/>
    <x v="1"/>
    <m/>
    <x v="0"/>
  </r>
  <r>
    <n v="1492689"/>
    <d v="2020-07-23T00:00:00"/>
    <x v="6"/>
    <x v="1"/>
    <x v="61"/>
    <m/>
    <x v="0"/>
    <x v="67"/>
    <x v="0"/>
    <m/>
    <x v="1"/>
    <m/>
    <x v="1"/>
  </r>
  <r>
    <n v="1492696"/>
    <d v="2020-07-24T00:00:00"/>
    <x v="6"/>
    <x v="0"/>
    <x v="15"/>
    <n v="1"/>
    <x v="1"/>
    <x v="18"/>
    <x v="0"/>
    <m/>
    <x v="1"/>
    <m/>
    <x v="3"/>
  </r>
  <r>
    <n v="1492805"/>
    <d v="2020-07-23T00:00:00"/>
    <x v="54"/>
    <x v="0"/>
    <x v="25"/>
    <n v="4"/>
    <x v="0"/>
    <x v="63"/>
    <x v="0"/>
    <m/>
    <x v="1"/>
    <m/>
    <x v="1"/>
  </r>
  <r>
    <n v="1492817"/>
    <d v="2020-07-23T00:00:00"/>
    <x v="54"/>
    <x v="0"/>
    <x v="25"/>
    <n v="4"/>
    <x v="0"/>
    <x v="95"/>
    <x v="0"/>
    <m/>
    <x v="1"/>
    <m/>
    <x v="1"/>
  </r>
  <r>
    <n v="1493076"/>
    <d v="2020-07-23T00:00:00"/>
    <x v="54"/>
    <x v="0"/>
    <x v="4"/>
    <n v="7"/>
    <x v="1"/>
    <x v="87"/>
    <x v="0"/>
    <m/>
    <x v="1"/>
    <m/>
    <x v="1"/>
  </r>
  <r>
    <n v="1493144"/>
    <d v="2020-07-23T00:00:00"/>
    <x v="54"/>
    <x v="0"/>
    <x v="4"/>
    <n v="7"/>
    <x v="1"/>
    <x v="43"/>
    <x v="0"/>
    <m/>
    <x v="1"/>
    <m/>
    <x v="3"/>
  </r>
  <r>
    <n v="1493271"/>
    <d v="2020-07-23T00:00:00"/>
    <x v="54"/>
    <x v="1"/>
    <x v="12"/>
    <m/>
    <x v="1"/>
    <x v="31"/>
    <x v="0"/>
    <m/>
    <x v="1"/>
    <m/>
    <x v="0"/>
  </r>
  <r>
    <n v="1493316"/>
    <d v="2020-07-23T00:00:00"/>
    <x v="6"/>
    <x v="0"/>
    <x v="41"/>
    <n v="1"/>
    <x v="1"/>
    <x v="68"/>
    <x v="0"/>
    <m/>
    <x v="1"/>
    <m/>
    <x v="0"/>
  </r>
  <r>
    <n v="1493340"/>
    <d v="2020-07-23T00:00:00"/>
    <x v="54"/>
    <x v="0"/>
    <x v="4"/>
    <n v="7"/>
    <x v="1"/>
    <x v="57"/>
    <x v="0"/>
    <m/>
    <x v="1"/>
    <m/>
    <x v="3"/>
  </r>
  <r>
    <n v="1493341"/>
    <d v="2020-07-23T00:00:00"/>
    <x v="6"/>
    <x v="0"/>
    <x v="41"/>
    <n v="1"/>
    <x v="1"/>
    <x v="71"/>
    <x v="0"/>
    <m/>
    <x v="1"/>
    <m/>
    <x v="0"/>
  </r>
  <r>
    <n v="1493359"/>
    <d v="2020-07-23T00:00:00"/>
    <x v="54"/>
    <x v="0"/>
    <x v="42"/>
    <n v="4"/>
    <x v="1"/>
    <x v="39"/>
    <x v="0"/>
    <m/>
    <x v="1"/>
    <m/>
    <x v="3"/>
  </r>
  <r>
    <n v="1365779"/>
    <d v="2020-07-14T00:00:00"/>
    <x v="67"/>
    <x v="0"/>
    <x v="46"/>
    <n v="4"/>
    <x v="1"/>
    <x v="61"/>
    <x v="0"/>
    <m/>
    <x v="1"/>
    <m/>
    <x v="0"/>
  </r>
  <r>
    <n v="1367147"/>
    <d v="2020-07-15T00:00:00"/>
    <x v="17"/>
    <x v="0"/>
    <x v="11"/>
    <n v="14"/>
    <x v="1"/>
    <x v="18"/>
    <x v="0"/>
    <m/>
    <x v="1"/>
    <m/>
    <x v="0"/>
  </r>
  <r>
    <n v="1367167"/>
    <d v="2020-07-15T00:00:00"/>
    <x v="66"/>
    <x v="1"/>
    <x v="92"/>
    <m/>
    <x v="1"/>
    <x v="69"/>
    <x v="0"/>
    <m/>
    <x v="1"/>
    <m/>
    <x v="1"/>
  </r>
  <r>
    <n v="1368065"/>
    <d v="2020-07-15T00:00:00"/>
    <x v="67"/>
    <x v="0"/>
    <x v="7"/>
    <n v="6"/>
    <x v="0"/>
    <x v="69"/>
    <x v="0"/>
    <m/>
    <x v="1"/>
    <m/>
    <x v="1"/>
  </r>
  <r>
    <n v="1368535"/>
    <d v="2020-07-15T00:00:00"/>
    <x v="67"/>
    <x v="0"/>
    <x v="7"/>
    <n v="6"/>
    <x v="1"/>
    <x v="92"/>
    <x v="0"/>
    <m/>
    <x v="1"/>
    <m/>
    <x v="0"/>
  </r>
  <r>
    <n v="1370437"/>
    <d v="2020-07-15T00:00:00"/>
    <x v="67"/>
    <x v="0"/>
    <x v="42"/>
    <n v="4"/>
    <x v="1"/>
    <x v="78"/>
    <x v="0"/>
    <m/>
    <x v="1"/>
    <m/>
    <x v="1"/>
  </r>
  <r>
    <n v="1372787"/>
    <d v="2020-07-15T00:00:00"/>
    <x v="67"/>
    <x v="0"/>
    <x v="40"/>
    <n v="8"/>
    <x v="1"/>
    <x v="32"/>
    <x v="0"/>
    <m/>
    <x v="1"/>
    <m/>
    <x v="0"/>
  </r>
  <r>
    <n v="1372886"/>
    <d v="2020-07-14T00:00:00"/>
    <x v="67"/>
    <x v="1"/>
    <x v="50"/>
    <m/>
    <x v="0"/>
    <x v="71"/>
    <x v="0"/>
    <m/>
    <x v="1"/>
    <m/>
    <x v="0"/>
  </r>
  <r>
    <n v="1374483"/>
    <d v="2020-07-14T00:00:00"/>
    <x v="67"/>
    <x v="0"/>
    <x v="27"/>
    <n v="12"/>
    <x v="0"/>
    <x v="19"/>
    <x v="0"/>
    <m/>
    <x v="1"/>
    <m/>
    <x v="1"/>
  </r>
  <r>
    <n v="1376644"/>
    <d v="2020-07-15T00:00:00"/>
    <x v="120"/>
    <x v="1"/>
    <x v="65"/>
    <m/>
    <x v="1"/>
    <x v="79"/>
    <x v="0"/>
    <m/>
    <x v="1"/>
    <m/>
    <x v="0"/>
  </r>
  <r>
    <n v="1381372"/>
    <d v="2020-07-15T00:00:00"/>
    <x v="17"/>
    <x v="1"/>
    <x v="92"/>
    <m/>
    <x v="0"/>
    <x v="9"/>
    <x v="0"/>
    <m/>
    <x v="1"/>
    <m/>
    <x v="1"/>
  </r>
  <r>
    <n v="1381459"/>
    <d v="2020-07-16T00:00:00"/>
    <x v="66"/>
    <x v="1"/>
    <x v="50"/>
    <m/>
    <x v="0"/>
    <x v="18"/>
    <x v="0"/>
    <m/>
    <x v="1"/>
    <m/>
    <x v="4"/>
  </r>
  <r>
    <n v="1388537"/>
    <d v="2020-07-16T00:00:00"/>
    <x v="120"/>
    <x v="0"/>
    <x v="57"/>
    <n v="1"/>
    <x v="1"/>
    <x v="5"/>
    <x v="0"/>
    <m/>
    <x v="1"/>
    <m/>
    <x v="0"/>
  </r>
  <r>
    <n v="1389792"/>
    <d v="2020-07-15T00:00:00"/>
    <x v="67"/>
    <x v="0"/>
    <x v="40"/>
    <n v="8"/>
    <x v="0"/>
    <x v="64"/>
    <x v="0"/>
    <m/>
    <x v="1"/>
    <m/>
    <x v="1"/>
  </r>
  <r>
    <n v="1390515"/>
    <d v="2020-07-17T00:00:00"/>
    <x v="17"/>
    <x v="1"/>
    <x v="50"/>
    <m/>
    <x v="1"/>
    <x v="48"/>
    <x v="0"/>
    <m/>
    <x v="1"/>
    <m/>
    <x v="4"/>
  </r>
  <r>
    <n v="1400401"/>
    <d v="2020-07-27T00:00:00"/>
    <x v="78"/>
    <x v="1"/>
    <x v="12"/>
    <m/>
    <x v="1"/>
    <x v="19"/>
    <x v="0"/>
    <m/>
    <x v="1"/>
    <m/>
    <x v="0"/>
  </r>
  <r>
    <n v="1404633"/>
    <d v="2020-07-24T00:00:00"/>
    <x v="6"/>
    <x v="0"/>
    <x v="2"/>
    <n v="3"/>
    <x v="0"/>
    <x v="96"/>
    <x v="0"/>
    <m/>
    <x v="1"/>
    <m/>
    <x v="0"/>
  </r>
  <r>
    <n v="1404918"/>
    <d v="2020-07-16T00:00:00"/>
    <x v="17"/>
    <x v="1"/>
    <x v="50"/>
    <m/>
    <x v="1"/>
    <x v="92"/>
    <x v="0"/>
    <m/>
    <x v="1"/>
    <m/>
    <x v="0"/>
  </r>
  <r>
    <n v="1405612"/>
    <d v="2020-07-17T00:00:00"/>
    <x v="17"/>
    <x v="1"/>
    <x v="50"/>
    <m/>
    <x v="0"/>
    <x v="92"/>
    <x v="0"/>
    <m/>
    <x v="1"/>
    <m/>
    <x v="0"/>
  </r>
  <r>
    <n v="1405685"/>
    <d v="2020-07-18T00:00:00"/>
    <x v="62"/>
    <x v="0"/>
    <x v="25"/>
    <n v="4"/>
    <x v="1"/>
    <x v="77"/>
    <x v="0"/>
    <m/>
    <x v="1"/>
    <m/>
    <x v="3"/>
  </r>
  <r>
    <n v="1406075"/>
    <d v="2020-07-18T00:00:00"/>
    <x v="62"/>
    <x v="1"/>
    <x v="9"/>
    <m/>
    <x v="0"/>
    <x v="31"/>
    <x v="0"/>
    <m/>
    <x v="1"/>
    <m/>
    <x v="4"/>
  </r>
  <r>
    <n v="1406219"/>
    <d v="2020-07-18T00:00:00"/>
    <x v="62"/>
    <x v="0"/>
    <x v="15"/>
    <n v="1"/>
    <x v="0"/>
    <x v="46"/>
    <x v="0"/>
    <m/>
    <x v="1"/>
    <m/>
    <x v="3"/>
  </r>
  <r>
    <n v="1406384"/>
    <d v="2020-07-16T00:00:00"/>
    <x v="17"/>
    <x v="1"/>
    <x v="61"/>
    <m/>
    <x v="0"/>
    <x v="76"/>
    <x v="0"/>
    <m/>
    <x v="1"/>
    <m/>
    <x v="1"/>
  </r>
  <r>
    <n v="1407051"/>
    <d v="2020-07-17T00:00:00"/>
    <x v="17"/>
    <x v="0"/>
    <x v="25"/>
    <n v="4"/>
    <x v="0"/>
    <x v="24"/>
    <x v="0"/>
    <m/>
    <x v="1"/>
    <m/>
    <x v="1"/>
  </r>
  <r>
    <n v="1407171"/>
    <d v="2020-07-16T00:00:00"/>
    <x v="17"/>
    <x v="0"/>
    <x v="36"/>
    <n v="3"/>
    <x v="1"/>
    <x v="41"/>
    <x v="0"/>
    <m/>
    <x v="1"/>
    <m/>
    <x v="0"/>
  </r>
  <r>
    <n v="1407648"/>
    <d v="2020-07-17T00:00:00"/>
    <x v="62"/>
    <x v="0"/>
    <x v="4"/>
    <n v="7"/>
    <x v="0"/>
    <x v="74"/>
    <x v="0"/>
    <m/>
    <x v="1"/>
    <m/>
    <x v="1"/>
  </r>
  <r>
    <n v="1407760"/>
    <d v="2020-07-17T00:00:00"/>
    <x v="62"/>
    <x v="0"/>
    <x v="4"/>
    <n v="7"/>
    <x v="0"/>
    <x v="35"/>
    <x v="0"/>
    <m/>
    <x v="1"/>
    <m/>
    <x v="1"/>
  </r>
  <r>
    <n v="1410471"/>
    <d v="2020-07-18T00:00:00"/>
    <x v="62"/>
    <x v="1"/>
    <x v="61"/>
    <m/>
    <x v="1"/>
    <x v="82"/>
    <x v="0"/>
    <m/>
    <x v="1"/>
    <m/>
    <x v="1"/>
  </r>
  <r>
    <n v="1410656"/>
    <d v="2020-07-18T00:00:00"/>
    <x v="62"/>
    <x v="0"/>
    <x v="25"/>
    <n v="4"/>
    <x v="1"/>
    <x v="97"/>
    <x v="0"/>
    <m/>
    <x v="1"/>
    <m/>
    <x v="1"/>
  </r>
  <r>
    <n v="1410716"/>
    <d v="2020-07-17T00:00:00"/>
    <x v="17"/>
    <x v="0"/>
    <x v="10"/>
    <n v="2"/>
    <x v="1"/>
    <x v="33"/>
    <x v="0"/>
    <m/>
    <x v="1"/>
    <m/>
    <x v="0"/>
  </r>
  <r>
    <n v="1410718"/>
    <d v="2020-07-17T00:00:00"/>
    <x v="17"/>
    <x v="0"/>
    <x v="42"/>
    <n v="4"/>
    <x v="0"/>
    <x v="39"/>
    <x v="0"/>
    <m/>
    <x v="1"/>
    <m/>
    <x v="0"/>
  </r>
  <r>
    <n v="1410736"/>
    <d v="2020-07-17T00:00:00"/>
    <x v="62"/>
    <x v="0"/>
    <x v="40"/>
    <n v="8"/>
    <x v="0"/>
    <x v="42"/>
    <x v="0"/>
    <m/>
    <x v="1"/>
    <m/>
    <x v="1"/>
  </r>
  <r>
    <n v="1413348"/>
    <d v="2020-07-17T00:00:00"/>
    <x v="16"/>
    <x v="1"/>
    <x v="12"/>
    <m/>
    <x v="0"/>
    <x v="45"/>
    <x v="0"/>
    <m/>
    <x v="1"/>
    <m/>
    <x v="1"/>
  </r>
  <r>
    <n v="1413489"/>
    <d v="2020-07-18T00:00:00"/>
    <x v="137"/>
    <x v="0"/>
    <x v="6"/>
    <n v="5"/>
    <x v="1"/>
    <x v="37"/>
    <x v="0"/>
    <m/>
    <x v="1"/>
    <m/>
    <x v="3"/>
  </r>
  <r>
    <n v="1473864"/>
    <d v="2020-07-22T00:00:00"/>
    <x v="68"/>
    <x v="0"/>
    <x v="4"/>
    <n v="7"/>
    <x v="0"/>
    <x v="18"/>
    <x v="0"/>
    <m/>
    <x v="1"/>
    <m/>
    <x v="3"/>
  </r>
  <r>
    <n v="1474266"/>
    <d v="2020-07-22T00:00:00"/>
    <x v="68"/>
    <x v="1"/>
    <x v="50"/>
    <m/>
    <x v="1"/>
    <x v="71"/>
    <x v="0"/>
    <m/>
    <x v="1"/>
    <m/>
    <x v="3"/>
  </r>
  <r>
    <n v="1474453"/>
    <d v="2020-07-22T00:00:00"/>
    <x v="68"/>
    <x v="0"/>
    <x v="23"/>
    <n v="9"/>
    <x v="0"/>
    <x v="97"/>
    <x v="0"/>
    <m/>
    <x v="1"/>
    <m/>
    <x v="1"/>
  </r>
  <r>
    <n v="1474492"/>
    <d v="2020-07-22T00:00:00"/>
    <x v="68"/>
    <x v="0"/>
    <x v="23"/>
    <n v="9"/>
    <x v="0"/>
    <x v="87"/>
    <x v="0"/>
    <m/>
    <x v="1"/>
    <m/>
    <x v="1"/>
  </r>
  <r>
    <n v="1474507"/>
    <d v="2020-07-22T00:00:00"/>
    <x v="68"/>
    <x v="0"/>
    <x v="10"/>
    <n v="2"/>
    <x v="1"/>
    <x v="51"/>
    <x v="0"/>
    <m/>
    <x v="1"/>
    <m/>
    <x v="0"/>
  </r>
  <r>
    <n v="1474531"/>
    <d v="2020-07-22T00:00:00"/>
    <x v="68"/>
    <x v="0"/>
    <x v="23"/>
    <n v="9"/>
    <x v="0"/>
    <x v="82"/>
    <x v="0"/>
    <m/>
    <x v="1"/>
    <m/>
    <x v="1"/>
  </r>
  <r>
    <n v="1474532"/>
    <d v="2020-07-22T00:00:00"/>
    <x v="68"/>
    <x v="0"/>
    <x v="4"/>
    <n v="7"/>
    <x v="1"/>
    <x v="73"/>
    <x v="0"/>
    <m/>
    <x v="1"/>
    <m/>
    <x v="0"/>
  </r>
  <r>
    <n v="1474561"/>
    <d v="2020-07-22T00:00:00"/>
    <x v="68"/>
    <x v="1"/>
    <x v="50"/>
    <m/>
    <x v="0"/>
    <x v="72"/>
    <x v="0"/>
    <m/>
    <x v="1"/>
    <m/>
    <x v="1"/>
  </r>
  <r>
    <n v="1474573"/>
    <d v="2020-07-22T00:00:00"/>
    <x v="68"/>
    <x v="1"/>
    <x v="50"/>
    <m/>
    <x v="0"/>
    <x v="45"/>
    <x v="0"/>
    <m/>
    <x v="1"/>
    <m/>
    <x v="1"/>
  </r>
  <r>
    <n v="1474645"/>
    <d v="2020-07-22T00:00:00"/>
    <x v="54"/>
    <x v="0"/>
    <x v="11"/>
    <n v="14"/>
    <x v="0"/>
    <x v="10"/>
    <x v="0"/>
    <m/>
    <x v="1"/>
    <m/>
    <x v="0"/>
  </r>
  <r>
    <n v="1474668"/>
    <d v="2020-07-22T00:00:00"/>
    <x v="54"/>
    <x v="0"/>
    <x v="14"/>
    <n v="15"/>
    <x v="1"/>
    <x v="78"/>
    <x v="0"/>
    <m/>
    <x v="1"/>
    <m/>
    <x v="0"/>
  </r>
  <r>
    <n v="1474680"/>
    <d v="2020-07-22T00:00:00"/>
    <x v="68"/>
    <x v="0"/>
    <x v="31"/>
    <n v="10"/>
    <x v="0"/>
    <x v="80"/>
    <x v="0"/>
    <m/>
    <x v="1"/>
    <m/>
    <x v="0"/>
  </r>
  <r>
    <n v="1474694"/>
    <d v="2020-07-22T00:00:00"/>
    <x v="68"/>
    <x v="0"/>
    <x v="24"/>
    <n v="4"/>
    <x v="1"/>
    <x v="3"/>
    <x v="0"/>
    <m/>
    <x v="1"/>
    <m/>
    <x v="3"/>
  </r>
  <r>
    <n v="1474810"/>
    <d v="2020-07-22T00:00:00"/>
    <x v="54"/>
    <x v="0"/>
    <x v="2"/>
    <n v="3"/>
    <x v="1"/>
    <x v="39"/>
    <x v="0"/>
    <m/>
    <x v="1"/>
    <m/>
    <x v="3"/>
  </r>
  <r>
    <n v="1474953"/>
    <d v="2020-07-22T00:00:00"/>
    <x v="68"/>
    <x v="0"/>
    <x v="58"/>
    <n v="15"/>
    <x v="0"/>
    <x v="56"/>
    <x v="0"/>
    <m/>
    <x v="1"/>
    <m/>
    <x v="1"/>
  </r>
  <r>
    <n v="1475090"/>
    <d v="2020-07-22T00:00:00"/>
    <x v="68"/>
    <x v="0"/>
    <x v="17"/>
    <n v="8"/>
    <x v="0"/>
    <x v="75"/>
    <x v="0"/>
    <m/>
    <x v="1"/>
    <m/>
    <x v="1"/>
  </r>
  <r>
    <n v="1475131"/>
    <d v="2020-07-22T00:00:00"/>
    <x v="68"/>
    <x v="0"/>
    <x v="40"/>
    <n v="8"/>
    <x v="0"/>
    <x v="95"/>
    <x v="0"/>
    <m/>
    <x v="1"/>
    <m/>
    <x v="1"/>
  </r>
  <r>
    <n v="1475140"/>
    <d v="2020-07-22T00:00:00"/>
    <x v="68"/>
    <x v="0"/>
    <x v="17"/>
    <n v="8"/>
    <x v="0"/>
    <x v="77"/>
    <x v="0"/>
    <m/>
    <x v="1"/>
    <m/>
    <x v="1"/>
  </r>
  <r>
    <n v="1475219"/>
    <d v="2020-07-22T00:00:00"/>
    <x v="54"/>
    <x v="0"/>
    <x v="2"/>
    <n v="3"/>
    <x v="1"/>
    <x v="69"/>
    <x v="0"/>
    <m/>
    <x v="1"/>
    <m/>
    <x v="1"/>
  </r>
  <r>
    <n v="1475240"/>
    <d v="2020-07-23T00:00:00"/>
    <x v="54"/>
    <x v="0"/>
    <x v="25"/>
    <n v="4"/>
    <x v="0"/>
    <x v="50"/>
    <x v="0"/>
    <m/>
    <x v="1"/>
    <m/>
    <x v="0"/>
  </r>
  <r>
    <n v="1475241"/>
    <d v="2020-07-22T00:00:00"/>
    <x v="54"/>
    <x v="1"/>
    <x v="50"/>
    <m/>
    <x v="0"/>
    <x v="68"/>
    <x v="0"/>
    <m/>
    <x v="1"/>
    <m/>
    <x v="1"/>
  </r>
  <r>
    <n v="1475245"/>
    <d v="2020-07-22T00:00:00"/>
    <x v="68"/>
    <x v="1"/>
    <x v="12"/>
    <m/>
    <x v="1"/>
    <x v="11"/>
    <x v="0"/>
    <m/>
    <x v="1"/>
    <m/>
    <x v="1"/>
  </r>
  <r>
    <n v="1475349"/>
    <d v="2020-07-22T00:00:00"/>
    <x v="68"/>
    <x v="0"/>
    <x v="37"/>
    <n v="1"/>
    <x v="1"/>
    <x v="101"/>
    <x v="0"/>
    <m/>
    <x v="1"/>
    <m/>
    <x v="3"/>
  </r>
  <r>
    <n v="1475491"/>
    <d v="2020-07-22T00:00:00"/>
    <x v="68"/>
    <x v="0"/>
    <x v="2"/>
    <n v="3"/>
    <x v="1"/>
    <x v="31"/>
    <x v="0"/>
    <m/>
    <x v="1"/>
    <m/>
    <x v="0"/>
  </r>
  <r>
    <n v="1475560"/>
    <d v="2020-07-22T00:00:00"/>
    <x v="68"/>
    <x v="0"/>
    <x v="15"/>
    <n v="1"/>
    <x v="0"/>
    <x v="2"/>
    <x v="0"/>
    <m/>
    <x v="1"/>
    <m/>
    <x v="1"/>
  </r>
  <r>
    <n v="1475572"/>
    <d v="2020-07-22T00:00:00"/>
    <x v="68"/>
    <x v="0"/>
    <x v="4"/>
    <n v="7"/>
    <x v="1"/>
    <x v="79"/>
    <x v="0"/>
    <m/>
    <x v="1"/>
    <m/>
    <x v="1"/>
  </r>
  <r>
    <n v="1475602"/>
    <d v="2020-07-22T00:00:00"/>
    <x v="68"/>
    <x v="0"/>
    <x v="10"/>
    <n v="2"/>
    <x v="1"/>
    <x v="80"/>
    <x v="0"/>
    <m/>
    <x v="1"/>
    <m/>
    <x v="1"/>
  </r>
  <r>
    <n v="1475643"/>
    <d v="2020-07-22T00:00:00"/>
    <x v="68"/>
    <x v="0"/>
    <x v="60"/>
    <n v="11"/>
    <x v="1"/>
    <x v="87"/>
    <x v="0"/>
    <m/>
    <x v="1"/>
    <m/>
    <x v="3"/>
  </r>
  <r>
    <n v="1475720"/>
    <d v="2020-07-22T00:00:00"/>
    <x v="54"/>
    <x v="0"/>
    <x v="60"/>
    <n v="11"/>
    <x v="0"/>
    <x v="69"/>
    <x v="0"/>
    <m/>
    <x v="1"/>
    <m/>
    <x v="1"/>
  </r>
  <r>
    <n v="1475808"/>
    <d v="2020-07-22T00:00:00"/>
    <x v="54"/>
    <x v="0"/>
    <x v="60"/>
    <n v="11"/>
    <x v="0"/>
    <x v="71"/>
    <x v="0"/>
    <m/>
    <x v="1"/>
    <m/>
    <x v="1"/>
  </r>
  <r>
    <n v="1475833"/>
    <d v="2020-07-22T00:00:00"/>
    <x v="54"/>
    <x v="0"/>
    <x v="4"/>
    <n v="7"/>
    <x v="1"/>
    <x v="24"/>
    <x v="0"/>
    <m/>
    <x v="1"/>
    <m/>
    <x v="3"/>
  </r>
  <r>
    <n v="1475853"/>
    <d v="2020-07-22T00:00:00"/>
    <x v="54"/>
    <x v="1"/>
    <x v="50"/>
    <m/>
    <x v="1"/>
    <x v="42"/>
    <x v="0"/>
    <m/>
    <x v="1"/>
    <m/>
    <x v="1"/>
  </r>
  <r>
    <n v="1475862"/>
    <d v="2020-07-22T00:00:00"/>
    <x v="54"/>
    <x v="0"/>
    <x v="60"/>
    <n v="11"/>
    <x v="1"/>
    <x v="43"/>
    <x v="0"/>
    <m/>
    <x v="1"/>
    <m/>
    <x v="1"/>
  </r>
  <r>
    <n v="1475873"/>
    <d v="2020-07-22T00:00:00"/>
    <x v="68"/>
    <x v="0"/>
    <x v="4"/>
    <n v="7"/>
    <x v="0"/>
    <x v="87"/>
    <x v="0"/>
    <m/>
    <x v="1"/>
    <m/>
    <x v="1"/>
  </r>
  <r>
    <n v="1475875"/>
    <d v="2020-07-22T00:00:00"/>
    <x v="54"/>
    <x v="0"/>
    <x v="11"/>
    <n v="14"/>
    <x v="0"/>
    <x v="92"/>
    <x v="0"/>
    <m/>
    <x v="1"/>
    <m/>
    <x v="1"/>
  </r>
  <r>
    <n v="1375754"/>
    <d v="2020-07-15T00:00:00"/>
    <x v="66"/>
    <x v="1"/>
    <x v="50"/>
    <m/>
    <x v="0"/>
    <x v="56"/>
    <x v="0"/>
    <m/>
    <x v="1"/>
    <m/>
    <x v="0"/>
  </r>
  <r>
    <n v="924656"/>
    <d v="2020-07-12T00:00:00"/>
    <x v="170"/>
    <x v="1"/>
    <x v="9"/>
    <m/>
    <x v="1"/>
    <x v="35"/>
    <x v="0"/>
    <m/>
    <x v="1"/>
    <m/>
    <x v="0"/>
  </r>
  <r>
    <n v="1333524"/>
    <d v="2020-07-18T00:00:00"/>
    <x v="62"/>
    <x v="0"/>
    <x v="25"/>
    <n v="4"/>
    <x v="0"/>
    <x v="39"/>
    <x v="0"/>
    <m/>
    <x v="1"/>
    <m/>
    <x v="4"/>
  </r>
  <r>
    <n v="1374742"/>
    <d v="2020-07-13T00:00:00"/>
    <x v="170"/>
    <x v="1"/>
    <x v="92"/>
    <m/>
    <x v="0"/>
    <x v="93"/>
    <x v="0"/>
    <m/>
    <x v="1"/>
    <m/>
    <x v="0"/>
  </r>
  <r>
    <n v="1414297"/>
    <d v="2020-07-18T00:00:00"/>
    <x v="62"/>
    <x v="1"/>
    <x v="50"/>
    <m/>
    <x v="0"/>
    <x v="60"/>
    <x v="0"/>
    <m/>
    <x v="1"/>
    <m/>
    <x v="1"/>
  </r>
  <r>
    <n v="1416218"/>
    <d v="2020-07-18T00:00:00"/>
    <x v="62"/>
    <x v="0"/>
    <x v="4"/>
    <n v="7"/>
    <x v="0"/>
    <x v="89"/>
    <x v="0"/>
    <m/>
    <x v="1"/>
    <m/>
    <x v="0"/>
  </r>
  <r>
    <n v="1429859"/>
    <d v="2020-07-16T00:00:00"/>
    <x v="120"/>
    <x v="1"/>
    <x v="50"/>
    <m/>
    <x v="0"/>
    <x v="68"/>
    <x v="0"/>
    <m/>
    <x v="1"/>
    <m/>
    <x v="1"/>
  </r>
  <r>
    <n v="1479568"/>
    <d v="2020-07-23T00:00:00"/>
    <x v="191"/>
    <x v="1"/>
    <x v="50"/>
    <m/>
    <x v="0"/>
    <x v="60"/>
    <x v="0"/>
    <m/>
    <x v="1"/>
    <m/>
    <x v="4"/>
  </r>
  <r>
    <n v="1529137"/>
    <d v="2020-07-22T00:00:00"/>
    <x v="54"/>
    <x v="0"/>
    <x v="39"/>
    <n v="12"/>
    <x v="1"/>
    <x v="48"/>
    <x v="0"/>
    <m/>
    <x v="1"/>
    <m/>
    <x v="0"/>
  </r>
  <r>
    <n v="4684576"/>
    <d v="2020-11-22T00:00:00"/>
    <x v="74"/>
    <x v="0"/>
    <x v="57"/>
    <n v="1"/>
    <x v="1"/>
    <x v="12"/>
    <x v="0"/>
    <m/>
    <x v="1"/>
    <m/>
    <x v="0"/>
  </r>
  <r>
    <n v="1165324"/>
    <d v="2020-07-04T00:00:00"/>
    <x v="81"/>
    <x v="0"/>
    <x v="17"/>
    <n v="8"/>
    <x v="0"/>
    <x v="16"/>
    <x v="0"/>
    <m/>
    <x v="1"/>
    <m/>
    <x v="1"/>
  </r>
  <r>
    <n v="1165385"/>
    <d v="2020-06-25T00:00:00"/>
    <x v="188"/>
    <x v="0"/>
    <x v="17"/>
    <n v="8"/>
    <x v="0"/>
    <x v="43"/>
    <x v="0"/>
    <m/>
    <x v="1"/>
    <m/>
    <x v="1"/>
  </r>
  <r>
    <n v="1166684"/>
    <d v="2020-07-04T00:00:00"/>
    <x v="81"/>
    <x v="0"/>
    <x v="17"/>
    <n v="8"/>
    <x v="0"/>
    <x v="51"/>
    <x v="0"/>
    <m/>
    <x v="1"/>
    <m/>
    <x v="1"/>
  </r>
  <r>
    <n v="2762478"/>
    <d v="2020-09-20T00:00:00"/>
    <x v="141"/>
    <x v="1"/>
    <x v="12"/>
    <m/>
    <x v="0"/>
    <x v="67"/>
    <x v="0"/>
    <m/>
    <x v="1"/>
    <m/>
    <x v="0"/>
  </r>
  <r>
    <n v="2773577"/>
    <d v="2020-09-21T00:00:00"/>
    <x v="141"/>
    <x v="0"/>
    <x v="2"/>
    <n v="3"/>
    <x v="1"/>
    <x v="92"/>
    <x v="0"/>
    <m/>
    <x v="1"/>
    <m/>
    <x v="3"/>
  </r>
  <r>
    <n v="2786864"/>
    <d v="2020-09-21T00:00:00"/>
    <x v="141"/>
    <x v="1"/>
    <x v="50"/>
    <m/>
    <x v="0"/>
    <x v="0"/>
    <x v="0"/>
    <m/>
    <x v="1"/>
    <m/>
    <x v="3"/>
  </r>
  <r>
    <n v="2786915"/>
    <d v="2020-09-21T00:00:00"/>
    <x v="141"/>
    <x v="0"/>
    <x v="18"/>
    <n v="15"/>
    <x v="1"/>
    <x v="39"/>
    <x v="0"/>
    <m/>
    <x v="1"/>
    <m/>
    <x v="0"/>
  </r>
  <r>
    <n v="2788244"/>
    <d v="2020-09-21T00:00:00"/>
    <x v="141"/>
    <x v="0"/>
    <x v="42"/>
    <n v="4"/>
    <x v="0"/>
    <x v="81"/>
    <x v="0"/>
    <m/>
    <x v="1"/>
    <m/>
    <x v="4"/>
  </r>
  <r>
    <n v="2802359"/>
    <d v="2020-09-21T00:00:00"/>
    <x v="141"/>
    <x v="1"/>
    <x v="92"/>
    <m/>
    <x v="0"/>
    <x v="78"/>
    <x v="0"/>
    <m/>
    <x v="1"/>
    <m/>
    <x v="3"/>
  </r>
  <r>
    <n v="2827697"/>
    <d v="2020-09-23T00:00:00"/>
    <x v="49"/>
    <x v="1"/>
    <x v="9"/>
    <m/>
    <x v="0"/>
    <x v="72"/>
    <x v="0"/>
    <m/>
    <x v="1"/>
    <m/>
    <x v="0"/>
  </r>
  <r>
    <n v="2844811"/>
    <d v="2020-09-23T00:00:00"/>
    <x v="12"/>
    <x v="0"/>
    <x v="34"/>
    <n v="13"/>
    <x v="0"/>
    <x v="1"/>
    <x v="0"/>
    <m/>
    <x v="1"/>
    <m/>
    <x v="0"/>
  </r>
  <r>
    <n v="2847294"/>
    <d v="2020-09-23T00:00:00"/>
    <x v="49"/>
    <x v="0"/>
    <x v="6"/>
    <n v="5"/>
    <x v="1"/>
    <x v="56"/>
    <x v="0"/>
    <m/>
    <x v="1"/>
    <m/>
    <x v="3"/>
  </r>
  <r>
    <n v="2850700"/>
    <d v="2020-09-24T00:00:00"/>
    <x v="171"/>
    <x v="1"/>
    <x v="50"/>
    <m/>
    <x v="1"/>
    <x v="77"/>
    <x v="0"/>
    <m/>
    <x v="1"/>
    <m/>
    <x v="0"/>
  </r>
  <r>
    <n v="2851288"/>
    <d v="2020-09-23T00:00:00"/>
    <x v="49"/>
    <x v="1"/>
    <x v="61"/>
    <m/>
    <x v="0"/>
    <x v="98"/>
    <x v="0"/>
    <m/>
    <x v="1"/>
    <m/>
    <x v="0"/>
  </r>
  <r>
    <n v="2858566"/>
    <d v="2020-09-23T00:00:00"/>
    <x v="49"/>
    <x v="1"/>
    <x v="61"/>
    <m/>
    <x v="0"/>
    <x v="79"/>
    <x v="0"/>
    <m/>
    <x v="1"/>
    <m/>
    <x v="0"/>
  </r>
  <r>
    <n v="2858622"/>
    <d v="2020-09-23T00:00:00"/>
    <x v="49"/>
    <x v="1"/>
    <x v="50"/>
    <m/>
    <x v="1"/>
    <x v="72"/>
    <x v="0"/>
    <m/>
    <x v="1"/>
    <m/>
    <x v="0"/>
  </r>
  <r>
    <n v="2858928"/>
    <d v="2020-09-23T00:00:00"/>
    <x v="49"/>
    <x v="0"/>
    <x v="49"/>
    <n v="12"/>
    <x v="1"/>
    <x v="68"/>
    <x v="0"/>
    <m/>
    <x v="1"/>
    <m/>
    <x v="0"/>
  </r>
  <r>
    <n v="2863796"/>
    <d v="2020-09-23T00:00:00"/>
    <x v="49"/>
    <x v="0"/>
    <x v="14"/>
    <n v="15"/>
    <x v="0"/>
    <x v="79"/>
    <x v="0"/>
    <m/>
    <x v="1"/>
    <m/>
    <x v="3"/>
  </r>
  <r>
    <n v="2863958"/>
    <d v="2020-09-23T00:00:00"/>
    <x v="49"/>
    <x v="1"/>
    <x v="9"/>
    <m/>
    <x v="1"/>
    <x v="45"/>
    <x v="0"/>
    <m/>
    <x v="1"/>
    <m/>
    <x v="3"/>
  </r>
  <r>
    <n v="2864075"/>
    <d v="2020-09-23T00:00:00"/>
    <x v="49"/>
    <x v="0"/>
    <x v="14"/>
    <n v="15"/>
    <x v="1"/>
    <x v="83"/>
    <x v="0"/>
    <m/>
    <x v="1"/>
    <m/>
    <x v="3"/>
  </r>
  <r>
    <n v="2871359"/>
    <d v="2020-09-24T00:00:00"/>
    <x v="145"/>
    <x v="1"/>
    <x v="50"/>
    <m/>
    <x v="1"/>
    <x v="1"/>
    <x v="0"/>
    <m/>
    <x v="1"/>
    <m/>
    <x v="1"/>
  </r>
  <r>
    <n v="2871902"/>
    <d v="2020-09-24T00:00:00"/>
    <x v="171"/>
    <x v="0"/>
    <x v="39"/>
    <n v="12"/>
    <x v="0"/>
    <x v="15"/>
    <x v="0"/>
    <m/>
    <x v="1"/>
    <m/>
    <x v="1"/>
  </r>
  <r>
    <n v="2871970"/>
    <d v="2020-09-24T00:00:00"/>
    <x v="171"/>
    <x v="1"/>
    <x v="50"/>
    <m/>
    <x v="0"/>
    <x v="37"/>
    <x v="0"/>
    <m/>
    <x v="1"/>
    <m/>
    <x v="0"/>
  </r>
  <r>
    <n v="2512039"/>
    <d v="2020-09-17T00:00:00"/>
    <x v="108"/>
    <x v="0"/>
    <x v="6"/>
    <n v="5"/>
    <x v="1"/>
    <x v="87"/>
    <x v="0"/>
    <m/>
    <x v="1"/>
    <m/>
    <x v="1"/>
  </r>
  <r>
    <n v="2872051"/>
    <d v="2020-09-23T00:00:00"/>
    <x v="49"/>
    <x v="0"/>
    <x v="6"/>
    <n v="5"/>
    <x v="1"/>
    <x v="26"/>
    <x v="0"/>
    <m/>
    <x v="1"/>
    <m/>
    <x v="1"/>
  </r>
  <r>
    <n v="2872903"/>
    <d v="2020-09-23T00:00:00"/>
    <x v="49"/>
    <x v="0"/>
    <x v="31"/>
    <n v="10"/>
    <x v="1"/>
    <x v="63"/>
    <x v="0"/>
    <m/>
    <x v="1"/>
    <m/>
    <x v="3"/>
  </r>
  <r>
    <n v="2879039"/>
    <d v="2020-09-24T00:00:00"/>
    <x v="192"/>
    <x v="0"/>
    <x v="34"/>
    <n v="13"/>
    <x v="1"/>
    <x v="31"/>
    <x v="0"/>
    <m/>
    <x v="1"/>
    <m/>
    <x v="0"/>
  </r>
  <r>
    <n v="2879098"/>
    <d v="2020-09-24T00:00:00"/>
    <x v="171"/>
    <x v="0"/>
    <x v="43"/>
    <n v="11"/>
    <x v="1"/>
    <x v="72"/>
    <x v="0"/>
    <m/>
    <x v="1"/>
    <m/>
    <x v="0"/>
  </r>
  <r>
    <n v="2879053"/>
    <d v="2020-09-24T00:00:00"/>
    <x v="192"/>
    <x v="0"/>
    <x v="49"/>
    <n v="12"/>
    <x v="1"/>
    <x v="20"/>
    <x v="0"/>
    <m/>
    <x v="1"/>
    <m/>
    <x v="0"/>
  </r>
  <r>
    <n v="2909208"/>
    <d v="2020-09-24T00:00:00"/>
    <x v="171"/>
    <x v="0"/>
    <x v="26"/>
    <n v="11"/>
    <x v="1"/>
    <x v="60"/>
    <x v="0"/>
    <m/>
    <x v="1"/>
    <m/>
    <x v="0"/>
  </r>
  <r>
    <n v="2909291"/>
    <d v="2020-09-25T00:00:00"/>
    <x v="192"/>
    <x v="0"/>
    <x v="2"/>
    <n v="3"/>
    <x v="1"/>
    <x v="46"/>
    <x v="0"/>
    <m/>
    <x v="1"/>
    <m/>
    <x v="0"/>
  </r>
  <r>
    <n v="2926827"/>
    <d v="2020-09-26T00:00:00"/>
    <x v="145"/>
    <x v="1"/>
    <x v="92"/>
    <m/>
    <x v="0"/>
    <x v="1"/>
    <x v="0"/>
    <m/>
    <x v="1"/>
    <m/>
    <x v="0"/>
  </r>
  <r>
    <n v="3006704"/>
    <d v="2020-09-21T00:00:00"/>
    <x v="141"/>
    <x v="1"/>
    <x v="61"/>
    <m/>
    <x v="1"/>
    <x v="43"/>
    <x v="0"/>
    <m/>
    <x v="1"/>
    <m/>
    <x v="0"/>
  </r>
  <r>
    <n v="3013670"/>
    <d v="2020-09-29T00:00:00"/>
    <x v="21"/>
    <x v="1"/>
    <x v="50"/>
    <m/>
    <x v="0"/>
    <x v="68"/>
    <x v="0"/>
    <m/>
    <x v="1"/>
    <m/>
    <x v="1"/>
  </r>
  <r>
    <n v="1500787"/>
    <d v="2020-07-23T00:00:00"/>
    <x v="204"/>
    <x v="0"/>
    <x v="18"/>
    <n v="15"/>
    <x v="0"/>
    <x v="35"/>
    <x v="0"/>
    <m/>
    <x v="1"/>
    <m/>
    <x v="0"/>
  </r>
  <r>
    <n v="1876407"/>
    <d v="2020-09-21T00:00:00"/>
    <x v="141"/>
    <x v="1"/>
    <x v="61"/>
    <m/>
    <x v="1"/>
    <x v="67"/>
    <x v="0"/>
    <m/>
    <x v="1"/>
    <m/>
    <x v="0"/>
  </r>
  <r>
    <n v="1993180"/>
    <d v="2020-08-15T00:00:00"/>
    <x v="11"/>
    <x v="1"/>
    <x v="12"/>
    <m/>
    <x v="1"/>
    <x v="71"/>
    <x v="0"/>
    <m/>
    <x v="1"/>
    <m/>
    <x v="0"/>
  </r>
  <r>
    <n v="2056436"/>
    <d v="2020-08-26T00:00:00"/>
    <x v="3"/>
    <x v="0"/>
    <x v="8"/>
    <n v="1"/>
    <x v="0"/>
    <x v="57"/>
    <x v="0"/>
    <m/>
    <x v="1"/>
    <m/>
    <x v="3"/>
  </r>
  <r>
    <n v="2612548"/>
    <d v="2020-09-14T00:00:00"/>
    <x v="41"/>
    <x v="0"/>
    <x v="58"/>
    <n v="15"/>
    <x v="1"/>
    <x v="45"/>
    <x v="0"/>
    <m/>
    <x v="1"/>
    <m/>
    <x v="0"/>
  </r>
  <r>
    <n v="2623851"/>
    <d v="2020-09-15T00:00:00"/>
    <x v="210"/>
    <x v="0"/>
    <x v="11"/>
    <n v="14"/>
    <x v="1"/>
    <x v="33"/>
    <x v="0"/>
    <m/>
    <x v="1"/>
    <m/>
    <x v="0"/>
  </r>
  <r>
    <n v="2626378"/>
    <d v="2020-09-14T00:00:00"/>
    <x v="41"/>
    <x v="0"/>
    <x v="11"/>
    <n v="14"/>
    <x v="0"/>
    <x v="21"/>
    <x v="0"/>
    <m/>
    <x v="1"/>
    <m/>
    <x v="4"/>
  </r>
  <r>
    <n v="2627481"/>
    <d v="2020-09-14T00:00:00"/>
    <x v="41"/>
    <x v="0"/>
    <x v="0"/>
    <n v="15"/>
    <x v="1"/>
    <x v="81"/>
    <x v="0"/>
    <m/>
    <x v="1"/>
    <m/>
    <x v="0"/>
  </r>
  <r>
    <n v="2628183"/>
    <d v="2020-09-18T00:00:00"/>
    <x v="150"/>
    <x v="0"/>
    <x v="46"/>
    <n v="4"/>
    <x v="0"/>
    <x v="80"/>
    <x v="0"/>
    <m/>
    <x v="1"/>
    <m/>
    <x v="0"/>
  </r>
  <r>
    <n v="2658731"/>
    <d v="2020-09-15T00:00:00"/>
    <x v="210"/>
    <x v="0"/>
    <x v="6"/>
    <n v="5"/>
    <x v="0"/>
    <x v="100"/>
    <x v="0"/>
    <m/>
    <x v="1"/>
    <m/>
    <x v="0"/>
  </r>
  <r>
    <n v="2658732"/>
    <d v="2020-09-15T00:00:00"/>
    <x v="210"/>
    <x v="0"/>
    <x v="6"/>
    <n v="5"/>
    <x v="0"/>
    <x v="63"/>
    <x v="0"/>
    <m/>
    <x v="1"/>
    <m/>
    <x v="0"/>
  </r>
  <r>
    <n v="2658735"/>
    <d v="2020-09-15T00:00:00"/>
    <x v="210"/>
    <x v="0"/>
    <x v="6"/>
    <n v="5"/>
    <x v="1"/>
    <x v="24"/>
    <x v="0"/>
    <m/>
    <x v="1"/>
    <m/>
    <x v="0"/>
  </r>
  <r>
    <n v="2658753"/>
    <d v="2020-09-15T00:00:00"/>
    <x v="210"/>
    <x v="1"/>
    <x v="9"/>
    <m/>
    <x v="0"/>
    <x v="39"/>
    <x v="0"/>
    <m/>
    <x v="1"/>
    <m/>
    <x v="1"/>
  </r>
  <r>
    <n v="2669709"/>
    <d v="2020-09-16T00:00:00"/>
    <x v="24"/>
    <x v="0"/>
    <x v="23"/>
    <n v="9"/>
    <x v="1"/>
    <x v="42"/>
    <x v="0"/>
    <m/>
    <x v="1"/>
    <m/>
    <x v="1"/>
  </r>
  <r>
    <n v="2671943"/>
    <d v="2020-09-16T00:00:00"/>
    <x v="108"/>
    <x v="0"/>
    <x v="2"/>
    <n v="3"/>
    <x v="1"/>
    <x v="70"/>
    <x v="0"/>
    <m/>
    <x v="1"/>
    <m/>
    <x v="0"/>
  </r>
  <r>
    <n v="2671965"/>
    <d v="2020-09-16T00:00:00"/>
    <x v="108"/>
    <x v="0"/>
    <x v="2"/>
    <n v="3"/>
    <x v="0"/>
    <x v="35"/>
    <x v="0"/>
    <m/>
    <x v="1"/>
    <m/>
    <x v="0"/>
  </r>
  <r>
    <n v="2687421"/>
    <d v="2020-09-16T00:00:00"/>
    <x v="108"/>
    <x v="1"/>
    <x v="61"/>
    <m/>
    <x v="1"/>
    <x v="80"/>
    <x v="0"/>
    <m/>
    <x v="1"/>
    <m/>
    <x v="0"/>
  </r>
  <r>
    <n v="2700311"/>
    <d v="2020-09-17T00:00:00"/>
    <x v="108"/>
    <x v="0"/>
    <x v="38"/>
    <n v="13"/>
    <x v="0"/>
    <x v="60"/>
    <x v="0"/>
    <m/>
    <x v="1"/>
    <m/>
    <x v="0"/>
  </r>
  <r>
    <n v="2708637"/>
    <d v="2020-09-18T00:00:00"/>
    <x v="14"/>
    <x v="1"/>
    <x v="12"/>
    <m/>
    <x v="1"/>
    <x v="71"/>
    <x v="0"/>
    <m/>
    <x v="1"/>
    <m/>
    <x v="1"/>
  </r>
  <r>
    <n v="2712581"/>
    <d v="2020-09-17T00:00:00"/>
    <x v="150"/>
    <x v="1"/>
    <x v="61"/>
    <m/>
    <x v="0"/>
    <x v="61"/>
    <x v="0"/>
    <m/>
    <x v="1"/>
    <m/>
    <x v="0"/>
  </r>
  <r>
    <n v="2713864"/>
    <d v="2020-09-26T00:00:00"/>
    <x v="145"/>
    <x v="1"/>
    <x v="61"/>
    <m/>
    <x v="0"/>
    <x v="79"/>
    <x v="0"/>
    <m/>
    <x v="1"/>
    <m/>
    <x v="4"/>
  </r>
  <r>
    <n v="2715668"/>
    <d v="2020-09-18T00:00:00"/>
    <x v="150"/>
    <x v="0"/>
    <x v="11"/>
    <n v="14"/>
    <x v="0"/>
    <x v="2"/>
    <x v="0"/>
    <m/>
    <x v="1"/>
    <m/>
    <x v="0"/>
  </r>
  <r>
    <n v="2716408"/>
    <d v="2020-09-17T00:00:00"/>
    <x v="150"/>
    <x v="1"/>
    <x v="92"/>
    <m/>
    <x v="0"/>
    <x v="35"/>
    <x v="0"/>
    <m/>
    <x v="1"/>
    <m/>
    <x v="0"/>
  </r>
  <r>
    <n v="2729224"/>
    <d v="2020-09-18T00:00:00"/>
    <x v="150"/>
    <x v="0"/>
    <x v="46"/>
    <n v="4"/>
    <x v="0"/>
    <x v="42"/>
    <x v="0"/>
    <m/>
    <x v="1"/>
    <m/>
    <x v="0"/>
  </r>
  <r>
    <n v="2729226"/>
    <d v="2020-09-18T00:00:00"/>
    <x v="150"/>
    <x v="0"/>
    <x v="2"/>
    <n v="3"/>
    <x v="0"/>
    <x v="16"/>
    <x v="0"/>
    <m/>
    <x v="1"/>
    <m/>
    <x v="0"/>
  </r>
  <r>
    <n v="2729235"/>
    <d v="2020-09-18T00:00:00"/>
    <x v="150"/>
    <x v="1"/>
    <x v="62"/>
    <m/>
    <x v="0"/>
    <x v="77"/>
    <x v="0"/>
    <m/>
    <x v="1"/>
    <m/>
    <x v="4"/>
  </r>
  <r>
    <n v="2729275"/>
    <d v="2020-09-18T00:00:00"/>
    <x v="150"/>
    <x v="6"/>
    <x v="74"/>
    <m/>
    <x v="1"/>
    <x v="69"/>
    <x v="0"/>
    <m/>
    <x v="1"/>
    <m/>
    <x v="1"/>
  </r>
  <r>
    <n v="2729276"/>
    <d v="2020-09-18T00:00:00"/>
    <x v="150"/>
    <x v="1"/>
    <x v="12"/>
    <m/>
    <x v="1"/>
    <x v="69"/>
    <x v="0"/>
    <m/>
    <x v="1"/>
    <m/>
    <x v="3"/>
  </r>
  <r>
    <n v="2729279"/>
    <d v="2020-09-18T00:00:00"/>
    <x v="150"/>
    <x v="0"/>
    <x v="48"/>
    <n v="5"/>
    <x v="1"/>
    <x v="89"/>
    <x v="0"/>
    <m/>
    <x v="1"/>
    <m/>
    <x v="1"/>
  </r>
  <r>
    <n v="2729280"/>
    <d v="2020-09-18T00:00:00"/>
    <x v="150"/>
    <x v="1"/>
    <x v="61"/>
    <m/>
    <x v="0"/>
    <x v="78"/>
    <x v="0"/>
    <m/>
    <x v="1"/>
    <m/>
    <x v="4"/>
  </r>
  <r>
    <n v="2731717"/>
    <d v="2020-09-18T00:00:00"/>
    <x v="150"/>
    <x v="0"/>
    <x v="48"/>
    <n v="5"/>
    <x v="1"/>
    <x v="72"/>
    <x v="0"/>
    <m/>
    <x v="1"/>
    <m/>
    <x v="1"/>
  </r>
  <r>
    <n v="2731783"/>
    <d v="2020-09-18T00:00:00"/>
    <x v="150"/>
    <x v="0"/>
    <x v="40"/>
    <n v="8"/>
    <x v="0"/>
    <x v="72"/>
    <x v="0"/>
    <m/>
    <x v="1"/>
    <m/>
    <x v="0"/>
  </r>
  <r>
    <n v="2731853"/>
    <d v="2020-09-18T00:00:00"/>
    <x v="150"/>
    <x v="0"/>
    <x v="48"/>
    <n v="5"/>
    <x v="0"/>
    <x v="92"/>
    <x v="0"/>
    <m/>
    <x v="1"/>
    <m/>
    <x v="1"/>
  </r>
  <r>
    <n v="2730911"/>
    <d v="2020-09-18T00:00:00"/>
    <x v="150"/>
    <x v="0"/>
    <x v="14"/>
    <n v="15"/>
    <x v="0"/>
    <x v="46"/>
    <x v="0"/>
    <m/>
    <x v="1"/>
    <m/>
    <x v="1"/>
  </r>
  <r>
    <n v="2730932"/>
    <d v="2020-09-18T00:00:00"/>
    <x v="150"/>
    <x v="0"/>
    <x v="39"/>
    <n v="12"/>
    <x v="1"/>
    <x v="69"/>
    <x v="0"/>
    <m/>
    <x v="1"/>
    <m/>
    <x v="3"/>
  </r>
  <r>
    <n v="2730945"/>
    <d v="2020-09-18T00:00:00"/>
    <x v="150"/>
    <x v="1"/>
    <x v="5"/>
    <m/>
    <x v="0"/>
    <x v="98"/>
    <x v="0"/>
    <m/>
    <x v="1"/>
    <m/>
    <x v="0"/>
  </r>
  <r>
    <n v="2730946"/>
    <d v="2020-09-18T00:00:00"/>
    <x v="150"/>
    <x v="1"/>
    <x v="61"/>
    <m/>
    <x v="0"/>
    <x v="43"/>
    <x v="0"/>
    <m/>
    <x v="1"/>
    <m/>
    <x v="0"/>
  </r>
  <r>
    <n v="2730947"/>
    <d v="2020-09-18T00:00:00"/>
    <x v="150"/>
    <x v="0"/>
    <x v="2"/>
    <n v="3"/>
    <x v="1"/>
    <x v="12"/>
    <x v="0"/>
    <m/>
    <x v="1"/>
    <m/>
    <x v="0"/>
  </r>
  <r>
    <n v="2749278"/>
    <d v="2020-09-19T00:00:00"/>
    <x v="159"/>
    <x v="0"/>
    <x v="27"/>
    <n v="12"/>
    <x v="0"/>
    <x v="48"/>
    <x v="0"/>
    <m/>
    <x v="1"/>
    <m/>
    <x v="0"/>
  </r>
  <r>
    <n v="2755210"/>
    <d v="2020-09-19T00:00:00"/>
    <x v="141"/>
    <x v="0"/>
    <x v="64"/>
    <n v="7"/>
    <x v="0"/>
    <x v="20"/>
    <x v="0"/>
    <m/>
    <x v="1"/>
    <m/>
    <x v="0"/>
  </r>
  <r>
    <n v="2755273"/>
    <d v="2020-09-18T00:00:00"/>
    <x v="159"/>
    <x v="0"/>
    <x v="2"/>
    <n v="3"/>
    <x v="1"/>
    <x v="92"/>
    <x v="0"/>
    <m/>
    <x v="1"/>
    <m/>
    <x v="1"/>
  </r>
  <r>
    <n v="2755759"/>
    <d v="2020-09-19T00:00:00"/>
    <x v="159"/>
    <x v="0"/>
    <x v="14"/>
    <n v="15"/>
    <x v="0"/>
    <x v="56"/>
    <x v="0"/>
    <m/>
    <x v="1"/>
    <m/>
    <x v="1"/>
  </r>
  <r>
    <n v="2755846"/>
    <d v="2020-09-19T00:00:00"/>
    <x v="159"/>
    <x v="0"/>
    <x v="6"/>
    <n v="5"/>
    <x v="1"/>
    <x v="31"/>
    <x v="0"/>
    <m/>
    <x v="1"/>
    <m/>
    <x v="1"/>
  </r>
  <r>
    <n v="2756596"/>
    <d v="2020-09-20T00:00:00"/>
    <x v="141"/>
    <x v="0"/>
    <x v="11"/>
    <n v="14"/>
    <x v="0"/>
    <x v="38"/>
    <x v="0"/>
    <m/>
    <x v="1"/>
    <m/>
    <x v="0"/>
  </r>
  <r>
    <n v="2871992"/>
    <d v="2020-09-24T00:00:00"/>
    <x v="171"/>
    <x v="1"/>
    <x v="9"/>
    <m/>
    <x v="1"/>
    <x v="89"/>
    <x v="0"/>
    <m/>
    <x v="1"/>
    <m/>
    <x v="1"/>
  </r>
  <r>
    <n v="2902413"/>
    <d v="2020-09-25T00:00:00"/>
    <x v="192"/>
    <x v="1"/>
    <x v="92"/>
    <m/>
    <x v="0"/>
    <x v="67"/>
    <x v="0"/>
    <m/>
    <x v="1"/>
    <m/>
    <x v="1"/>
  </r>
  <r>
    <n v="2909322"/>
    <d v="2020-09-25T00:00:00"/>
    <x v="192"/>
    <x v="0"/>
    <x v="2"/>
    <n v="3"/>
    <x v="0"/>
    <x v="100"/>
    <x v="0"/>
    <m/>
    <x v="1"/>
    <m/>
    <x v="1"/>
  </r>
  <r>
    <n v="2909326"/>
    <d v="2020-09-25T00:00:00"/>
    <x v="192"/>
    <x v="0"/>
    <x v="2"/>
    <n v="3"/>
    <x v="0"/>
    <x v="70"/>
    <x v="0"/>
    <m/>
    <x v="1"/>
    <m/>
    <x v="1"/>
  </r>
  <r>
    <n v="2910306"/>
    <d v="2020-09-25T00:00:00"/>
    <x v="192"/>
    <x v="0"/>
    <x v="2"/>
    <n v="3"/>
    <x v="1"/>
    <x v="79"/>
    <x v="0"/>
    <m/>
    <x v="1"/>
    <m/>
    <x v="3"/>
  </r>
  <r>
    <n v="2924973"/>
    <d v="2020-09-25T00:00:00"/>
    <x v="192"/>
    <x v="0"/>
    <x v="2"/>
    <n v="3"/>
    <x v="1"/>
    <x v="55"/>
    <x v="0"/>
    <m/>
    <x v="1"/>
    <m/>
    <x v="1"/>
  </r>
  <r>
    <n v="2924974"/>
    <d v="2020-09-25T00:00:00"/>
    <x v="192"/>
    <x v="0"/>
    <x v="44"/>
    <n v="10"/>
    <x v="0"/>
    <x v="35"/>
    <x v="0"/>
    <m/>
    <x v="1"/>
    <m/>
    <x v="1"/>
  </r>
  <r>
    <n v="3781868"/>
    <d v="2020-09-16T00:00:00"/>
    <x v="24"/>
    <x v="0"/>
    <x v="2"/>
    <n v="3"/>
    <x v="1"/>
    <x v="67"/>
    <x v="0"/>
    <m/>
    <x v="1"/>
    <m/>
    <x v="0"/>
  </r>
  <r>
    <n v="1411493"/>
    <d v="2020-07-17T00:00:00"/>
    <x v="62"/>
    <x v="1"/>
    <x v="61"/>
    <m/>
    <x v="0"/>
    <x v="71"/>
    <x v="0"/>
    <m/>
    <x v="1"/>
    <m/>
    <x v="0"/>
  </r>
  <r>
    <n v="1636721"/>
    <d v="2020-08-02T00:00:00"/>
    <x v="236"/>
    <x v="0"/>
    <x v="46"/>
    <n v="4"/>
    <x v="1"/>
    <x v="44"/>
    <x v="0"/>
    <m/>
    <x v="1"/>
    <m/>
    <x v="1"/>
  </r>
  <r>
    <n v="1819522"/>
    <d v="2020-08-11T00:00:00"/>
    <x v="138"/>
    <x v="0"/>
    <x v="17"/>
    <n v="8"/>
    <x v="1"/>
    <x v="63"/>
    <x v="0"/>
    <m/>
    <x v="1"/>
    <m/>
    <x v="0"/>
  </r>
  <r>
    <n v="2251225"/>
    <d v="2020-09-19T00:00:00"/>
    <x v="65"/>
    <x v="1"/>
    <x v="55"/>
    <m/>
    <x v="1"/>
    <x v="22"/>
    <x v="0"/>
    <m/>
    <x v="1"/>
    <m/>
    <x v="3"/>
  </r>
  <r>
    <n v="2307003"/>
    <d v="2020-09-02T00:00:00"/>
    <x v="44"/>
    <x v="1"/>
    <x v="61"/>
    <m/>
    <x v="1"/>
    <x v="61"/>
    <x v="0"/>
    <m/>
    <x v="1"/>
    <m/>
    <x v="0"/>
  </r>
  <r>
    <n v="2381676"/>
    <d v="2020-09-05T00:00:00"/>
    <x v="1"/>
    <x v="1"/>
    <x v="12"/>
    <m/>
    <x v="1"/>
    <x v="16"/>
    <x v="0"/>
    <m/>
    <x v="1"/>
    <m/>
    <x v="1"/>
  </r>
  <r>
    <n v="2465073"/>
    <d v="2020-09-08T00:00:00"/>
    <x v="102"/>
    <x v="1"/>
    <x v="9"/>
    <m/>
    <x v="0"/>
    <x v="20"/>
    <x v="0"/>
    <m/>
    <x v="1"/>
    <m/>
    <x v="3"/>
  </r>
  <r>
    <n v="2490810"/>
    <d v="2020-09-19T00:00:00"/>
    <x v="159"/>
    <x v="0"/>
    <x v="95"/>
    <n v="15"/>
    <x v="0"/>
    <x v="3"/>
    <x v="0"/>
    <m/>
    <x v="1"/>
    <m/>
    <x v="4"/>
  </r>
  <r>
    <n v="2491858"/>
    <d v="2020-09-10T00:00:00"/>
    <x v="142"/>
    <x v="1"/>
    <x v="9"/>
    <m/>
    <x v="1"/>
    <x v="42"/>
    <x v="0"/>
    <m/>
    <x v="1"/>
    <m/>
    <x v="0"/>
  </r>
  <r>
    <n v="2494307"/>
    <d v="2020-09-08T00:00:00"/>
    <x v="7"/>
    <x v="1"/>
    <x v="12"/>
    <m/>
    <x v="0"/>
    <x v="37"/>
    <x v="0"/>
    <m/>
    <x v="1"/>
    <m/>
    <x v="0"/>
  </r>
  <r>
    <n v="2512384"/>
    <d v="2020-09-10T00:00:00"/>
    <x v="142"/>
    <x v="0"/>
    <x v="34"/>
    <n v="13"/>
    <x v="0"/>
    <x v="22"/>
    <x v="0"/>
    <m/>
    <x v="1"/>
    <m/>
    <x v="0"/>
  </r>
  <r>
    <n v="2522670"/>
    <d v="2020-09-10T00:00:00"/>
    <x v="142"/>
    <x v="0"/>
    <x v="69"/>
    <n v="10"/>
    <x v="0"/>
    <x v="19"/>
    <x v="0"/>
    <m/>
    <x v="1"/>
    <m/>
    <x v="0"/>
  </r>
  <r>
    <n v="2524209"/>
    <d v="2020-09-15T00:00:00"/>
    <x v="24"/>
    <x v="1"/>
    <x v="92"/>
    <m/>
    <x v="0"/>
    <x v="78"/>
    <x v="0"/>
    <m/>
    <x v="1"/>
    <m/>
    <x v="1"/>
  </r>
  <r>
    <n v="2537884"/>
    <d v="2020-09-11T00:00:00"/>
    <x v="172"/>
    <x v="1"/>
    <x v="5"/>
    <m/>
    <x v="1"/>
    <x v="83"/>
    <x v="0"/>
    <m/>
    <x v="1"/>
    <m/>
    <x v="0"/>
  </r>
  <r>
    <n v="2541961"/>
    <d v="2020-09-11T00:00:00"/>
    <x v="5"/>
    <x v="0"/>
    <x v="26"/>
    <n v="11"/>
    <x v="1"/>
    <x v="8"/>
    <x v="0"/>
    <m/>
    <x v="1"/>
    <m/>
    <x v="3"/>
  </r>
  <r>
    <n v="2550736"/>
    <d v="2020-09-16T00:00:00"/>
    <x v="24"/>
    <x v="0"/>
    <x v="37"/>
    <n v="1"/>
    <x v="0"/>
    <x v="67"/>
    <x v="0"/>
    <m/>
    <x v="1"/>
    <m/>
    <x v="0"/>
  </r>
  <r>
    <n v="2551316"/>
    <d v="2020-09-11T00:00:00"/>
    <x v="5"/>
    <x v="0"/>
    <x v="11"/>
    <n v="14"/>
    <x v="0"/>
    <x v="35"/>
    <x v="0"/>
    <m/>
    <x v="1"/>
    <m/>
    <x v="0"/>
  </r>
  <r>
    <n v="2556356"/>
    <d v="2020-09-11T00:00:00"/>
    <x v="142"/>
    <x v="0"/>
    <x v="60"/>
    <n v="11"/>
    <x v="1"/>
    <x v="73"/>
    <x v="0"/>
    <m/>
    <x v="1"/>
    <m/>
    <x v="1"/>
  </r>
  <r>
    <n v="2559176"/>
    <d v="2020-09-07T00:00:00"/>
    <x v="38"/>
    <x v="1"/>
    <x v="9"/>
    <m/>
    <x v="1"/>
    <x v="41"/>
    <x v="0"/>
    <m/>
    <x v="1"/>
    <m/>
    <x v="0"/>
  </r>
  <r>
    <n v="1573576"/>
    <d v="2020-07-30T00:00:00"/>
    <x v="146"/>
    <x v="1"/>
    <x v="61"/>
    <m/>
    <x v="1"/>
    <x v="76"/>
    <x v="0"/>
    <m/>
    <x v="1"/>
    <m/>
    <x v="0"/>
  </r>
  <r>
    <n v="2097399"/>
    <d v="2020-09-01T00:00:00"/>
    <x v="44"/>
    <x v="0"/>
    <x v="3"/>
    <n v="13"/>
    <x v="1"/>
    <x v="44"/>
    <x v="0"/>
    <m/>
    <x v="1"/>
    <m/>
    <x v="0"/>
  </r>
  <r>
    <n v="2341607"/>
    <d v="2020-09-17T00:00:00"/>
    <x v="108"/>
    <x v="0"/>
    <x v="34"/>
    <n v="13"/>
    <x v="0"/>
    <x v="31"/>
    <x v="0"/>
    <m/>
    <x v="1"/>
    <m/>
    <x v="4"/>
  </r>
  <r>
    <n v="2346156"/>
    <d v="2020-09-13T00:00:00"/>
    <x v="172"/>
    <x v="0"/>
    <x v="26"/>
    <n v="11"/>
    <x v="0"/>
    <x v="69"/>
    <x v="0"/>
    <m/>
    <x v="1"/>
    <m/>
    <x v="0"/>
  </r>
  <r>
    <n v="2399690"/>
    <d v="2020-09-23T00:00:00"/>
    <x v="49"/>
    <x v="0"/>
    <x v="34"/>
    <n v="13"/>
    <x v="0"/>
    <x v="46"/>
    <x v="0"/>
    <m/>
    <x v="1"/>
    <m/>
    <x v="0"/>
  </r>
  <r>
    <n v="2418077"/>
    <d v="2020-09-15T00:00:00"/>
    <x v="210"/>
    <x v="1"/>
    <x v="92"/>
    <m/>
    <x v="1"/>
    <x v="31"/>
    <x v="0"/>
    <m/>
    <x v="1"/>
    <m/>
    <x v="1"/>
  </r>
  <r>
    <n v="2488031"/>
    <d v="2020-09-14T00:00:00"/>
    <x v="41"/>
    <x v="1"/>
    <x v="62"/>
    <m/>
    <x v="1"/>
    <x v="98"/>
    <x v="0"/>
    <m/>
    <x v="1"/>
    <m/>
    <x v="0"/>
  </r>
  <r>
    <n v="2499313"/>
    <d v="2020-09-09T00:00:00"/>
    <x v="102"/>
    <x v="1"/>
    <x v="12"/>
    <m/>
    <x v="0"/>
    <x v="56"/>
    <x v="0"/>
    <m/>
    <x v="1"/>
    <m/>
    <x v="1"/>
  </r>
  <r>
    <n v="2552851"/>
    <d v="2020-09-14T00:00:00"/>
    <x v="41"/>
    <x v="0"/>
    <x v="35"/>
    <n v="9"/>
    <x v="1"/>
    <x v="80"/>
    <x v="0"/>
    <m/>
    <x v="1"/>
    <m/>
    <x v="0"/>
  </r>
  <r>
    <n v="2555339"/>
    <d v="2020-09-11T00:00:00"/>
    <x v="5"/>
    <x v="1"/>
    <x v="12"/>
    <m/>
    <x v="1"/>
    <x v="4"/>
    <x v="0"/>
    <m/>
    <x v="1"/>
    <m/>
    <x v="3"/>
  </r>
  <r>
    <n v="2555521"/>
    <d v="2020-09-15T00:00:00"/>
    <x v="24"/>
    <x v="0"/>
    <x v="11"/>
    <n v="14"/>
    <x v="0"/>
    <x v="16"/>
    <x v="0"/>
    <m/>
    <x v="1"/>
    <m/>
    <x v="0"/>
  </r>
  <r>
    <n v="2556456"/>
    <d v="2020-09-11T00:00:00"/>
    <x v="5"/>
    <x v="0"/>
    <x v="6"/>
    <n v="5"/>
    <x v="0"/>
    <x v="2"/>
    <x v="0"/>
    <m/>
    <x v="1"/>
    <m/>
    <x v="1"/>
  </r>
  <r>
    <n v="2557819"/>
    <d v="2020-09-11T00:00:00"/>
    <x v="142"/>
    <x v="0"/>
    <x v="43"/>
    <n v="11"/>
    <x v="0"/>
    <x v="69"/>
    <x v="0"/>
    <m/>
    <x v="1"/>
    <m/>
    <x v="1"/>
  </r>
  <r>
    <n v="2581398"/>
    <d v="2020-09-13T00:00:00"/>
    <x v="172"/>
    <x v="0"/>
    <x v="41"/>
    <n v="1"/>
    <x v="0"/>
    <x v="83"/>
    <x v="0"/>
    <m/>
    <x v="1"/>
    <m/>
    <x v="3"/>
  </r>
  <r>
    <n v="2583496"/>
    <d v="2020-09-13T00:00:00"/>
    <x v="172"/>
    <x v="1"/>
    <x v="5"/>
    <m/>
    <x v="0"/>
    <x v="56"/>
    <x v="0"/>
    <m/>
    <x v="1"/>
    <m/>
    <x v="1"/>
  </r>
  <r>
    <n v="2586855"/>
    <d v="2020-09-13T00:00:00"/>
    <x v="41"/>
    <x v="0"/>
    <x v="2"/>
    <n v="3"/>
    <x v="0"/>
    <x v="50"/>
    <x v="0"/>
    <m/>
    <x v="1"/>
    <m/>
    <x v="3"/>
  </r>
  <r>
    <n v="2595733"/>
    <d v="2020-09-13T00:00:00"/>
    <x v="172"/>
    <x v="0"/>
    <x v="26"/>
    <n v="11"/>
    <x v="0"/>
    <x v="95"/>
    <x v="0"/>
    <m/>
    <x v="1"/>
    <m/>
    <x v="0"/>
  </r>
  <r>
    <n v="2606772"/>
    <d v="2020-09-14T00:00:00"/>
    <x v="41"/>
    <x v="0"/>
    <x v="11"/>
    <n v="14"/>
    <x v="0"/>
    <x v="18"/>
    <x v="0"/>
    <m/>
    <x v="1"/>
    <m/>
    <x v="1"/>
  </r>
  <r>
    <n v="2606919"/>
    <d v="2020-09-14T00:00:00"/>
    <x v="41"/>
    <x v="0"/>
    <x v="39"/>
    <n v="12"/>
    <x v="1"/>
    <x v="70"/>
    <x v="0"/>
    <m/>
    <x v="1"/>
    <m/>
    <x v="3"/>
  </r>
  <r>
    <n v="2611504"/>
    <d v="2020-09-14T00:00:00"/>
    <x v="41"/>
    <x v="1"/>
    <x v="9"/>
    <m/>
    <x v="0"/>
    <x v="83"/>
    <x v="0"/>
    <m/>
    <x v="1"/>
    <m/>
    <x v="4"/>
  </r>
  <r>
    <n v="2612426"/>
    <d v="2020-09-14T00:00:00"/>
    <x v="41"/>
    <x v="0"/>
    <x v="39"/>
    <n v="12"/>
    <x v="1"/>
    <x v="54"/>
    <x v="0"/>
    <m/>
    <x v="1"/>
    <m/>
    <x v="3"/>
  </r>
  <r>
    <n v="2612489"/>
    <d v="2020-09-14T00:00:00"/>
    <x v="41"/>
    <x v="0"/>
    <x v="15"/>
    <n v="1"/>
    <x v="1"/>
    <x v="73"/>
    <x v="0"/>
    <m/>
    <x v="1"/>
    <m/>
    <x v="1"/>
  </r>
  <r>
    <n v="2612599"/>
    <d v="2020-09-14T00:00:00"/>
    <x v="41"/>
    <x v="0"/>
    <x v="43"/>
    <n v="11"/>
    <x v="1"/>
    <x v="81"/>
    <x v="0"/>
    <m/>
    <x v="1"/>
    <m/>
    <x v="0"/>
  </r>
  <r>
    <n v="2612618"/>
    <d v="2020-09-14T00:00:00"/>
    <x v="41"/>
    <x v="0"/>
    <x v="42"/>
    <n v="4"/>
    <x v="0"/>
    <x v="26"/>
    <x v="0"/>
    <m/>
    <x v="1"/>
    <m/>
    <x v="1"/>
  </r>
  <r>
    <n v="2613036"/>
    <d v="2020-09-14T00:00:00"/>
    <x v="41"/>
    <x v="0"/>
    <x v="6"/>
    <n v="5"/>
    <x v="1"/>
    <x v="77"/>
    <x v="0"/>
    <m/>
    <x v="1"/>
    <m/>
    <x v="3"/>
  </r>
  <r>
    <n v="2613960"/>
    <d v="2020-09-14T00:00:00"/>
    <x v="41"/>
    <x v="0"/>
    <x v="40"/>
    <n v="8"/>
    <x v="0"/>
    <x v="71"/>
    <x v="0"/>
    <m/>
    <x v="1"/>
    <m/>
    <x v="0"/>
  </r>
  <r>
    <n v="2618611"/>
    <d v="2020-09-14T00:00:00"/>
    <x v="210"/>
    <x v="0"/>
    <x v="3"/>
    <n v="13"/>
    <x v="1"/>
    <x v="19"/>
    <x v="0"/>
    <m/>
    <x v="1"/>
    <m/>
    <x v="0"/>
  </r>
  <r>
    <n v="2618925"/>
    <d v="2020-09-15T00:00:00"/>
    <x v="210"/>
    <x v="0"/>
    <x v="46"/>
    <n v="4"/>
    <x v="1"/>
    <x v="70"/>
    <x v="0"/>
    <m/>
    <x v="1"/>
    <m/>
    <x v="0"/>
  </r>
  <r>
    <n v="2619059"/>
    <d v="2020-09-15T00:00:00"/>
    <x v="210"/>
    <x v="0"/>
    <x v="25"/>
    <n v="4"/>
    <x v="1"/>
    <x v="32"/>
    <x v="0"/>
    <m/>
    <x v="1"/>
    <m/>
    <x v="0"/>
  </r>
  <r>
    <n v="2619081"/>
    <d v="2020-09-15T00:00:00"/>
    <x v="210"/>
    <x v="0"/>
    <x v="46"/>
    <n v="4"/>
    <x v="0"/>
    <x v="60"/>
    <x v="0"/>
    <m/>
    <x v="1"/>
    <m/>
    <x v="1"/>
  </r>
  <r>
    <n v="2619083"/>
    <d v="2020-09-15T00:00:00"/>
    <x v="210"/>
    <x v="0"/>
    <x v="46"/>
    <n v="4"/>
    <x v="0"/>
    <x v="82"/>
    <x v="0"/>
    <m/>
    <x v="1"/>
    <m/>
    <x v="1"/>
  </r>
  <r>
    <n v="2619136"/>
    <d v="2020-09-15T00:00:00"/>
    <x v="210"/>
    <x v="1"/>
    <x v="12"/>
    <m/>
    <x v="1"/>
    <x v="92"/>
    <x v="0"/>
    <m/>
    <x v="1"/>
    <m/>
    <x v="1"/>
  </r>
  <r>
    <n v="2669808"/>
    <d v="2020-09-15T00:00:00"/>
    <x v="24"/>
    <x v="0"/>
    <x v="23"/>
    <n v="9"/>
    <x v="0"/>
    <x v="67"/>
    <x v="0"/>
    <m/>
    <x v="1"/>
    <m/>
    <x v="0"/>
  </r>
  <r>
    <n v="2669809"/>
    <d v="2020-09-16T00:00:00"/>
    <x v="24"/>
    <x v="0"/>
    <x v="15"/>
    <n v="1"/>
    <x v="0"/>
    <x v="0"/>
    <x v="0"/>
    <m/>
    <x v="1"/>
    <m/>
    <x v="0"/>
  </r>
  <r>
    <n v="2669837"/>
    <d v="2020-09-16T00:00:00"/>
    <x v="24"/>
    <x v="1"/>
    <x v="61"/>
    <m/>
    <x v="1"/>
    <x v="55"/>
    <x v="0"/>
    <m/>
    <x v="1"/>
    <m/>
    <x v="0"/>
  </r>
  <r>
    <n v="2669845"/>
    <d v="2020-09-15T00:00:00"/>
    <x v="24"/>
    <x v="0"/>
    <x v="23"/>
    <n v="9"/>
    <x v="1"/>
    <x v="82"/>
    <x v="0"/>
    <m/>
    <x v="1"/>
    <m/>
    <x v="0"/>
  </r>
  <r>
    <n v="2669913"/>
    <d v="2020-09-16T00:00:00"/>
    <x v="24"/>
    <x v="0"/>
    <x v="7"/>
    <n v="6"/>
    <x v="0"/>
    <x v="77"/>
    <x v="0"/>
    <m/>
    <x v="1"/>
    <m/>
    <x v="0"/>
  </r>
  <r>
    <n v="2669956"/>
    <d v="2020-09-15T00:00:00"/>
    <x v="24"/>
    <x v="0"/>
    <x v="23"/>
    <n v="9"/>
    <x v="1"/>
    <x v="95"/>
    <x v="0"/>
    <m/>
    <x v="1"/>
    <m/>
    <x v="0"/>
  </r>
  <r>
    <n v="2669959"/>
    <d v="2020-09-16T00:00:00"/>
    <x v="24"/>
    <x v="1"/>
    <x v="92"/>
    <m/>
    <x v="0"/>
    <x v="32"/>
    <x v="0"/>
    <m/>
    <x v="1"/>
    <m/>
    <x v="1"/>
  </r>
  <r>
    <n v="2670007"/>
    <d v="2020-09-16T00:00:00"/>
    <x v="24"/>
    <x v="1"/>
    <x v="62"/>
    <m/>
    <x v="0"/>
    <x v="43"/>
    <x v="0"/>
    <m/>
    <x v="1"/>
    <m/>
    <x v="3"/>
  </r>
  <r>
    <n v="2670015"/>
    <d v="2020-09-16T00:00:00"/>
    <x v="24"/>
    <x v="1"/>
    <x v="9"/>
    <m/>
    <x v="1"/>
    <x v="55"/>
    <x v="0"/>
    <m/>
    <x v="1"/>
    <m/>
    <x v="1"/>
  </r>
  <r>
    <n v="2670016"/>
    <d v="2020-09-15T00:00:00"/>
    <x v="24"/>
    <x v="0"/>
    <x v="23"/>
    <n v="9"/>
    <x v="1"/>
    <x v="55"/>
    <x v="0"/>
    <m/>
    <x v="1"/>
    <m/>
    <x v="0"/>
  </r>
  <r>
    <n v="2670021"/>
    <d v="2020-09-16T00:00:00"/>
    <x v="24"/>
    <x v="1"/>
    <x v="61"/>
    <m/>
    <x v="0"/>
    <x v="55"/>
    <x v="0"/>
    <m/>
    <x v="1"/>
    <m/>
    <x v="1"/>
  </r>
  <r>
    <n v="2670063"/>
    <d v="2020-09-16T00:00:00"/>
    <x v="24"/>
    <x v="1"/>
    <x v="9"/>
    <m/>
    <x v="1"/>
    <x v="71"/>
    <x v="0"/>
    <m/>
    <x v="1"/>
    <m/>
    <x v="3"/>
  </r>
  <r>
    <n v="2670246"/>
    <d v="2020-09-16T00:00:00"/>
    <x v="24"/>
    <x v="1"/>
    <x v="12"/>
    <m/>
    <x v="1"/>
    <x v="67"/>
    <x v="0"/>
    <m/>
    <x v="1"/>
    <m/>
    <x v="0"/>
  </r>
  <r>
    <n v="2670267"/>
    <d v="2020-09-16T00:00:00"/>
    <x v="24"/>
    <x v="0"/>
    <x v="10"/>
    <n v="2"/>
    <x v="1"/>
    <x v="73"/>
    <x v="0"/>
    <m/>
    <x v="1"/>
    <m/>
    <x v="1"/>
  </r>
  <r>
    <n v="2670269"/>
    <d v="2020-09-16T00:00:00"/>
    <x v="24"/>
    <x v="1"/>
    <x v="92"/>
    <m/>
    <x v="0"/>
    <x v="63"/>
    <x v="0"/>
    <m/>
    <x v="1"/>
    <m/>
    <x v="1"/>
  </r>
  <r>
    <n v="2670364"/>
    <d v="2020-09-16T00:00:00"/>
    <x v="24"/>
    <x v="0"/>
    <x v="10"/>
    <n v="2"/>
    <x v="0"/>
    <x v="87"/>
    <x v="0"/>
    <m/>
    <x v="1"/>
    <m/>
    <x v="4"/>
  </r>
  <r>
    <n v="2670604"/>
    <d v="2020-09-17T00:00:00"/>
    <x v="108"/>
    <x v="0"/>
    <x v="11"/>
    <n v="14"/>
    <x v="0"/>
    <x v="73"/>
    <x v="0"/>
    <m/>
    <x v="1"/>
    <m/>
    <x v="0"/>
  </r>
  <r>
    <n v="2670700"/>
    <d v="2020-09-16T00:00:00"/>
    <x v="24"/>
    <x v="1"/>
    <x v="12"/>
    <m/>
    <x v="0"/>
    <x v="92"/>
    <x v="0"/>
    <m/>
    <x v="1"/>
    <m/>
    <x v="4"/>
  </r>
  <r>
    <n v="2670847"/>
    <d v="2020-09-16T00:00:00"/>
    <x v="24"/>
    <x v="1"/>
    <x v="9"/>
    <m/>
    <x v="1"/>
    <x v="72"/>
    <x v="0"/>
    <m/>
    <x v="1"/>
    <m/>
    <x v="0"/>
  </r>
  <r>
    <n v="2670936"/>
    <d v="2020-09-16T00:00:00"/>
    <x v="24"/>
    <x v="1"/>
    <x v="12"/>
    <m/>
    <x v="1"/>
    <x v="87"/>
    <x v="0"/>
    <m/>
    <x v="1"/>
    <m/>
    <x v="0"/>
  </r>
  <r>
    <n v="2671778"/>
    <d v="2020-09-16T00:00:00"/>
    <x v="24"/>
    <x v="1"/>
    <x v="92"/>
    <m/>
    <x v="1"/>
    <x v="92"/>
    <x v="0"/>
    <m/>
    <x v="1"/>
    <m/>
    <x v="0"/>
  </r>
  <r>
    <n v="2671811"/>
    <d v="2020-09-16T00:00:00"/>
    <x v="108"/>
    <x v="0"/>
    <x v="11"/>
    <n v="14"/>
    <x v="1"/>
    <x v="35"/>
    <x v="0"/>
    <m/>
    <x v="1"/>
    <m/>
    <x v="1"/>
  </r>
  <r>
    <n v="2671962"/>
    <d v="2020-09-16T00:00:00"/>
    <x v="24"/>
    <x v="1"/>
    <x v="5"/>
    <m/>
    <x v="1"/>
    <x v="43"/>
    <x v="0"/>
    <m/>
    <x v="1"/>
    <m/>
    <x v="1"/>
  </r>
  <r>
    <n v="2672086"/>
    <d v="2020-09-16T00:00:00"/>
    <x v="24"/>
    <x v="0"/>
    <x v="17"/>
    <n v="8"/>
    <x v="1"/>
    <x v="91"/>
    <x v="0"/>
    <m/>
    <x v="1"/>
    <m/>
    <x v="0"/>
  </r>
  <r>
    <n v="2674431"/>
    <d v="2020-09-16T00:00:00"/>
    <x v="24"/>
    <x v="0"/>
    <x v="31"/>
    <n v="10"/>
    <x v="1"/>
    <x v="24"/>
    <x v="0"/>
    <m/>
    <x v="1"/>
    <m/>
    <x v="0"/>
  </r>
  <r>
    <n v="2676477"/>
    <d v="2020-09-16T00:00:00"/>
    <x v="24"/>
    <x v="1"/>
    <x v="61"/>
    <m/>
    <x v="0"/>
    <x v="55"/>
    <x v="0"/>
    <m/>
    <x v="1"/>
    <m/>
    <x v="0"/>
  </r>
  <r>
    <n v="2678601"/>
    <d v="2020-09-16T00:00:00"/>
    <x v="108"/>
    <x v="0"/>
    <x v="40"/>
    <n v="8"/>
    <x v="1"/>
    <x v="57"/>
    <x v="0"/>
    <m/>
    <x v="1"/>
    <m/>
    <x v="0"/>
  </r>
  <r>
    <n v="2682378"/>
    <d v="2020-09-15T00:00:00"/>
    <x v="210"/>
    <x v="0"/>
    <x v="2"/>
    <n v="3"/>
    <x v="0"/>
    <x v="21"/>
    <x v="0"/>
    <m/>
    <x v="1"/>
    <m/>
    <x v="0"/>
  </r>
  <r>
    <n v="2682920"/>
    <d v="2020-09-16T00:00:00"/>
    <x v="159"/>
    <x v="1"/>
    <x v="12"/>
    <m/>
    <x v="0"/>
    <x v="37"/>
    <x v="0"/>
    <m/>
    <x v="1"/>
    <m/>
    <x v="0"/>
  </r>
  <r>
    <n v="2684321"/>
    <d v="2020-09-17T00:00:00"/>
    <x v="108"/>
    <x v="1"/>
    <x v="92"/>
    <m/>
    <x v="1"/>
    <x v="25"/>
    <x v="0"/>
    <m/>
    <x v="1"/>
    <m/>
    <x v="0"/>
  </r>
  <r>
    <n v="2688199"/>
    <d v="2020-09-16T00:00:00"/>
    <x v="24"/>
    <x v="0"/>
    <x v="0"/>
    <n v="15"/>
    <x v="0"/>
    <x v="80"/>
    <x v="0"/>
    <m/>
    <x v="1"/>
    <m/>
    <x v="0"/>
  </r>
  <r>
    <n v="2688259"/>
    <d v="2020-09-17T00:00:00"/>
    <x v="108"/>
    <x v="1"/>
    <x v="62"/>
    <m/>
    <x v="1"/>
    <x v="45"/>
    <x v="0"/>
    <m/>
    <x v="1"/>
    <m/>
    <x v="3"/>
  </r>
  <r>
    <n v="2690141"/>
    <d v="2020-09-17T00:00:00"/>
    <x v="108"/>
    <x v="0"/>
    <x v="2"/>
    <n v="3"/>
    <x v="1"/>
    <x v="55"/>
    <x v="0"/>
    <m/>
    <x v="1"/>
    <m/>
    <x v="1"/>
  </r>
  <r>
    <n v="2691834"/>
    <d v="2020-09-16T00:00:00"/>
    <x v="24"/>
    <x v="0"/>
    <x v="42"/>
    <n v="4"/>
    <x v="0"/>
    <x v="43"/>
    <x v="0"/>
    <m/>
    <x v="1"/>
    <m/>
    <x v="0"/>
  </r>
  <r>
    <n v="2693079"/>
    <d v="2020-09-16T00:00:00"/>
    <x v="24"/>
    <x v="1"/>
    <x v="12"/>
    <m/>
    <x v="1"/>
    <x v="77"/>
    <x v="0"/>
    <m/>
    <x v="1"/>
    <m/>
    <x v="0"/>
  </r>
  <r>
    <n v="2082834"/>
    <d v="2020-08-24T00:00:00"/>
    <x v="131"/>
    <x v="0"/>
    <x v="37"/>
    <n v="1"/>
    <x v="1"/>
    <x v="3"/>
    <x v="0"/>
    <m/>
    <x v="1"/>
    <m/>
    <x v="0"/>
  </r>
  <r>
    <n v="2109881"/>
    <d v="2020-08-25T00:00:00"/>
    <x v="131"/>
    <x v="1"/>
    <x v="61"/>
    <m/>
    <x v="0"/>
    <x v="12"/>
    <x v="0"/>
    <m/>
    <x v="1"/>
    <m/>
    <x v="3"/>
  </r>
  <r>
    <n v="2251710"/>
    <d v="2020-08-31T00:00:00"/>
    <x v="58"/>
    <x v="0"/>
    <x v="36"/>
    <n v="3"/>
    <x v="0"/>
    <x v="52"/>
    <x v="0"/>
    <m/>
    <x v="1"/>
    <m/>
    <x v="4"/>
  </r>
  <r>
    <n v="2258312"/>
    <d v="2020-09-01T00:00:00"/>
    <x v="58"/>
    <x v="1"/>
    <x v="9"/>
    <m/>
    <x v="1"/>
    <x v="72"/>
    <x v="0"/>
    <m/>
    <x v="1"/>
    <m/>
    <x v="0"/>
  </r>
  <r>
    <n v="2266814"/>
    <d v="2020-09-01T00:00:00"/>
    <x v="58"/>
    <x v="0"/>
    <x v="36"/>
    <n v="3"/>
    <x v="0"/>
    <x v="7"/>
    <x v="0"/>
    <m/>
    <x v="1"/>
    <m/>
    <x v="3"/>
  </r>
  <r>
    <n v="2272061"/>
    <d v="2020-08-31T00:00:00"/>
    <x v="58"/>
    <x v="1"/>
    <x v="92"/>
    <m/>
    <x v="0"/>
    <x v="24"/>
    <x v="0"/>
    <m/>
    <x v="1"/>
    <m/>
    <x v="0"/>
  </r>
  <r>
    <n v="2285562"/>
    <d v="2020-09-02T00:00:00"/>
    <x v="128"/>
    <x v="1"/>
    <x v="61"/>
    <m/>
    <x v="0"/>
    <x v="71"/>
    <x v="0"/>
    <m/>
    <x v="1"/>
    <m/>
    <x v="0"/>
  </r>
  <r>
    <n v="2311842"/>
    <d v="2020-09-01T00:00:00"/>
    <x v="58"/>
    <x v="0"/>
    <x v="41"/>
    <n v="1"/>
    <x v="1"/>
    <x v="50"/>
    <x v="0"/>
    <m/>
    <x v="1"/>
    <m/>
    <x v="0"/>
  </r>
  <r>
    <n v="2337133"/>
    <d v="2020-09-03T00:00:00"/>
    <x v="128"/>
    <x v="0"/>
    <x v="23"/>
    <n v="9"/>
    <x v="1"/>
    <x v="71"/>
    <x v="0"/>
    <m/>
    <x v="1"/>
    <m/>
    <x v="3"/>
  </r>
  <r>
    <n v="2348360"/>
    <d v="2020-09-13T00:00:00"/>
    <x v="172"/>
    <x v="1"/>
    <x v="5"/>
    <m/>
    <x v="0"/>
    <x v="76"/>
    <x v="0"/>
    <m/>
    <x v="1"/>
    <m/>
    <x v="4"/>
  </r>
  <r>
    <n v="2368958"/>
    <d v="2020-09-04T00:00:00"/>
    <x v="33"/>
    <x v="1"/>
    <x v="9"/>
    <m/>
    <x v="0"/>
    <x v="22"/>
    <x v="0"/>
    <m/>
    <x v="1"/>
    <m/>
    <x v="1"/>
  </r>
  <r>
    <n v="2369026"/>
    <d v="2020-09-05T00:00:00"/>
    <x v="33"/>
    <x v="1"/>
    <x v="92"/>
    <m/>
    <x v="0"/>
    <x v="69"/>
    <x v="0"/>
    <m/>
    <x v="1"/>
    <m/>
    <x v="0"/>
  </r>
  <r>
    <n v="2381899"/>
    <d v="2020-09-05T00:00:00"/>
    <x v="1"/>
    <x v="1"/>
    <x v="9"/>
    <m/>
    <x v="1"/>
    <x v="5"/>
    <x v="0"/>
    <m/>
    <x v="1"/>
    <m/>
    <x v="1"/>
  </r>
  <r>
    <n v="2384813"/>
    <d v="2020-09-05T00:00:00"/>
    <x v="1"/>
    <x v="1"/>
    <x v="9"/>
    <m/>
    <x v="1"/>
    <x v="19"/>
    <x v="0"/>
    <m/>
    <x v="1"/>
    <m/>
    <x v="0"/>
  </r>
  <r>
    <n v="2388151"/>
    <d v="2020-09-05T00:00:00"/>
    <x v="33"/>
    <x v="1"/>
    <x v="62"/>
    <m/>
    <x v="1"/>
    <x v="18"/>
    <x v="0"/>
    <m/>
    <x v="1"/>
    <m/>
    <x v="3"/>
  </r>
  <r>
    <n v="2398274"/>
    <d v="2020-09-06T00:00:00"/>
    <x v="38"/>
    <x v="1"/>
    <x v="12"/>
    <m/>
    <x v="0"/>
    <x v="9"/>
    <x v="0"/>
    <m/>
    <x v="1"/>
    <m/>
    <x v="1"/>
  </r>
  <r>
    <n v="2404264"/>
    <d v="2020-09-05T00:00:00"/>
    <x v="89"/>
    <x v="0"/>
    <x v="38"/>
    <n v="13"/>
    <x v="1"/>
    <x v="59"/>
    <x v="0"/>
    <m/>
    <x v="1"/>
    <m/>
    <x v="1"/>
  </r>
  <r>
    <n v="2406134"/>
    <d v="2020-09-07T00:00:00"/>
    <x v="38"/>
    <x v="0"/>
    <x v="4"/>
    <n v="7"/>
    <x v="1"/>
    <x v="46"/>
    <x v="0"/>
    <m/>
    <x v="1"/>
    <m/>
    <x v="0"/>
  </r>
  <r>
    <n v="2418052"/>
    <d v="2020-09-07T00:00:00"/>
    <x v="38"/>
    <x v="1"/>
    <x v="12"/>
    <m/>
    <x v="0"/>
    <x v="81"/>
    <x v="0"/>
    <m/>
    <x v="1"/>
    <m/>
    <x v="1"/>
  </r>
  <r>
    <n v="2421359"/>
    <d v="2020-09-07T00:00:00"/>
    <x v="89"/>
    <x v="1"/>
    <x v="61"/>
    <m/>
    <x v="1"/>
    <x v="92"/>
    <x v="0"/>
    <m/>
    <x v="1"/>
    <m/>
    <x v="0"/>
  </r>
  <r>
    <n v="2428600"/>
    <d v="2020-09-07T00:00:00"/>
    <x v="89"/>
    <x v="1"/>
    <x v="5"/>
    <m/>
    <x v="1"/>
    <x v="63"/>
    <x v="0"/>
    <m/>
    <x v="1"/>
    <m/>
    <x v="0"/>
  </r>
  <r>
    <n v="2428741"/>
    <d v="2020-09-04T00:00:00"/>
    <x v="33"/>
    <x v="0"/>
    <x v="15"/>
    <n v="1"/>
    <x v="1"/>
    <x v="39"/>
    <x v="0"/>
    <m/>
    <x v="1"/>
    <m/>
    <x v="0"/>
  </r>
  <r>
    <n v="2437698"/>
    <d v="2020-09-05T00:00:00"/>
    <x v="1"/>
    <x v="1"/>
    <x v="61"/>
    <m/>
    <x v="1"/>
    <x v="65"/>
    <x v="0"/>
    <m/>
    <x v="1"/>
    <m/>
    <x v="0"/>
  </r>
  <r>
    <n v="2439585"/>
    <d v="2020-09-07T00:00:00"/>
    <x v="38"/>
    <x v="0"/>
    <x v="4"/>
    <n v="7"/>
    <x v="0"/>
    <x v="52"/>
    <x v="0"/>
    <m/>
    <x v="1"/>
    <m/>
    <x v="0"/>
  </r>
  <r>
    <n v="2440165"/>
    <d v="2020-09-07T00:00:00"/>
    <x v="89"/>
    <x v="0"/>
    <x v="11"/>
    <n v="14"/>
    <x v="0"/>
    <x v="13"/>
    <x v="0"/>
    <m/>
    <x v="1"/>
    <m/>
    <x v="3"/>
  </r>
  <r>
    <n v="2461073"/>
    <d v="2020-09-08T00:00:00"/>
    <x v="89"/>
    <x v="1"/>
    <x v="9"/>
    <m/>
    <x v="0"/>
    <x v="55"/>
    <x v="0"/>
    <m/>
    <x v="1"/>
    <m/>
    <x v="0"/>
  </r>
  <r>
    <n v="2461536"/>
    <d v="2020-09-08T00:00:00"/>
    <x v="89"/>
    <x v="1"/>
    <x v="9"/>
    <m/>
    <x v="1"/>
    <x v="0"/>
    <x v="0"/>
    <m/>
    <x v="1"/>
    <m/>
    <x v="1"/>
  </r>
  <r>
    <n v="2462361"/>
    <d v="2020-09-27T00:00:00"/>
    <x v="46"/>
    <x v="0"/>
    <x v="26"/>
    <n v="11"/>
    <x v="1"/>
    <x v="23"/>
    <x v="0"/>
    <m/>
    <x v="1"/>
    <m/>
    <x v="0"/>
  </r>
  <r>
    <n v="2464335"/>
    <d v="2020-09-08T00:00:00"/>
    <x v="7"/>
    <x v="1"/>
    <x v="62"/>
    <m/>
    <x v="1"/>
    <x v="18"/>
    <x v="0"/>
    <m/>
    <x v="1"/>
    <m/>
    <x v="3"/>
  </r>
  <r>
    <n v="2466875"/>
    <d v="2020-09-08T00:00:00"/>
    <x v="7"/>
    <x v="1"/>
    <x v="61"/>
    <m/>
    <x v="1"/>
    <x v="67"/>
    <x v="0"/>
    <m/>
    <x v="1"/>
    <m/>
    <x v="3"/>
  </r>
  <r>
    <n v="2467289"/>
    <d v="2020-09-08T00:00:00"/>
    <x v="102"/>
    <x v="0"/>
    <x v="11"/>
    <n v="14"/>
    <x v="1"/>
    <x v="31"/>
    <x v="0"/>
    <m/>
    <x v="1"/>
    <m/>
    <x v="0"/>
  </r>
  <r>
    <n v="2471658"/>
    <d v="2020-09-04T00:00:00"/>
    <x v="33"/>
    <x v="1"/>
    <x v="29"/>
    <m/>
    <x v="1"/>
    <x v="48"/>
    <x v="0"/>
    <m/>
    <x v="1"/>
    <m/>
    <x v="0"/>
  </r>
  <r>
    <n v="2472942"/>
    <d v="2020-09-08T00:00:00"/>
    <x v="102"/>
    <x v="0"/>
    <x v="31"/>
    <n v="10"/>
    <x v="0"/>
    <x v="39"/>
    <x v="0"/>
    <m/>
    <x v="1"/>
    <m/>
    <x v="4"/>
  </r>
  <r>
    <n v="2476440"/>
    <d v="2020-09-09T00:00:00"/>
    <x v="7"/>
    <x v="0"/>
    <x v="42"/>
    <n v="4"/>
    <x v="1"/>
    <x v="12"/>
    <x v="0"/>
    <m/>
    <x v="1"/>
    <m/>
    <x v="0"/>
  </r>
  <r>
    <n v="2480158"/>
    <d v="2020-09-08T00:00:00"/>
    <x v="89"/>
    <x v="0"/>
    <x v="15"/>
    <n v="1"/>
    <x v="1"/>
    <x v="26"/>
    <x v="0"/>
    <m/>
    <x v="1"/>
    <m/>
    <x v="4"/>
  </r>
  <r>
    <n v="2482853"/>
    <d v="2020-09-09T00:00:00"/>
    <x v="7"/>
    <x v="0"/>
    <x v="42"/>
    <n v="4"/>
    <x v="0"/>
    <x v="76"/>
    <x v="0"/>
    <m/>
    <x v="1"/>
    <m/>
    <x v="0"/>
  </r>
  <r>
    <n v="2483121"/>
    <d v="2020-09-09T00:00:00"/>
    <x v="7"/>
    <x v="0"/>
    <x v="2"/>
    <n v="3"/>
    <x v="0"/>
    <x v="81"/>
    <x v="0"/>
    <m/>
    <x v="1"/>
    <m/>
    <x v="1"/>
  </r>
  <r>
    <n v="2483632"/>
    <d v="2020-09-09T00:00:00"/>
    <x v="102"/>
    <x v="0"/>
    <x v="2"/>
    <n v="3"/>
    <x v="1"/>
    <x v="5"/>
    <x v="0"/>
    <m/>
    <x v="1"/>
    <m/>
    <x v="0"/>
  </r>
  <r>
    <n v="2483699"/>
    <d v="2020-09-09T00:00:00"/>
    <x v="7"/>
    <x v="0"/>
    <x v="6"/>
    <n v="5"/>
    <x v="0"/>
    <x v="43"/>
    <x v="0"/>
    <m/>
    <x v="1"/>
    <m/>
    <x v="0"/>
  </r>
  <r>
    <n v="2484070"/>
    <d v="2020-09-09T00:00:00"/>
    <x v="7"/>
    <x v="0"/>
    <x v="17"/>
    <n v="8"/>
    <x v="1"/>
    <x v="72"/>
    <x v="0"/>
    <m/>
    <x v="1"/>
    <m/>
    <x v="0"/>
  </r>
  <r>
    <n v="2484243"/>
    <d v="2020-09-09T00:00:00"/>
    <x v="7"/>
    <x v="0"/>
    <x v="17"/>
    <n v="8"/>
    <x v="0"/>
    <x v="95"/>
    <x v="0"/>
    <m/>
    <x v="1"/>
    <m/>
    <x v="0"/>
  </r>
  <r>
    <n v="2484330"/>
    <d v="2020-09-09T00:00:00"/>
    <x v="7"/>
    <x v="0"/>
    <x v="2"/>
    <n v="3"/>
    <x v="0"/>
    <x v="92"/>
    <x v="0"/>
    <m/>
    <x v="1"/>
    <m/>
    <x v="0"/>
  </r>
  <r>
    <n v="2484411"/>
    <d v="2020-09-09T00:00:00"/>
    <x v="7"/>
    <x v="0"/>
    <x v="4"/>
    <n v="7"/>
    <x v="0"/>
    <x v="81"/>
    <x v="0"/>
    <m/>
    <x v="1"/>
    <m/>
    <x v="0"/>
  </r>
  <r>
    <n v="2484519"/>
    <d v="2020-09-09T00:00:00"/>
    <x v="7"/>
    <x v="0"/>
    <x v="46"/>
    <n v="4"/>
    <x v="1"/>
    <x v="3"/>
    <x v="0"/>
    <m/>
    <x v="1"/>
    <m/>
    <x v="0"/>
  </r>
  <r>
    <n v="2484548"/>
    <d v="2020-09-09T00:00:00"/>
    <x v="7"/>
    <x v="1"/>
    <x v="9"/>
    <m/>
    <x v="0"/>
    <x v="43"/>
    <x v="0"/>
    <m/>
    <x v="1"/>
    <m/>
    <x v="0"/>
  </r>
  <r>
    <n v="2484585"/>
    <d v="2020-09-09T00:00:00"/>
    <x v="7"/>
    <x v="0"/>
    <x v="6"/>
    <n v="5"/>
    <x v="1"/>
    <x v="32"/>
    <x v="0"/>
    <m/>
    <x v="1"/>
    <m/>
    <x v="1"/>
  </r>
  <r>
    <n v="2484615"/>
    <d v="2020-09-09T00:00:00"/>
    <x v="7"/>
    <x v="1"/>
    <x v="29"/>
    <m/>
    <x v="0"/>
    <x v="90"/>
    <x v="0"/>
    <m/>
    <x v="1"/>
    <m/>
    <x v="0"/>
  </r>
  <r>
    <n v="2484625"/>
    <d v="2020-09-09T00:00:00"/>
    <x v="7"/>
    <x v="0"/>
    <x v="4"/>
    <n v="7"/>
    <x v="0"/>
    <x v="35"/>
    <x v="0"/>
    <m/>
    <x v="1"/>
    <m/>
    <x v="0"/>
  </r>
  <r>
    <n v="2484665"/>
    <d v="2020-09-09T00:00:00"/>
    <x v="7"/>
    <x v="1"/>
    <x v="29"/>
    <m/>
    <x v="1"/>
    <x v="82"/>
    <x v="0"/>
    <m/>
    <x v="1"/>
    <m/>
    <x v="0"/>
  </r>
  <r>
    <n v="2484715"/>
    <d v="2020-09-09T00:00:00"/>
    <x v="7"/>
    <x v="1"/>
    <x v="92"/>
    <m/>
    <x v="0"/>
    <x v="68"/>
    <x v="0"/>
    <m/>
    <x v="1"/>
    <m/>
    <x v="0"/>
  </r>
  <r>
    <n v="2484748"/>
    <d v="2020-09-09T00:00:00"/>
    <x v="7"/>
    <x v="0"/>
    <x v="40"/>
    <n v="8"/>
    <x v="1"/>
    <x v="61"/>
    <x v="0"/>
    <m/>
    <x v="1"/>
    <m/>
    <x v="0"/>
  </r>
  <r>
    <n v="2484758"/>
    <d v="2020-09-09T00:00:00"/>
    <x v="7"/>
    <x v="1"/>
    <x v="9"/>
    <m/>
    <x v="0"/>
    <x v="85"/>
    <x v="0"/>
    <m/>
    <x v="1"/>
    <m/>
    <x v="0"/>
  </r>
  <r>
    <n v="2484823"/>
    <d v="2020-09-09T00:00:00"/>
    <x v="7"/>
    <x v="1"/>
    <x v="29"/>
    <m/>
    <x v="0"/>
    <x v="81"/>
    <x v="0"/>
    <m/>
    <x v="1"/>
    <m/>
    <x v="0"/>
  </r>
  <r>
    <n v="2484912"/>
    <d v="2020-09-09T00:00:00"/>
    <x v="102"/>
    <x v="1"/>
    <x v="29"/>
    <m/>
    <x v="1"/>
    <x v="32"/>
    <x v="0"/>
    <m/>
    <x v="1"/>
    <m/>
    <x v="0"/>
  </r>
  <r>
    <n v="2484917"/>
    <d v="2020-09-09T00:00:00"/>
    <x v="7"/>
    <x v="0"/>
    <x v="46"/>
    <n v="4"/>
    <x v="0"/>
    <x v="73"/>
    <x v="0"/>
    <m/>
    <x v="1"/>
    <m/>
    <x v="0"/>
  </r>
  <r>
    <n v="2485151"/>
    <d v="2020-09-09T00:00:00"/>
    <x v="7"/>
    <x v="0"/>
    <x v="17"/>
    <n v="8"/>
    <x v="0"/>
    <x v="100"/>
    <x v="0"/>
    <m/>
    <x v="1"/>
    <m/>
    <x v="0"/>
  </r>
  <r>
    <n v="2485193"/>
    <d v="2020-09-09T00:00:00"/>
    <x v="7"/>
    <x v="0"/>
    <x v="17"/>
    <n v="8"/>
    <x v="0"/>
    <x v="56"/>
    <x v="0"/>
    <m/>
    <x v="1"/>
    <m/>
    <x v="0"/>
  </r>
  <r>
    <n v="2485203"/>
    <d v="2020-09-09T00:00:00"/>
    <x v="7"/>
    <x v="0"/>
    <x v="17"/>
    <n v="8"/>
    <x v="0"/>
    <x v="41"/>
    <x v="0"/>
    <m/>
    <x v="1"/>
    <m/>
    <x v="0"/>
  </r>
  <r>
    <n v="2485211"/>
    <d v="2020-09-09T00:00:00"/>
    <x v="7"/>
    <x v="0"/>
    <x v="17"/>
    <n v="8"/>
    <x v="0"/>
    <x v="68"/>
    <x v="0"/>
    <m/>
    <x v="1"/>
    <m/>
    <x v="0"/>
  </r>
  <r>
    <n v="2485323"/>
    <d v="2020-09-09T00:00:00"/>
    <x v="7"/>
    <x v="1"/>
    <x v="29"/>
    <m/>
    <x v="1"/>
    <x v="65"/>
    <x v="0"/>
    <m/>
    <x v="1"/>
    <m/>
    <x v="0"/>
  </r>
  <r>
    <n v="2485349"/>
    <d v="2020-09-09T00:00:00"/>
    <x v="7"/>
    <x v="0"/>
    <x v="17"/>
    <n v="8"/>
    <x v="0"/>
    <x v="89"/>
    <x v="0"/>
    <m/>
    <x v="1"/>
    <m/>
    <x v="0"/>
  </r>
  <r>
    <n v="2488171"/>
    <d v="2020-09-09T00:00:00"/>
    <x v="7"/>
    <x v="1"/>
    <x v="29"/>
    <m/>
    <x v="1"/>
    <x v="73"/>
    <x v="0"/>
    <m/>
    <x v="1"/>
    <m/>
    <x v="0"/>
  </r>
  <r>
    <n v="2488369"/>
    <d v="2020-09-09T00:00:00"/>
    <x v="7"/>
    <x v="0"/>
    <x v="46"/>
    <n v="4"/>
    <x v="1"/>
    <x v="71"/>
    <x v="0"/>
    <m/>
    <x v="1"/>
    <m/>
    <x v="0"/>
  </r>
  <r>
    <n v="2488379"/>
    <d v="2020-09-09T00:00:00"/>
    <x v="7"/>
    <x v="0"/>
    <x v="46"/>
    <n v="4"/>
    <x v="0"/>
    <x v="68"/>
    <x v="0"/>
    <m/>
    <x v="1"/>
    <m/>
    <x v="0"/>
  </r>
  <r>
    <n v="2488569"/>
    <d v="2020-09-09T00:00:00"/>
    <x v="7"/>
    <x v="0"/>
    <x v="4"/>
    <n v="7"/>
    <x v="1"/>
    <x v="12"/>
    <x v="0"/>
    <m/>
    <x v="1"/>
    <m/>
    <x v="0"/>
  </r>
  <r>
    <n v="2488622"/>
    <d v="2020-09-09T00:00:00"/>
    <x v="7"/>
    <x v="0"/>
    <x v="57"/>
    <n v="1"/>
    <x v="1"/>
    <x v="56"/>
    <x v="0"/>
    <m/>
    <x v="1"/>
    <m/>
    <x v="0"/>
  </r>
  <r>
    <n v="2488703"/>
    <d v="2020-09-09T00:00:00"/>
    <x v="7"/>
    <x v="0"/>
    <x v="36"/>
    <n v="3"/>
    <x v="0"/>
    <x v="48"/>
    <x v="0"/>
    <m/>
    <x v="1"/>
    <m/>
    <x v="0"/>
  </r>
  <r>
    <n v="2488708"/>
    <d v="2020-09-09T00:00:00"/>
    <x v="7"/>
    <x v="0"/>
    <x v="7"/>
    <n v="6"/>
    <x v="0"/>
    <x v="31"/>
    <x v="0"/>
    <m/>
    <x v="1"/>
    <m/>
    <x v="0"/>
  </r>
  <r>
    <n v="2488756"/>
    <d v="2020-09-09T00:00:00"/>
    <x v="7"/>
    <x v="0"/>
    <x v="2"/>
    <n v="3"/>
    <x v="1"/>
    <x v="67"/>
    <x v="0"/>
    <m/>
    <x v="1"/>
    <m/>
    <x v="0"/>
  </r>
  <r>
    <n v="2491669"/>
    <d v="2020-09-09T00:00:00"/>
    <x v="7"/>
    <x v="1"/>
    <x v="12"/>
    <m/>
    <x v="1"/>
    <x v="51"/>
    <x v="0"/>
    <m/>
    <x v="1"/>
    <m/>
    <x v="0"/>
  </r>
  <r>
    <n v="2131979"/>
    <d v="2020-08-26T00:00:00"/>
    <x v="158"/>
    <x v="1"/>
    <x v="29"/>
    <m/>
    <x v="0"/>
    <x v="37"/>
    <x v="0"/>
    <m/>
    <x v="1"/>
    <m/>
    <x v="0"/>
  </r>
  <r>
    <n v="2167076"/>
    <d v="2020-08-31T00:00:00"/>
    <x v="58"/>
    <x v="1"/>
    <x v="29"/>
    <m/>
    <x v="1"/>
    <x v="24"/>
    <x v="0"/>
    <m/>
    <x v="1"/>
    <m/>
    <x v="4"/>
  </r>
  <r>
    <n v="2179703"/>
    <d v="2020-08-28T00:00:00"/>
    <x v="176"/>
    <x v="1"/>
    <x v="29"/>
    <m/>
    <x v="1"/>
    <x v="63"/>
    <x v="0"/>
    <m/>
    <x v="1"/>
    <m/>
    <x v="1"/>
  </r>
  <r>
    <n v="2315157"/>
    <d v="2020-09-03T00:00:00"/>
    <x v="128"/>
    <x v="0"/>
    <x v="11"/>
    <n v="14"/>
    <x v="0"/>
    <x v="72"/>
    <x v="0"/>
    <m/>
    <x v="1"/>
    <m/>
    <x v="0"/>
  </r>
  <r>
    <n v="2321024"/>
    <d v="2020-09-01T00:00:00"/>
    <x v="58"/>
    <x v="0"/>
    <x v="31"/>
    <n v="10"/>
    <x v="1"/>
    <x v="3"/>
    <x v="0"/>
    <m/>
    <x v="1"/>
    <m/>
    <x v="1"/>
  </r>
  <r>
    <n v="2394812"/>
    <d v="2020-09-05T00:00:00"/>
    <x v="1"/>
    <x v="1"/>
    <x v="29"/>
    <m/>
    <x v="1"/>
    <x v="16"/>
    <x v="0"/>
    <m/>
    <x v="1"/>
    <m/>
    <x v="0"/>
  </r>
  <r>
    <n v="2396721"/>
    <d v="2020-09-06T00:00:00"/>
    <x v="38"/>
    <x v="1"/>
    <x v="92"/>
    <m/>
    <x v="1"/>
    <x v="48"/>
    <x v="0"/>
    <m/>
    <x v="1"/>
    <m/>
    <x v="3"/>
  </r>
  <r>
    <n v="2408252"/>
    <d v="2020-09-07T00:00:00"/>
    <x v="38"/>
    <x v="1"/>
    <x v="29"/>
    <m/>
    <x v="0"/>
    <x v="60"/>
    <x v="0"/>
    <m/>
    <x v="1"/>
    <m/>
    <x v="4"/>
  </r>
  <r>
    <n v="2408851"/>
    <d v="2020-09-06T00:00:00"/>
    <x v="1"/>
    <x v="0"/>
    <x v="26"/>
    <n v="11"/>
    <x v="0"/>
    <x v="64"/>
    <x v="0"/>
    <m/>
    <x v="1"/>
    <m/>
    <x v="0"/>
  </r>
  <r>
    <n v="2415374"/>
    <d v="2020-09-07T00:00:00"/>
    <x v="38"/>
    <x v="0"/>
    <x v="2"/>
    <n v="3"/>
    <x v="1"/>
    <x v="80"/>
    <x v="0"/>
    <m/>
    <x v="1"/>
    <m/>
    <x v="3"/>
  </r>
  <r>
    <n v="2423000"/>
    <d v="2020-09-07T00:00:00"/>
    <x v="38"/>
    <x v="0"/>
    <x v="2"/>
    <n v="3"/>
    <x v="1"/>
    <x v="93"/>
    <x v="0"/>
    <m/>
    <x v="1"/>
    <m/>
    <x v="3"/>
  </r>
  <r>
    <n v="2425296"/>
    <d v="2020-09-07T00:00:00"/>
    <x v="38"/>
    <x v="0"/>
    <x v="2"/>
    <n v="3"/>
    <x v="1"/>
    <x v="56"/>
    <x v="0"/>
    <m/>
    <x v="1"/>
    <m/>
    <x v="3"/>
  </r>
  <r>
    <n v="2426481"/>
    <d v="2020-09-07T00:00:00"/>
    <x v="38"/>
    <x v="0"/>
    <x v="2"/>
    <n v="3"/>
    <x v="0"/>
    <x v="18"/>
    <x v="0"/>
    <m/>
    <x v="1"/>
    <m/>
    <x v="1"/>
  </r>
  <r>
    <n v="2427573"/>
    <d v="2020-09-07T00:00:00"/>
    <x v="38"/>
    <x v="0"/>
    <x v="41"/>
    <n v="1"/>
    <x v="0"/>
    <x v="65"/>
    <x v="0"/>
    <m/>
    <x v="1"/>
    <m/>
    <x v="0"/>
  </r>
  <r>
    <n v="2429631"/>
    <d v="2020-09-08T00:00:00"/>
    <x v="89"/>
    <x v="1"/>
    <x v="29"/>
    <m/>
    <x v="1"/>
    <x v="69"/>
    <x v="0"/>
    <m/>
    <x v="1"/>
    <m/>
    <x v="3"/>
  </r>
  <r>
    <n v="2386917"/>
    <d v="2020-09-05T00:00:00"/>
    <x v="33"/>
    <x v="0"/>
    <x v="40"/>
    <n v="8"/>
    <x v="0"/>
    <x v="39"/>
    <x v="0"/>
    <m/>
    <x v="1"/>
    <m/>
    <x v="0"/>
  </r>
  <r>
    <n v="2386963"/>
    <d v="2020-09-05T00:00:00"/>
    <x v="33"/>
    <x v="0"/>
    <x v="4"/>
    <n v="7"/>
    <x v="1"/>
    <x v="74"/>
    <x v="0"/>
    <m/>
    <x v="1"/>
    <m/>
    <x v="0"/>
  </r>
  <r>
    <n v="2387010"/>
    <d v="2020-09-05T00:00:00"/>
    <x v="33"/>
    <x v="0"/>
    <x v="15"/>
    <n v="1"/>
    <x v="1"/>
    <x v="51"/>
    <x v="0"/>
    <m/>
    <x v="1"/>
    <m/>
    <x v="0"/>
  </r>
  <r>
    <n v="2387559"/>
    <d v="2020-09-05T00:00:00"/>
    <x v="33"/>
    <x v="1"/>
    <x v="9"/>
    <m/>
    <x v="0"/>
    <x v="67"/>
    <x v="0"/>
    <m/>
    <x v="1"/>
    <m/>
    <x v="3"/>
  </r>
  <r>
    <n v="2388860"/>
    <d v="2020-09-05T00:00:00"/>
    <x v="89"/>
    <x v="1"/>
    <x v="29"/>
    <m/>
    <x v="0"/>
    <x v="28"/>
    <x v="0"/>
    <m/>
    <x v="1"/>
    <m/>
    <x v="1"/>
  </r>
  <r>
    <n v="2389709"/>
    <d v="2020-09-06T00:00:00"/>
    <x v="1"/>
    <x v="0"/>
    <x v="3"/>
    <n v="13"/>
    <x v="1"/>
    <x v="65"/>
    <x v="0"/>
    <m/>
    <x v="1"/>
    <m/>
    <x v="0"/>
  </r>
  <r>
    <n v="2390087"/>
    <d v="2020-09-05T00:00:00"/>
    <x v="1"/>
    <x v="0"/>
    <x v="6"/>
    <n v="5"/>
    <x v="0"/>
    <x v="35"/>
    <x v="0"/>
    <m/>
    <x v="1"/>
    <m/>
    <x v="4"/>
  </r>
  <r>
    <n v="2390305"/>
    <d v="2020-09-06T00:00:00"/>
    <x v="1"/>
    <x v="0"/>
    <x v="46"/>
    <n v="4"/>
    <x v="1"/>
    <x v="73"/>
    <x v="0"/>
    <m/>
    <x v="1"/>
    <m/>
    <x v="0"/>
  </r>
  <r>
    <n v="2390329"/>
    <d v="2020-09-05T00:00:00"/>
    <x v="1"/>
    <x v="1"/>
    <x v="29"/>
    <m/>
    <x v="0"/>
    <x v="39"/>
    <x v="0"/>
    <m/>
    <x v="1"/>
    <m/>
    <x v="1"/>
  </r>
  <r>
    <n v="2391900"/>
    <d v="2020-09-06T00:00:00"/>
    <x v="1"/>
    <x v="0"/>
    <x v="25"/>
    <n v="4"/>
    <x v="1"/>
    <x v="57"/>
    <x v="0"/>
    <m/>
    <x v="1"/>
    <m/>
    <x v="1"/>
  </r>
  <r>
    <n v="2391920"/>
    <d v="2020-09-06T00:00:00"/>
    <x v="1"/>
    <x v="0"/>
    <x v="39"/>
    <n v="12"/>
    <x v="0"/>
    <x v="0"/>
    <x v="0"/>
    <m/>
    <x v="1"/>
    <m/>
    <x v="0"/>
  </r>
  <r>
    <n v="2393169"/>
    <d v="2020-09-06T00:00:00"/>
    <x v="1"/>
    <x v="0"/>
    <x v="11"/>
    <n v="14"/>
    <x v="1"/>
    <x v="51"/>
    <x v="0"/>
    <m/>
    <x v="1"/>
    <m/>
    <x v="1"/>
  </r>
  <r>
    <n v="2393930"/>
    <d v="2020-09-06T00:00:00"/>
    <x v="1"/>
    <x v="0"/>
    <x v="6"/>
    <n v="5"/>
    <x v="1"/>
    <x v="76"/>
    <x v="0"/>
    <m/>
    <x v="1"/>
    <m/>
    <x v="1"/>
  </r>
  <r>
    <n v="2393942"/>
    <d v="2020-09-06T00:00:00"/>
    <x v="1"/>
    <x v="0"/>
    <x v="2"/>
    <n v="3"/>
    <x v="1"/>
    <x v="70"/>
    <x v="0"/>
    <m/>
    <x v="1"/>
    <m/>
    <x v="1"/>
  </r>
  <r>
    <n v="2394096"/>
    <d v="2020-09-06T00:00:00"/>
    <x v="1"/>
    <x v="1"/>
    <x v="29"/>
    <m/>
    <x v="0"/>
    <x v="69"/>
    <x v="0"/>
    <m/>
    <x v="1"/>
    <m/>
    <x v="0"/>
  </r>
  <r>
    <n v="2394293"/>
    <d v="2020-09-06T00:00:00"/>
    <x v="1"/>
    <x v="1"/>
    <x v="29"/>
    <m/>
    <x v="1"/>
    <x v="79"/>
    <x v="0"/>
    <m/>
    <x v="1"/>
    <m/>
    <x v="0"/>
  </r>
  <r>
    <n v="2394603"/>
    <d v="2020-09-06T00:00:00"/>
    <x v="1"/>
    <x v="0"/>
    <x v="6"/>
    <n v="5"/>
    <x v="0"/>
    <x v="64"/>
    <x v="0"/>
    <m/>
    <x v="1"/>
    <m/>
    <x v="1"/>
  </r>
  <r>
    <n v="2394703"/>
    <d v="2020-09-06T00:00:00"/>
    <x v="1"/>
    <x v="0"/>
    <x v="36"/>
    <n v="3"/>
    <x v="1"/>
    <x v="50"/>
    <x v="0"/>
    <m/>
    <x v="1"/>
    <m/>
    <x v="1"/>
  </r>
  <r>
    <n v="2394746"/>
    <d v="2020-09-06T00:00:00"/>
    <x v="1"/>
    <x v="0"/>
    <x v="36"/>
    <n v="3"/>
    <x v="0"/>
    <x v="69"/>
    <x v="0"/>
    <m/>
    <x v="1"/>
    <m/>
    <x v="3"/>
  </r>
  <r>
    <n v="2396016"/>
    <d v="2020-09-06T00:00:00"/>
    <x v="38"/>
    <x v="1"/>
    <x v="29"/>
    <m/>
    <x v="1"/>
    <x v="45"/>
    <x v="0"/>
    <m/>
    <x v="1"/>
    <m/>
    <x v="0"/>
  </r>
  <r>
    <n v="2396068"/>
    <d v="2020-09-06T00:00:00"/>
    <x v="1"/>
    <x v="0"/>
    <x v="11"/>
    <n v="14"/>
    <x v="0"/>
    <x v="70"/>
    <x v="0"/>
    <m/>
    <x v="1"/>
    <m/>
    <x v="0"/>
  </r>
  <r>
    <n v="2396969"/>
    <d v="2020-09-07T00:00:00"/>
    <x v="38"/>
    <x v="1"/>
    <x v="29"/>
    <m/>
    <x v="0"/>
    <x v="65"/>
    <x v="0"/>
    <m/>
    <x v="1"/>
    <m/>
    <x v="3"/>
  </r>
  <r>
    <n v="2397256"/>
    <d v="2020-09-06T00:00:00"/>
    <x v="1"/>
    <x v="0"/>
    <x v="40"/>
    <n v="8"/>
    <x v="0"/>
    <x v="12"/>
    <x v="0"/>
    <m/>
    <x v="1"/>
    <m/>
    <x v="0"/>
  </r>
  <r>
    <n v="2397312"/>
    <d v="2020-09-05T00:00:00"/>
    <x v="1"/>
    <x v="1"/>
    <x v="92"/>
    <m/>
    <x v="1"/>
    <x v="9"/>
    <x v="0"/>
    <m/>
    <x v="1"/>
    <m/>
    <x v="0"/>
  </r>
  <r>
    <n v="2397400"/>
    <d v="2020-09-06T00:00:00"/>
    <x v="1"/>
    <x v="1"/>
    <x v="9"/>
    <m/>
    <x v="0"/>
    <x v="99"/>
    <x v="0"/>
    <m/>
    <x v="1"/>
    <m/>
    <x v="0"/>
  </r>
  <r>
    <n v="2397408"/>
    <d v="2020-09-06T00:00:00"/>
    <x v="1"/>
    <x v="1"/>
    <x v="29"/>
    <m/>
    <x v="0"/>
    <x v="17"/>
    <x v="0"/>
    <m/>
    <x v="1"/>
    <m/>
    <x v="0"/>
  </r>
  <r>
    <n v="2397450"/>
    <d v="2020-09-06T00:00:00"/>
    <x v="1"/>
    <x v="0"/>
    <x v="46"/>
    <n v="4"/>
    <x v="0"/>
    <x v="35"/>
    <x v="0"/>
    <m/>
    <x v="1"/>
    <m/>
    <x v="0"/>
  </r>
  <r>
    <n v="2397502"/>
    <d v="2020-09-06T00:00:00"/>
    <x v="1"/>
    <x v="0"/>
    <x v="46"/>
    <n v="4"/>
    <x v="0"/>
    <x v="64"/>
    <x v="0"/>
    <m/>
    <x v="1"/>
    <m/>
    <x v="0"/>
  </r>
  <r>
    <n v="2397529"/>
    <d v="2020-09-06T00:00:00"/>
    <x v="1"/>
    <x v="0"/>
    <x v="4"/>
    <n v="7"/>
    <x v="1"/>
    <x v="75"/>
    <x v="0"/>
    <m/>
    <x v="1"/>
    <m/>
    <x v="0"/>
  </r>
  <r>
    <n v="2397657"/>
    <d v="2020-09-06T00:00:00"/>
    <x v="1"/>
    <x v="0"/>
    <x v="46"/>
    <n v="4"/>
    <x v="1"/>
    <x v="99"/>
    <x v="0"/>
    <m/>
    <x v="1"/>
    <m/>
    <x v="0"/>
  </r>
  <r>
    <n v="2397782"/>
    <d v="2020-09-06T00:00:00"/>
    <x v="1"/>
    <x v="0"/>
    <x v="46"/>
    <n v="4"/>
    <x v="0"/>
    <x v="85"/>
    <x v="0"/>
    <m/>
    <x v="1"/>
    <m/>
    <x v="0"/>
  </r>
  <r>
    <n v="2397803"/>
    <d v="2020-09-06T00:00:00"/>
    <x v="1"/>
    <x v="0"/>
    <x v="4"/>
    <n v="7"/>
    <x v="1"/>
    <x v="100"/>
    <x v="0"/>
    <m/>
    <x v="1"/>
    <m/>
    <x v="0"/>
  </r>
  <r>
    <n v="2397878"/>
    <d v="2020-09-06T00:00:00"/>
    <x v="1"/>
    <x v="0"/>
    <x v="0"/>
    <n v="15"/>
    <x v="0"/>
    <x v="55"/>
    <x v="0"/>
    <m/>
    <x v="1"/>
    <m/>
    <x v="0"/>
  </r>
  <r>
    <n v="2397969"/>
    <d v="2020-09-06T00:00:00"/>
    <x v="1"/>
    <x v="0"/>
    <x v="46"/>
    <n v="4"/>
    <x v="0"/>
    <x v="31"/>
    <x v="0"/>
    <m/>
    <x v="1"/>
    <m/>
    <x v="0"/>
  </r>
  <r>
    <n v="2398861"/>
    <d v="2020-09-06T00:00:00"/>
    <x v="1"/>
    <x v="1"/>
    <x v="29"/>
    <m/>
    <x v="1"/>
    <x v="85"/>
    <x v="0"/>
    <m/>
    <x v="1"/>
    <m/>
    <x v="1"/>
  </r>
  <r>
    <n v="2574792"/>
    <d v="2020-09-13T00:00:00"/>
    <x v="172"/>
    <x v="0"/>
    <x v="4"/>
    <n v="7"/>
    <x v="0"/>
    <x v="75"/>
    <x v="0"/>
    <m/>
    <x v="1"/>
    <m/>
    <x v="0"/>
  </r>
  <r>
    <n v="2576743"/>
    <d v="2020-09-12T00:00:00"/>
    <x v="41"/>
    <x v="0"/>
    <x v="24"/>
    <n v="4"/>
    <x v="0"/>
    <x v="39"/>
    <x v="0"/>
    <m/>
    <x v="1"/>
    <m/>
    <x v="1"/>
  </r>
  <r>
    <n v="2577652"/>
    <d v="2020-09-13T00:00:00"/>
    <x v="172"/>
    <x v="0"/>
    <x v="4"/>
    <n v="7"/>
    <x v="1"/>
    <x v="71"/>
    <x v="0"/>
    <m/>
    <x v="1"/>
    <m/>
    <x v="0"/>
  </r>
  <r>
    <n v="2579721"/>
    <d v="2020-09-13T00:00:00"/>
    <x v="172"/>
    <x v="1"/>
    <x v="29"/>
    <m/>
    <x v="1"/>
    <x v="0"/>
    <x v="0"/>
    <m/>
    <x v="1"/>
    <m/>
    <x v="3"/>
  </r>
  <r>
    <n v="2580010"/>
    <d v="2020-09-13T00:00:00"/>
    <x v="172"/>
    <x v="0"/>
    <x v="17"/>
    <n v="8"/>
    <x v="0"/>
    <x v="5"/>
    <x v="0"/>
    <m/>
    <x v="1"/>
    <m/>
    <x v="0"/>
  </r>
  <r>
    <n v="2584905"/>
    <d v="2020-09-13T00:00:00"/>
    <x v="210"/>
    <x v="0"/>
    <x v="35"/>
    <n v="9"/>
    <x v="0"/>
    <x v="65"/>
    <x v="0"/>
    <m/>
    <x v="1"/>
    <m/>
    <x v="3"/>
  </r>
  <r>
    <n v="2585531"/>
    <d v="2020-09-14T00:00:00"/>
    <x v="24"/>
    <x v="1"/>
    <x v="12"/>
    <m/>
    <x v="0"/>
    <x v="39"/>
    <x v="0"/>
    <m/>
    <x v="1"/>
    <m/>
    <x v="3"/>
  </r>
  <r>
    <n v="2590898"/>
    <d v="2020-09-13T00:00:00"/>
    <x v="172"/>
    <x v="1"/>
    <x v="29"/>
    <m/>
    <x v="0"/>
    <x v="76"/>
    <x v="0"/>
    <m/>
    <x v="1"/>
    <m/>
    <x v="0"/>
  </r>
  <r>
    <n v="2591128"/>
    <d v="2020-09-13T00:00:00"/>
    <x v="172"/>
    <x v="0"/>
    <x v="59"/>
    <n v="11"/>
    <x v="0"/>
    <x v="93"/>
    <x v="0"/>
    <m/>
    <x v="1"/>
    <m/>
    <x v="0"/>
  </r>
  <r>
    <n v="2591667"/>
    <d v="2020-09-09T00:00:00"/>
    <x v="7"/>
    <x v="1"/>
    <x v="29"/>
    <m/>
    <x v="1"/>
    <x v="81"/>
    <x v="0"/>
    <m/>
    <x v="1"/>
    <m/>
    <x v="0"/>
  </r>
  <r>
    <n v="2591869"/>
    <d v="2020-09-14T00:00:00"/>
    <x v="41"/>
    <x v="0"/>
    <x v="54"/>
    <n v="10"/>
    <x v="0"/>
    <x v="51"/>
    <x v="0"/>
    <m/>
    <x v="1"/>
    <m/>
    <x v="0"/>
  </r>
  <r>
    <n v="2599082"/>
    <d v="2020-09-14T00:00:00"/>
    <x v="150"/>
    <x v="1"/>
    <x v="30"/>
    <m/>
    <x v="1"/>
    <x v="81"/>
    <x v="0"/>
    <m/>
    <x v="1"/>
    <m/>
    <x v="0"/>
  </r>
  <r>
    <n v="2600188"/>
    <d v="2020-09-14T00:00:00"/>
    <x v="41"/>
    <x v="0"/>
    <x v="40"/>
    <n v="8"/>
    <x v="1"/>
    <x v="78"/>
    <x v="0"/>
    <m/>
    <x v="1"/>
    <m/>
    <x v="0"/>
  </r>
  <r>
    <n v="2600334"/>
    <d v="2020-09-14T00:00:00"/>
    <x v="41"/>
    <x v="0"/>
    <x v="15"/>
    <n v="1"/>
    <x v="1"/>
    <x v="25"/>
    <x v="0"/>
    <m/>
    <x v="1"/>
    <m/>
    <x v="0"/>
  </r>
  <r>
    <n v="2600381"/>
    <d v="2020-09-14T00:00:00"/>
    <x v="41"/>
    <x v="0"/>
    <x v="40"/>
    <n v="8"/>
    <x v="0"/>
    <x v="77"/>
    <x v="0"/>
    <m/>
    <x v="1"/>
    <m/>
    <x v="0"/>
  </r>
  <r>
    <n v="2606722"/>
    <d v="2020-09-14T00:00:00"/>
    <x v="41"/>
    <x v="0"/>
    <x v="6"/>
    <n v="5"/>
    <x v="1"/>
    <x v="16"/>
    <x v="0"/>
    <m/>
    <x v="1"/>
    <m/>
    <x v="0"/>
  </r>
  <r>
    <n v="2607772"/>
    <d v="2020-09-14T00:00:00"/>
    <x v="41"/>
    <x v="0"/>
    <x v="17"/>
    <n v="8"/>
    <x v="0"/>
    <x v="55"/>
    <x v="0"/>
    <m/>
    <x v="1"/>
    <m/>
    <x v="0"/>
  </r>
  <r>
    <n v="2607791"/>
    <d v="2020-09-14T00:00:00"/>
    <x v="41"/>
    <x v="0"/>
    <x v="23"/>
    <n v="9"/>
    <x v="0"/>
    <x v="64"/>
    <x v="0"/>
    <m/>
    <x v="1"/>
    <m/>
    <x v="0"/>
  </r>
  <r>
    <n v="2607815"/>
    <d v="2020-09-14T00:00:00"/>
    <x v="41"/>
    <x v="1"/>
    <x v="29"/>
    <m/>
    <x v="1"/>
    <x v="75"/>
    <x v="0"/>
    <m/>
    <x v="1"/>
    <m/>
    <x v="0"/>
  </r>
  <r>
    <n v="2607844"/>
    <d v="2020-09-14T00:00:00"/>
    <x v="150"/>
    <x v="1"/>
    <x v="92"/>
    <m/>
    <x v="1"/>
    <x v="64"/>
    <x v="0"/>
    <m/>
    <x v="1"/>
    <m/>
    <x v="0"/>
  </r>
  <r>
    <n v="2607859"/>
    <d v="2020-09-14T00:00:00"/>
    <x v="41"/>
    <x v="0"/>
    <x v="46"/>
    <n v="4"/>
    <x v="0"/>
    <x v="73"/>
    <x v="0"/>
    <m/>
    <x v="1"/>
    <m/>
    <x v="0"/>
  </r>
  <r>
    <n v="2612527"/>
    <d v="2020-09-11T00:00:00"/>
    <x v="142"/>
    <x v="0"/>
    <x v="2"/>
    <n v="3"/>
    <x v="1"/>
    <x v="45"/>
    <x v="0"/>
    <m/>
    <x v="1"/>
    <m/>
    <x v="0"/>
  </r>
  <r>
    <n v="2630626"/>
    <d v="2020-09-15T00:00:00"/>
    <x v="210"/>
    <x v="0"/>
    <x v="38"/>
    <n v="13"/>
    <x v="1"/>
    <x v="25"/>
    <x v="0"/>
    <m/>
    <x v="1"/>
    <m/>
    <x v="0"/>
  </r>
  <r>
    <n v="2637807"/>
    <d v="2020-09-14T00:00:00"/>
    <x v="24"/>
    <x v="0"/>
    <x v="22"/>
    <n v="10"/>
    <x v="0"/>
    <x v="77"/>
    <x v="0"/>
    <m/>
    <x v="1"/>
    <m/>
    <x v="4"/>
  </r>
  <r>
    <n v="2640428"/>
    <d v="2020-09-15T00:00:00"/>
    <x v="210"/>
    <x v="0"/>
    <x v="46"/>
    <n v="4"/>
    <x v="1"/>
    <x v="95"/>
    <x v="0"/>
    <m/>
    <x v="1"/>
    <m/>
    <x v="0"/>
  </r>
  <r>
    <n v="2650219"/>
    <d v="2020-09-15T00:00:00"/>
    <x v="210"/>
    <x v="0"/>
    <x v="38"/>
    <n v="13"/>
    <x v="1"/>
    <x v="52"/>
    <x v="0"/>
    <m/>
    <x v="1"/>
    <m/>
    <x v="4"/>
  </r>
  <r>
    <n v="2700334"/>
    <d v="2020-09-17T00:00:00"/>
    <x v="108"/>
    <x v="0"/>
    <x v="17"/>
    <n v="8"/>
    <x v="0"/>
    <x v="67"/>
    <x v="0"/>
    <m/>
    <x v="1"/>
    <m/>
    <x v="0"/>
  </r>
  <r>
    <n v="2700377"/>
    <d v="2020-09-17T00:00:00"/>
    <x v="108"/>
    <x v="0"/>
    <x v="18"/>
    <n v="15"/>
    <x v="0"/>
    <x v="85"/>
    <x v="0"/>
    <m/>
    <x v="1"/>
    <m/>
    <x v="0"/>
  </r>
  <r>
    <n v="2808685"/>
    <d v="2020-09-22T00:00:00"/>
    <x v="14"/>
    <x v="0"/>
    <x v="11"/>
    <n v="14"/>
    <x v="0"/>
    <x v="3"/>
    <x v="0"/>
    <m/>
    <x v="1"/>
    <m/>
    <x v="4"/>
  </r>
  <r>
    <n v="2934253"/>
    <d v="2020-09-03T00:00:00"/>
    <x v="128"/>
    <x v="0"/>
    <x v="64"/>
    <n v="7"/>
    <x v="0"/>
    <x v="42"/>
    <x v="0"/>
    <m/>
    <x v="1"/>
    <m/>
    <x v="0"/>
  </r>
  <r>
    <n v="2934475"/>
    <d v="2020-09-03T00:00:00"/>
    <x v="128"/>
    <x v="1"/>
    <x v="9"/>
    <m/>
    <x v="1"/>
    <x v="5"/>
    <x v="0"/>
    <m/>
    <x v="1"/>
    <m/>
    <x v="0"/>
  </r>
  <r>
    <n v="2419914"/>
    <d v="2020-09-07T00:00:00"/>
    <x v="264"/>
    <x v="1"/>
    <x v="29"/>
    <m/>
    <x v="0"/>
    <x v="71"/>
    <x v="0"/>
    <m/>
    <x v="1"/>
    <m/>
    <x v="0"/>
  </r>
  <r>
    <n v="2583792"/>
    <d v="2020-09-13T00:00:00"/>
    <x v="172"/>
    <x v="0"/>
    <x v="36"/>
    <n v="3"/>
    <x v="1"/>
    <x v="39"/>
    <x v="0"/>
    <m/>
    <x v="1"/>
    <m/>
    <x v="0"/>
  </r>
  <r>
    <n v="2589658"/>
    <d v="2020-09-11T00:00:00"/>
    <x v="41"/>
    <x v="1"/>
    <x v="29"/>
    <m/>
    <x v="1"/>
    <x v="25"/>
    <x v="0"/>
    <m/>
    <x v="1"/>
    <m/>
    <x v="0"/>
  </r>
  <r>
    <n v="2589746"/>
    <d v="2020-09-14T00:00:00"/>
    <x v="41"/>
    <x v="1"/>
    <x v="30"/>
    <m/>
    <x v="0"/>
    <x v="50"/>
    <x v="0"/>
    <m/>
    <x v="1"/>
    <m/>
    <x v="0"/>
  </r>
  <r>
    <n v="2591165"/>
    <d v="2020-09-13T00:00:00"/>
    <x v="172"/>
    <x v="0"/>
    <x v="8"/>
    <n v="1"/>
    <x v="0"/>
    <x v="68"/>
    <x v="0"/>
    <m/>
    <x v="1"/>
    <m/>
    <x v="0"/>
  </r>
  <r>
    <n v="2605655"/>
    <d v="2020-09-14T00:00:00"/>
    <x v="41"/>
    <x v="0"/>
    <x v="46"/>
    <n v="4"/>
    <x v="1"/>
    <x v="75"/>
    <x v="0"/>
    <m/>
    <x v="1"/>
    <m/>
    <x v="0"/>
  </r>
  <r>
    <n v="2637077"/>
    <d v="2020-09-15T00:00:00"/>
    <x v="141"/>
    <x v="0"/>
    <x v="38"/>
    <n v="13"/>
    <x v="0"/>
    <x v="2"/>
    <x v="0"/>
    <m/>
    <x v="1"/>
    <m/>
    <x v="0"/>
  </r>
  <r>
    <n v="2638018"/>
    <d v="2020-09-01T00:00:00"/>
    <x v="58"/>
    <x v="0"/>
    <x v="10"/>
    <n v="2"/>
    <x v="1"/>
    <x v="61"/>
    <x v="0"/>
    <m/>
    <x v="1"/>
    <m/>
    <x v="0"/>
  </r>
  <r>
    <n v="2650178"/>
    <d v="2020-09-15T00:00:00"/>
    <x v="24"/>
    <x v="1"/>
    <x v="29"/>
    <m/>
    <x v="1"/>
    <x v="2"/>
    <x v="0"/>
    <m/>
    <x v="1"/>
    <m/>
    <x v="0"/>
  </r>
  <r>
    <n v="1277296"/>
    <d v="2020-07-07T00:00:00"/>
    <x v="69"/>
    <x v="0"/>
    <x v="6"/>
    <n v="5"/>
    <x v="1"/>
    <x v="76"/>
    <x v="0"/>
    <m/>
    <x v="1"/>
    <m/>
    <x v="0"/>
  </r>
  <r>
    <n v="1815553"/>
    <d v="2020-08-15T00:00:00"/>
    <x v="95"/>
    <x v="0"/>
    <x v="2"/>
    <n v="3"/>
    <x v="0"/>
    <x v="19"/>
    <x v="0"/>
    <m/>
    <x v="1"/>
    <m/>
    <x v="3"/>
  </r>
  <r>
    <n v="2310981"/>
    <d v="2020-09-02T00:00:00"/>
    <x v="108"/>
    <x v="0"/>
    <x v="25"/>
    <n v="4"/>
    <x v="0"/>
    <x v="45"/>
    <x v="0"/>
    <m/>
    <x v="1"/>
    <m/>
    <x v="0"/>
  </r>
  <r>
    <n v="2032949"/>
    <d v="2020-08-29T00:00:00"/>
    <x v="176"/>
    <x v="0"/>
    <x v="40"/>
    <n v="8"/>
    <x v="1"/>
    <x v="67"/>
    <x v="0"/>
    <m/>
    <x v="1"/>
    <m/>
    <x v="3"/>
  </r>
  <r>
    <n v="2327484"/>
    <d v="2020-09-03T00:00:00"/>
    <x v="128"/>
    <x v="0"/>
    <x v="23"/>
    <n v="9"/>
    <x v="1"/>
    <x v="72"/>
    <x v="0"/>
    <m/>
    <x v="1"/>
    <m/>
    <x v="0"/>
  </r>
  <r>
    <n v="2439850"/>
    <d v="2020-09-07T00:00:00"/>
    <x v="49"/>
    <x v="1"/>
    <x v="92"/>
    <m/>
    <x v="1"/>
    <x v="5"/>
    <x v="0"/>
    <m/>
    <x v="1"/>
    <m/>
    <x v="0"/>
  </r>
  <r>
    <n v="2535940"/>
    <d v="2020-09-10T00:00:00"/>
    <x v="129"/>
    <x v="1"/>
    <x v="30"/>
    <m/>
    <x v="1"/>
    <x v="54"/>
    <x v="0"/>
    <m/>
    <x v="1"/>
    <m/>
    <x v="0"/>
  </r>
  <r>
    <n v="2607403"/>
    <d v="2020-09-13T00:00:00"/>
    <x v="41"/>
    <x v="0"/>
    <x v="26"/>
    <n v="11"/>
    <x v="0"/>
    <x v="57"/>
    <x v="0"/>
    <m/>
    <x v="1"/>
    <m/>
    <x v="0"/>
  </r>
  <r>
    <n v="2287538"/>
    <d v="2020-09-11T00:00:00"/>
    <x v="5"/>
    <x v="0"/>
    <x v="17"/>
    <n v="8"/>
    <x v="1"/>
    <x v="32"/>
    <x v="0"/>
    <m/>
    <x v="1"/>
    <m/>
    <x v="0"/>
  </r>
  <r>
    <n v="2169922"/>
    <d v="2020-08-27T00:00:00"/>
    <x v="158"/>
    <x v="1"/>
    <x v="29"/>
    <m/>
    <x v="1"/>
    <x v="47"/>
    <x v="0"/>
    <m/>
    <x v="1"/>
    <m/>
    <x v="1"/>
  </r>
  <r>
    <n v="2500212"/>
    <d v="2020-09-07T00:00:00"/>
    <x v="89"/>
    <x v="0"/>
    <x v="7"/>
    <n v="6"/>
    <x v="1"/>
    <x v="81"/>
    <x v="0"/>
    <m/>
    <x v="1"/>
    <m/>
    <x v="0"/>
  </r>
  <r>
    <n v="2500881"/>
    <d v="2020-09-10T00:00:00"/>
    <x v="102"/>
    <x v="0"/>
    <x v="17"/>
    <n v="8"/>
    <x v="0"/>
    <x v="65"/>
    <x v="0"/>
    <m/>
    <x v="1"/>
    <m/>
    <x v="0"/>
  </r>
  <r>
    <n v="2501796"/>
    <d v="2020-09-09T00:00:00"/>
    <x v="102"/>
    <x v="0"/>
    <x v="6"/>
    <n v="5"/>
    <x v="0"/>
    <x v="37"/>
    <x v="0"/>
    <m/>
    <x v="1"/>
    <m/>
    <x v="1"/>
  </r>
  <r>
    <n v="2506443"/>
    <d v="2020-09-10T00:00:00"/>
    <x v="102"/>
    <x v="1"/>
    <x v="29"/>
    <m/>
    <x v="0"/>
    <x v="51"/>
    <x v="0"/>
    <m/>
    <x v="1"/>
    <m/>
    <x v="3"/>
  </r>
  <r>
    <n v="2508476"/>
    <d v="2020-09-09T00:00:00"/>
    <x v="7"/>
    <x v="0"/>
    <x v="11"/>
    <n v="14"/>
    <x v="0"/>
    <x v="35"/>
    <x v="0"/>
    <m/>
    <x v="1"/>
    <m/>
    <x v="3"/>
  </r>
  <r>
    <n v="2510107"/>
    <d v="2020-09-11T00:00:00"/>
    <x v="172"/>
    <x v="0"/>
    <x v="7"/>
    <n v="6"/>
    <x v="1"/>
    <x v="2"/>
    <x v="0"/>
    <m/>
    <x v="1"/>
    <m/>
    <x v="0"/>
  </r>
  <r>
    <n v="2515596"/>
    <d v="2020-09-10T00:00:00"/>
    <x v="102"/>
    <x v="1"/>
    <x v="29"/>
    <m/>
    <x v="0"/>
    <x v="45"/>
    <x v="0"/>
    <m/>
    <x v="1"/>
    <m/>
    <x v="0"/>
  </r>
  <r>
    <n v="2515862"/>
    <d v="2020-09-10T00:00:00"/>
    <x v="102"/>
    <x v="0"/>
    <x v="17"/>
    <n v="8"/>
    <x v="1"/>
    <x v="59"/>
    <x v="0"/>
    <m/>
    <x v="1"/>
    <m/>
    <x v="0"/>
  </r>
  <r>
    <n v="2517800"/>
    <d v="2020-09-10T00:00:00"/>
    <x v="102"/>
    <x v="0"/>
    <x v="68"/>
    <n v="1"/>
    <x v="0"/>
    <x v="65"/>
    <x v="0"/>
    <m/>
    <x v="1"/>
    <m/>
    <x v="0"/>
  </r>
  <r>
    <n v="2528226"/>
    <d v="2020-09-11T00:00:00"/>
    <x v="41"/>
    <x v="0"/>
    <x v="6"/>
    <n v="5"/>
    <x v="1"/>
    <x v="6"/>
    <x v="0"/>
    <m/>
    <x v="1"/>
    <m/>
    <x v="1"/>
  </r>
  <r>
    <n v="2541029"/>
    <d v="2020-09-11T00:00:00"/>
    <x v="5"/>
    <x v="1"/>
    <x v="12"/>
    <m/>
    <x v="1"/>
    <x v="50"/>
    <x v="0"/>
    <m/>
    <x v="1"/>
    <m/>
    <x v="1"/>
  </r>
  <r>
    <n v="2543698"/>
    <d v="2020-09-11T00:00:00"/>
    <x v="142"/>
    <x v="0"/>
    <x v="25"/>
    <n v="4"/>
    <x v="1"/>
    <x v="46"/>
    <x v="0"/>
    <m/>
    <x v="1"/>
    <m/>
    <x v="1"/>
  </r>
  <r>
    <n v="2544768"/>
    <d v="2020-09-10T00:00:00"/>
    <x v="102"/>
    <x v="0"/>
    <x v="6"/>
    <n v="5"/>
    <x v="0"/>
    <x v="97"/>
    <x v="0"/>
    <m/>
    <x v="1"/>
    <m/>
    <x v="0"/>
  </r>
  <r>
    <n v="2545159"/>
    <d v="2020-09-10T00:00:00"/>
    <x v="102"/>
    <x v="0"/>
    <x v="6"/>
    <n v="5"/>
    <x v="1"/>
    <x v="78"/>
    <x v="0"/>
    <m/>
    <x v="1"/>
    <m/>
    <x v="0"/>
  </r>
  <r>
    <n v="2545604"/>
    <d v="2020-09-11T00:00:00"/>
    <x v="142"/>
    <x v="1"/>
    <x v="29"/>
    <m/>
    <x v="0"/>
    <x v="88"/>
    <x v="0"/>
    <m/>
    <x v="1"/>
    <m/>
    <x v="1"/>
  </r>
  <r>
    <n v="2546436"/>
    <d v="2020-09-11T00:00:00"/>
    <x v="142"/>
    <x v="0"/>
    <x v="25"/>
    <n v="4"/>
    <x v="1"/>
    <x v="80"/>
    <x v="0"/>
    <m/>
    <x v="1"/>
    <m/>
    <x v="1"/>
  </r>
  <r>
    <n v="2560265"/>
    <d v="2020-09-11T00:00:00"/>
    <x v="142"/>
    <x v="0"/>
    <x v="14"/>
    <n v="15"/>
    <x v="1"/>
    <x v="85"/>
    <x v="0"/>
    <m/>
    <x v="1"/>
    <m/>
    <x v="0"/>
  </r>
  <r>
    <n v="2561656"/>
    <d v="2020-09-12T00:00:00"/>
    <x v="5"/>
    <x v="1"/>
    <x v="29"/>
    <m/>
    <x v="0"/>
    <x v="67"/>
    <x v="0"/>
    <m/>
    <x v="1"/>
    <m/>
    <x v="1"/>
  </r>
  <r>
    <n v="2563577"/>
    <d v="2020-09-08T00:00:00"/>
    <x v="7"/>
    <x v="0"/>
    <x v="27"/>
    <n v="12"/>
    <x v="1"/>
    <x v="41"/>
    <x v="0"/>
    <m/>
    <x v="1"/>
    <m/>
    <x v="0"/>
  </r>
  <r>
    <n v="2563762"/>
    <d v="2020-09-11T00:00:00"/>
    <x v="142"/>
    <x v="1"/>
    <x v="30"/>
    <m/>
    <x v="0"/>
    <x v="68"/>
    <x v="0"/>
    <m/>
    <x v="1"/>
    <m/>
    <x v="0"/>
  </r>
  <r>
    <n v="2572259"/>
    <d v="2020-09-12T00:00:00"/>
    <x v="5"/>
    <x v="0"/>
    <x v="11"/>
    <n v="14"/>
    <x v="0"/>
    <x v="57"/>
    <x v="0"/>
    <m/>
    <x v="1"/>
    <m/>
    <x v="3"/>
  </r>
  <r>
    <n v="2572386"/>
    <d v="2020-09-12T00:00:00"/>
    <x v="5"/>
    <x v="0"/>
    <x v="26"/>
    <n v="11"/>
    <x v="0"/>
    <x v="79"/>
    <x v="0"/>
    <m/>
    <x v="1"/>
    <m/>
    <x v="1"/>
  </r>
  <r>
    <n v="2579044"/>
    <d v="2020-09-12T00:00:00"/>
    <x v="5"/>
    <x v="1"/>
    <x v="29"/>
    <m/>
    <x v="0"/>
    <x v="5"/>
    <x v="0"/>
    <m/>
    <x v="1"/>
    <m/>
    <x v="3"/>
  </r>
  <r>
    <n v="2627071"/>
    <d v="2020-09-15T00:00:00"/>
    <x v="257"/>
    <x v="1"/>
    <x v="29"/>
    <m/>
    <x v="1"/>
    <x v="63"/>
    <x v="0"/>
    <m/>
    <x v="1"/>
    <m/>
    <x v="0"/>
  </r>
  <r>
    <n v="2518816"/>
    <d v="2020-09-11T00:00:00"/>
    <x v="142"/>
    <x v="1"/>
    <x v="9"/>
    <m/>
    <x v="0"/>
    <x v="32"/>
    <x v="1"/>
    <m/>
    <x v="1"/>
    <m/>
    <x v="0"/>
  </r>
  <r>
    <n v="1562216"/>
    <d v="2020-07-27T00:00:00"/>
    <x v="8"/>
    <x v="1"/>
    <x v="29"/>
    <m/>
    <x v="0"/>
    <x v="60"/>
    <x v="0"/>
    <m/>
    <x v="1"/>
    <m/>
    <x v="4"/>
  </r>
  <r>
    <n v="2256380"/>
    <d v="2020-08-31T00:00:00"/>
    <x v="232"/>
    <x v="0"/>
    <x v="49"/>
    <n v="12"/>
    <x v="0"/>
    <x v="78"/>
    <x v="0"/>
    <m/>
    <x v="1"/>
    <m/>
    <x v="0"/>
  </r>
  <r>
    <n v="2297343"/>
    <d v="2020-09-02T00:00:00"/>
    <x v="129"/>
    <x v="0"/>
    <x v="4"/>
    <n v="7"/>
    <x v="1"/>
    <x v="25"/>
    <x v="0"/>
    <m/>
    <x v="1"/>
    <m/>
    <x v="0"/>
  </r>
  <r>
    <n v="2419049"/>
    <d v="2020-09-06T00:00:00"/>
    <x v="1"/>
    <x v="1"/>
    <x v="62"/>
    <m/>
    <x v="0"/>
    <x v="1"/>
    <x v="0"/>
    <m/>
    <x v="1"/>
    <m/>
    <x v="1"/>
  </r>
  <r>
    <n v="2482936"/>
    <d v="2020-09-08T00:00:00"/>
    <x v="23"/>
    <x v="1"/>
    <x v="9"/>
    <m/>
    <x v="0"/>
    <x v="68"/>
    <x v="0"/>
    <m/>
    <x v="1"/>
    <m/>
    <x v="0"/>
  </r>
  <r>
    <n v="1051629"/>
    <d v="2020-07-12T00:00:00"/>
    <x v="131"/>
    <x v="1"/>
    <x v="30"/>
    <m/>
    <x v="0"/>
    <x v="92"/>
    <x v="0"/>
    <m/>
    <x v="1"/>
    <m/>
    <x v="1"/>
  </r>
  <r>
    <n v="1343371"/>
    <d v="2020-07-20T00:00:00"/>
    <x v="128"/>
    <x v="0"/>
    <x v="39"/>
    <n v="12"/>
    <x v="0"/>
    <x v="77"/>
    <x v="0"/>
    <m/>
    <x v="1"/>
    <m/>
    <x v="0"/>
  </r>
  <r>
    <n v="2482436"/>
    <d v="2020-09-09T00:00:00"/>
    <x v="7"/>
    <x v="0"/>
    <x v="2"/>
    <n v="3"/>
    <x v="1"/>
    <x v="65"/>
    <x v="0"/>
    <m/>
    <x v="1"/>
    <m/>
    <x v="1"/>
  </r>
  <r>
    <n v="2483234"/>
    <d v="2020-09-09T00:00:00"/>
    <x v="7"/>
    <x v="0"/>
    <x v="25"/>
    <n v="4"/>
    <x v="1"/>
    <x v="68"/>
    <x v="0"/>
    <m/>
    <x v="1"/>
    <m/>
    <x v="3"/>
  </r>
  <r>
    <n v="2501285"/>
    <d v="2020-09-10T00:00:00"/>
    <x v="102"/>
    <x v="1"/>
    <x v="5"/>
    <m/>
    <x v="0"/>
    <x v="77"/>
    <x v="0"/>
    <m/>
    <x v="1"/>
    <m/>
    <x v="3"/>
  </r>
  <r>
    <n v="2508962"/>
    <d v="2020-09-09T00:00:00"/>
    <x v="7"/>
    <x v="0"/>
    <x v="34"/>
    <n v="13"/>
    <x v="1"/>
    <x v="81"/>
    <x v="0"/>
    <m/>
    <x v="1"/>
    <m/>
    <x v="1"/>
  </r>
  <r>
    <n v="5712894"/>
    <d v="2020-12-29T00:00:00"/>
    <x v="211"/>
    <x v="0"/>
    <x v="28"/>
    <n v="15"/>
    <x v="1"/>
    <x v="69"/>
    <x v="0"/>
    <m/>
    <x v="1"/>
    <m/>
    <x v="1"/>
  </r>
  <r>
    <n v="5789837"/>
    <d v="2020-12-30T00:00:00"/>
    <x v="96"/>
    <x v="1"/>
    <x v="9"/>
    <m/>
    <x v="1"/>
    <x v="76"/>
    <x v="0"/>
    <m/>
    <x v="1"/>
    <m/>
    <x v="0"/>
  </r>
  <r>
    <n v="1029343"/>
    <d v="2020-09-02T00:00:00"/>
    <x v="128"/>
    <x v="1"/>
    <x v="9"/>
    <m/>
    <x v="1"/>
    <x v="69"/>
    <x v="0"/>
    <m/>
    <x v="1"/>
    <m/>
    <x v="3"/>
  </r>
  <r>
    <n v="1140844"/>
    <d v="2020-07-05T00:00:00"/>
    <x v="81"/>
    <x v="0"/>
    <x v="27"/>
    <n v="12"/>
    <x v="1"/>
    <x v="59"/>
    <x v="0"/>
    <m/>
    <x v="1"/>
    <m/>
    <x v="0"/>
  </r>
  <r>
    <n v="1242658"/>
    <d v="2020-09-01T00:00:00"/>
    <x v="58"/>
    <x v="1"/>
    <x v="5"/>
    <m/>
    <x v="0"/>
    <x v="76"/>
    <x v="0"/>
    <m/>
    <x v="1"/>
    <m/>
    <x v="0"/>
  </r>
  <r>
    <n v="1514775"/>
    <d v="2020-07-24T00:00:00"/>
    <x v="191"/>
    <x v="0"/>
    <x v="40"/>
    <n v="8"/>
    <x v="1"/>
    <x v="2"/>
    <x v="0"/>
    <m/>
    <x v="1"/>
    <m/>
    <x v="0"/>
  </r>
  <r>
    <n v="1633398"/>
    <d v="2020-08-01T00:00:00"/>
    <x v="52"/>
    <x v="1"/>
    <x v="9"/>
    <m/>
    <x v="1"/>
    <x v="83"/>
    <x v="0"/>
    <m/>
    <x v="1"/>
    <m/>
    <x v="0"/>
  </r>
  <r>
    <n v="1677617"/>
    <d v="2020-08-02T00:00:00"/>
    <x v="29"/>
    <x v="0"/>
    <x v="37"/>
    <n v="1"/>
    <x v="1"/>
    <x v="33"/>
    <x v="0"/>
    <m/>
    <x v="1"/>
    <m/>
    <x v="0"/>
  </r>
  <r>
    <n v="1689423"/>
    <d v="2020-08-04T00:00:00"/>
    <x v="29"/>
    <x v="15"/>
    <x v="89"/>
    <m/>
    <x v="1"/>
    <x v="35"/>
    <x v="0"/>
    <m/>
    <x v="1"/>
    <m/>
    <x v="0"/>
  </r>
  <r>
    <n v="1811465"/>
    <d v="2020-08-10T00:00:00"/>
    <x v="8"/>
    <x v="1"/>
    <x v="92"/>
    <m/>
    <x v="1"/>
    <x v="16"/>
    <x v="0"/>
    <m/>
    <x v="1"/>
    <m/>
    <x v="3"/>
  </r>
  <r>
    <n v="1813954"/>
    <d v="2020-08-10T00:00:00"/>
    <x v="8"/>
    <x v="1"/>
    <x v="9"/>
    <m/>
    <x v="1"/>
    <x v="12"/>
    <x v="0"/>
    <m/>
    <x v="1"/>
    <m/>
    <x v="1"/>
  </r>
  <r>
    <n v="1824117"/>
    <d v="2020-08-11T00:00:00"/>
    <x v="138"/>
    <x v="0"/>
    <x v="4"/>
    <n v="7"/>
    <x v="0"/>
    <x v="23"/>
    <x v="0"/>
    <m/>
    <x v="1"/>
    <m/>
    <x v="0"/>
  </r>
  <r>
    <n v="1844578"/>
    <d v="2020-08-11T00:00:00"/>
    <x v="22"/>
    <x v="1"/>
    <x v="9"/>
    <m/>
    <x v="1"/>
    <x v="87"/>
    <x v="0"/>
    <m/>
    <x v="1"/>
    <m/>
    <x v="3"/>
  </r>
  <r>
    <n v="1908386"/>
    <d v="2020-08-28T00:00:00"/>
    <x v="158"/>
    <x v="0"/>
    <x v="7"/>
    <n v="6"/>
    <x v="1"/>
    <x v="20"/>
    <x v="0"/>
    <m/>
    <x v="1"/>
    <m/>
    <x v="0"/>
  </r>
  <r>
    <n v="1921451"/>
    <d v="2020-08-31T00:00:00"/>
    <x v="80"/>
    <x v="0"/>
    <x v="39"/>
    <n v="12"/>
    <x v="1"/>
    <x v="32"/>
    <x v="0"/>
    <m/>
    <x v="1"/>
    <m/>
    <x v="0"/>
  </r>
  <r>
    <n v="1961680"/>
    <d v="2020-08-31T00:00:00"/>
    <x v="80"/>
    <x v="1"/>
    <x v="62"/>
    <m/>
    <x v="1"/>
    <x v="78"/>
    <x v="0"/>
    <m/>
    <x v="1"/>
    <m/>
    <x v="0"/>
  </r>
  <r>
    <n v="1965993"/>
    <d v="2020-08-28T00:00:00"/>
    <x v="158"/>
    <x v="0"/>
    <x v="2"/>
    <n v="3"/>
    <x v="1"/>
    <x v="60"/>
    <x v="0"/>
    <m/>
    <x v="1"/>
    <m/>
    <x v="4"/>
  </r>
  <r>
    <n v="1990006"/>
    <d v="2020-08-19T00:00:00"/>
    <x v="32"/>
    <x v="0"/>
    <x v="7"/>
    <n v="6"/>
    <x v="1"/>
    <x v="93"/>
    <x v="0"/>
    <m/>
    <x v="1"/>
    <m/>
    <x v="0"/>
  </r>
  <r>
    <n v="1992613"/>
    <d v="2020-08-19T00:00:00"/>
    <x v="11"/>
    <x v="0"/>
    <x v="11"/>
    <n v="14"/>
    <x v="0"/>
    <x v="41"/>
    <x v="0"/>
    <m/>
    <x v="1"/>
    <m/>
    <x v="4"/>
  </r>
  <r>
    <n v="2022080"/>
    <d v="2020-08-21T00:00:00"/>
    <x v="116"/>
    <x v="0"/>
    <x v="36"/>
    <n v="3"/>
    <x v="1"/>
    <x v="2"/>
    <x v="0"/>
    <m/>
    <x v="1"/>
    <m/>
    <x v="0"/>
  </r>
  <r>
    <n v="2028758"/>
    <d v="2020-08-20T00:00:00"/>
    <x v="11"/>
    <x v="0"/>
    <x v="3"/>
    <n v="13"/>
    <x v="0"/>
    <x v="30"/>
    <x v="0"/>
    <m/>
    <x v="1"/>
    <m/>
    <x v="0"/>
  </r>
  <r>
    <n v="2030129"/>
    <d v="2020-08-21T00:00:00"/>
    <x v="116"/>
    <x v="0"/>
    <x v="35"/>
    <n v="9"/>
    <x v="1"/>
    <x v="54"/>
    <x v="0"/>
    <m/>
    <x v="1"/>
    <m/>
    <x v="0"/>
  </r>
  <r>
    <n v="2040588"/>
    <d v="2020-09-02T00:00:00"/>
    <x v="44"/>
    <x v="1"/>
    <x v="12"/>
    <m/>
    <x v="1"/>
    <x v="69"/>
    <x v="0"/>
    <m/>
    <x v="1"/>
    <m/>
    <x v="0"/>
  </r>
  <r>
    <n v="2046655"/>
    <d v="2020-08-19T00:00:00"/>
    <x v="147"/>
    <x v="1"/>
    <x v="12"/>
    <m/>
    <x v="1"/>
    <x v="56"/>
    <x v="0"/>
    <m/>
    <x v="1"/>
    <m/>
    <x v="0"/>
  </r>
  <r>
    <n v="2056486"/>
    <d v="2020-08-25T00:00:00"/>
    <x v="131"/>
    <x v="0"/>
    <x v="4"/>
    <n v="7"/>
    <x v="1"/>
    <x v="0"/>
    <x v="0"/>
    <m/>
    <x v="1"/>
    <m/>
    <x v="3"/>
  </r>
  <r>
    <n v="2065577"/>
    <d v="2020-08-24T00:00:00"/>
    <x v="37"/>
    <x v="0"/>
    <x v="64"/>
    <n v="7"/>
    <x v="0"/>
    <x v="77"/>
    <x v="0"/>
    <m/>
    <x v="1"/>
    <m/>
    <x v="0"/>
  </r>
  <r>
    <n v="2076602"/>
    <d v="2020-09-01T00:00:00"/>
    <x v="58"/>
    <x v="0"/>
    <x v="2"/>
    <n v="3"/>
    <x v="1"/>
    <x v="64"/>
    <x v="0"/>
    <m/>
    <x v="1"/>
    <m/>
    <x v="0"/>
  </r>
  <r>
    <n v="2088808"/>
    <d v="2020-08-25T00:00:00"/>
    <x v="95"/>
    <x v="1"/>
    <x v="9"/>
    <m/>
    <x v="1"/>
    <x v="57"/>
    <x v="0"/>
    <m/>
    <x v="1"/>
    <m/>
    <x v="0"/>
  </r>
  <r>
    <n v="2092596"/>
    <d v="2020-09-01T00:00:00"/>
    <x v="44"/>
    <x v="0"/>
    <x v="17"/>
    <n v="8"/>
    <x v="1"/>
    <x v="71"/>
    <x v="0"/>
    <m/>
    <x v="1"/>
    <m/>
    <x v="0"/>
  </r>
  <r>
    <n v="2102111"/>
    <d v="2020-08-24T00:00:00"/>
    <x v="131"/>
    <x v="0"/>
    <x v="8"/>
    <n v="1"/>
    <x v="1"/>
    <x v="79"/>
    <x v="0"/>
    <m/>
    <x v="1"/>
    <m/>
    <x v="0"/>
  </r>
  <r>
    <n v="2109159"/>
    <d v="2020-08-26T00:00:00"/>
    <x v="95"/>
    <x v="1"/>
    <x v="92"/>
    <m/>
    <x v="0"/>
    <x v="19"/>
    <x v="0"/>
    <m/>
    <x v="1"/>
    <m/>
    <x v="0"/>
  </r>
  <r>
    <n v="2113986"/>
    <d v="2020-09-03T00:00:00"/>
    <x v="128"/>
    <x v="0"/>
    <x v="44"/>
    <n v="10"/>
    <x v="0"/>
    <x v="79"/>
    <x v="0"/>
    <m/>
    <x v="1"/>
    <m/>
    <x v="0"/>
  </r>
  <r>
    <n v="2225243"/>
    <d v="2020-08-30T00:00:00"/>
    <x v="80"/>
    <x v="0"/>
    <x v="6"/>
    <n v="5"/>
    <x v="0"/>
    <x v="38"/>
    <x v="0"/>
    <m/>
    <x v="1"/>
    <m/>
    <x v="0"/>
  </r>
  <r>
    <n v="2225365"/>
    <d v="2020-08-30T00:00:00"/>
    <x v="80"/>
    <x v="0"/>
    <x v="22"/>
    <n v="10"/>
    <x v="0"/>
    <x v="59"/>
    <x v="0"/>
    <m/>
    <x v="1"/>
    <m/>
    <x v="0"/>
  </r>
  <r>
    <n v="2225876"/>
    <d v="2020-08-30T00:00:00"/>
    <x v="64"/>
    <x v="0"/>
    <x v="10"/>
    <n v="2"/>
    <x v="1"/>
    <x v="25"/>
    <x v="0"/>
    <m/>
    <x v="1"/>
    <m/>
    <x v="3"/>
  </r>
  <r>
    <n v="2226026"/>
    <d v="2020-08-31T00:00:00"/>
    <x v="80"/>
    <x v="0"/>
    <x v="14"/>
    <n v="15"/>
    <x v="1"/>
    <x v="45"/>
    <x v="0"/>
    <m/>
    <x v="1"/>
    <m/>
    <x v="3"/>
  </r>
  <r>
    <n v="2227820"/>
    <d v="2020-08-29T00:00:00"/>
    <x v="176"/>
    <x v="0"/>
    <x v="17"/>
    <n v="8"/>
    <x v="1"/>
    <x v="41"/>
    <x v="0"/>
    <m/>
    <x v="1"/>
    <m/>
    <x v="0"/>
  </r>
  <r>
    <n v="2228042"/>
    <d v="2020-08-30T00:00:00"/>
    <x v="64"/>
    <x v="0"/>
    <x v="4"/>
    <n v="7"/>
    <x v="0"/>
    <x v="46"/>
    <x v="0"/>
    <m/>
    <x v="1"/>
    <m/>
    <x v="3"/>
  </r>
  <r>
    <n v="2228079"/>
    <d v="2020-08-28T00:00:00"/>
    <x v="158"/>
    <x v="0"/>
    <x v="4"/>
    <n v="7"/>
    <x v="1"/>
    <x v="70"/>
    <x v="0"/>
    <m/>
    <x v="1"/>
    <m/>
    <x v="0"/>
  </r>
  <r>
    <n v="2228133"/>
    <d v="2020-08-28T00:00:00"/>
    <x v="158"/>
    <x v="0"/>
    <x v="4"/>
    <n v="7"/>
    <x v="1"/>
    <x v="70"/>
    <x v="0"/>
    <m/>
    <x v="1"/>
    <m/>
    <x v="0"/>
  </r>
  <r>
    <n v="2228179"/>
    <d v="2020-08-28T00:00:00"/>
    <x v="158"/>
    <x v="0"/>
    <x v="4"/>
    <n v="7"/>
    <x v="0"/>
    <x v="24"/>
    <x v="0"/>
    <m/>
    <x v="1"/>
    <m/>
    <x v="0"/>
  </r>
  <r>
    <n v="2228441"/>
    <d v="2020-08-30T00:00:00"/>
    <x v="64"/>
    <x v="0"/>
    <x v="11"/>
    <n v="14"/>
    <x v="1"/>
    <x v="48"/>
    <x v="0"/>
    <m/>
    <x v="1"/>
    <m/>
    <x v="4"/>
  </r>
  <r>
    <n v="2228471"/>
    <d v="2020-08-30T00:00:00"/>
    <x v="64"/>
    <x v="0"/>
    <x v="0"/>
    <n v="15"/>
    <x v="0"/>
    <x v="87"/>
    <x v="0"/>
    <m/>
    <x v="1"/>
    <m/>
    <x v="4"/>
  </r>
  <r>
    <n v="2228487"/>
    <d v="2020-08-28T00:00:00"/>
    <x v="64"/>
    <x v="0"/>
    <x v="54"/>
    <n v="10"/>
    <x v="0"/>
    <x v="41"/>
    <x v="0"/>
    <m/>
    <x v="1"/>
    <m/>
    <x v="0"/>
  </r>
  <r>
    <n v="2228568"/>
    <d v="2020-08-30T00:00:00"/>
    <x v="142"/>
    <x v="1"/>
    <x v="12"/>
    <m/>
    <x v="0"/>
    <x v="60"/>
    <x v="0"/>
    <m/>
    <x v="1"/>
    <m/>
    <x v="0"/>
  </r>
  <r>
    <n v="2228777"/>
    <d v="2020-08-29T00:00:00"/>
    <x v="64"/>
    <x v="0"/>
    <x v="10"/>
    <n v="2"/>
    <x v="0"/>
    <x v="79"/>
    <x v="0"/>
    <m/>
    <x v="1"/>
    <m/>
    <x v="1"/>
  </r>
  <r>
    <n v="2229469"/>
    <d v="2020-08-28T00:00:00"/>
    <x v="158"/>
    <x v="1"/>
    <x v="30"/>
    <m/>
    <x v="0"/>
    <x v="93"/>
    <x v="0"/>
    <m/>
    <x v="1"/>
    <m/>
    <x v="0"/>
  </r>
  <r>
    <n v="2229473"/>
    <d v="2020-08-28T00:00:00"/>
    <x v="158"/>
    <x v="0"/>
    <x v="35"/>
    <n v="9"/>
    <x v="0"/>
    <x v="84"/>
    <x v="0"/>
    <m/>
    <x v="1"/>
    <m/>
    <x v="0"/>
  </r>
  <r>
    <n v="2229477"/>
    <d v="2020-08-28T00:00:00"/>
    <x v="158"/>
    <x v="0"/>
    <x v="35"/>
    <n v="9"/>
    <x v="0"/>
    <x v="100"/>
    <x v="0"/>
    <m/>
    <x v="1"/>
    <m/>
    <x v="0"/>
  </r>
  <r>
    <n v="2229485"/>
    <d v="2020-08-28T00:00:00"/>
    <x v="158"/>
    <x v="0"/>
    <x v="4"/>
    <n v="7"/>
    <x v="1"/>
    <x v="32"/>
    <x v="0"/>
    <m/>
    <x v="1"/>
    <m/>
    <x v="0"/>
  </r>
  <r>
    <n v="2231668"/>
    <d v="2020-08-31T00:00:00"/>
    <x v="80"/>
    <x v="0"/>
    <x v="15"/>
    <n v="1"/>
    <x v="1"/>
    <x v="69"/>
    <x v="0"/>
    <m/>
    <x v="1"/>
    <m/>
    <x v="1"/>
  </r>
  <r>
    <n v="2232235"/>
    <d v="2020-08-30T00:00:00"/>
    <x v="80"/>
    <x v="1"/>
    <x v="12"/>
    <m/>
    <x v="0"/>
    <x v="68"/>
    <x v="0"/>
    <m/>
    <x v="1"/>
    <m/>
    <x v="1"/>
  </r>
  <r>
    <n v="2232705"/>
    <d v="2020-08-30T00:00:00"/>
    <x v="64"/>
    <x v="0"/>
    <x v="40"/>
    <n v="8"/>
    <x v="0"/>
    <x v="72"/>
    <x v="0"/>
    <m/>
    <x v="1"/>
    <m/>
    <x v="1"/>
  </r>
  <r>
    <n v="2232992"/>
    <d v="2020-08-30T00:00:00"/>
    <x v="64"/>
    <x v="0"/>
    <x v="40"/>
    <n v="8"/>
    <x v="0"/>
    <x v="91"/>
    <x v="0"/>
    <m/>
    <x v="1"/>
    <m/>
    <x v="1"/>
  </r>
  <r>
    <n v="2233620"/>
    <d v="2020-08-30T00:00:00"/>
    <x v="64"/>
    <x v="0"/>
    <x v="4"/>
    <n v="7"/>
    <x v="1"/>
    <x v="68"/>
    <x v="0"/>
    <m/>
    <x v="1"/>
    <m/>
    <x v="3"/>
  </r>
  <r>
    <n v="2234207"/>
    <d v="2020-08-29T00:00:00"/>
    <x v="176"/>
    <x v="0"/>
    <x v="40"/>
    <n v="8"/>
    <x v="0"/>
    <x v="32"/>
    <x v="0"/>
    <m/>
    <x v="1"/>
    <m/>
    <x v="0"/>
  </r>
  <r>
    <n v="2234476"/>
    <d v="2020-08-29T00:00:00"/>
    <x v="176"/>
    <x v="0"/>
    <x v="46"/>
    <n v="4"/>
    <x v="0"/>
    <x v="94"/>
    <x v="0"/>
    <m/>
    <x v="1"/>
    <m/>
    <x v="0"/>
  </r>
  <r>
    <n v="2234529"/>
    <d v="2020-08-29T00:00:00"/>
    <x v="176"/>
    <x v="0"/>
    <x v="46"/>
    <n v="4"/>
    <x v="1"/>
    <x v="2"/>
    <x v="0"/>
    <m/>
    <x v="1"/>
    <m/>
    <x v="1"/>
  </r>
  <r>
    <n v="2234885"/>
    <d v="2020-08-29T00:00:00"/>
    <x v="176"/>
    <x v="1"/>
    <x v="12"/>
    <m/>
    <x v="1"/>
    <x v="79"/>
    <x v="0"/>
    <m/>
    <x v="1"/>
    <m/>
    <x v="1"/>
  </r>
  <r>
    <n v="2235462"/>
    <d v="2020-08-29T00:00:00"/>
    <x v="176"/>
    <x v="0"/>
    <x v="40"/>
    <n v="8"/>
    <x v="0"/>
    <x v="30"/>
    <x v="0"/>
    <m/>
    <x v="1"/>
    <m/>
    <x v="1"/>
  </r>
  <r>
    <n v="2242968"/>
    <d v="2020-08-31T00:00:00"/>
    <x v="80"/>
    <x v="0"/>
    <x v="24"/>
    <n v="4"/>
    <x v="1"/>
    <x v="29"/>
    <x v="0"/>
    <m/>
    <x v="1"/>
    <m/>
    <x v="3"/>
  </r>
  <r>
    <n v="2243057"/>
    <d v="2020-08-27T00:00:00"/>
    <x v="158"/>
    <x v="1"/>
    <x v="12"/>
    <m/>
    <x v="0"/>
    <x v="56"/>
    <x v="0"/>
    <m/>
    <x v="1"/>
    <m/>
    <x v="0"/>
  </r>
  <r>
    <n v="2243338"/>
    <d v="2020-08-31T00:00:00"/>
    <x v="128"/>
    <x v="0"/>
    <x v="41"/>
    <n v="1"/>
    <x v="0"/>
    <x v="61"/>
    <x v="0"/>
    <m/>
    <x v="1"/>
    <m/>
    <x v="0"/>
  </r>
  <r>
    <n v="2244747"/>
    <d v="2020-08-29T00:00:00"/>
    <x v="80"/>
    <x v="1"/>
    <x v="12"/>
    <m/>
    <x v="0"/>
    <x v="79"/>
    <x v="0"/>
    <m/>
    <x v="1"/>
    <m/>
    <x v="0"/>
  </r>
  <r>
    <n v="2248377"/>
    <d v="2020-08-29T00:00:00"/>
    <x v="176"/>
    <x v="0"/>
    <x v="11"/>
    <n v="14"/>
    <x v="1"/>
    <x v="87"/>
    <x v="0"/>
    <m/>
    <x v="1"/>
    <m/>
    <x v="0"/>
  </r>
  <r>
    <n v="2248776"/>
    <d v="2020-08-29T00:00:00"/>
    <x v="176"/>
    <x v="1"/>
    <x v="30"/>
    <m/>
    <x v="0"/>
    <x v="7"/>
    <x v="0"/>
    <m/>
    <x v="1"/>
    <m/>
    <x v="1"/>
  </r>
  <r>
    <n v="2249379"/>
    <d v="2020-08-29T00:00:00"/>
    <x v="176"/>
    <x v="0"/>
    <x v="3"/>
    <n v="13"/>
    <x v="1"/>
    <x v="42"/>
    <x v="0"/>
    <m/>
    <x v="1"/>
    <m/>
    <x v="3"/>
  </r>
  <r>
    <n v="2251380"/>
    <d v="2020-08-31T00:00:00"/>
    <x v="58"/>
    <x v="0"/>
    <x v="11"/>
    <n v="14"/>
    <x v="0"/>
    <x v="77"/>
    <x v="0"/>
    <m/>
    <x v="1"/>
    <m/>
    <x v="1"/>
  </r>
  <r>
    <n v="2252128"/>
    <d v="2020-08-30T00:00:00"/>
    <x v="64"/>
    <x v="1"/>
    <x v="12"/>
    <m/>
    <x v="1"/>
    <x v="67"/>
    <x v="0"/>
    <m/>
    <x v="1"/>
    <m/>
    <x v="0"/>
  </r>
  <r>
    <n v="2252397"/>
    <d v="2020-08-30T00:00:00"/>
    <x v="64"/>
    <x v="0"/>
    <x v="43"/>
    <n v="11"/>
    <x v="1"/>
    <x v="61"/>
    <x v="0"/>
    <m/>
    <x v="1"/>
    <m/>
    <x v="0"/>
  </r>
  <r>
    <n v="2252943"/>
    <d v="2020-08-31T00:00:00"/>
    <x v="44"/>
    <x v="0"/>
    <x v="35"/>
    <n v="9"/>
    <x v="1"/>
    <x v="24"/>
    <x v="0"/>
    <m/>
    <x v="1"/>
    <m/>
    <x v="0"/>
  </r>
  <r>
    <n v="2253722"/>
    <d v="2020-08-29T00:00:00"/>
    <x v="80"/>
    <x v="1"/>
    <x v="9"/>
    <m/>
    <x v="0"/>
    <x v="52"/>
    <x v="0"/>
    <m/>
    <x v="1"/>
    <m/>
    <x v="0"/>
  </r>
  <r>
    <n v="2254014"/>
    <d v="2020-08-30T00:00:00"/>
    <x v="64"/>
    <x v="0"/>
    <x v="54"/>
    <n v="10"/>
    <x v="0"/>
    <x v="11"/>
    <x v="0"/>
    <m/>
    <x v="1"/>
    <m/>
    <x v="0"/>
  </r>
  <r>
    <n v="2254062"/>
    <d v="2020-08-31T00:00:00"/>
    <x v="80"/>
    <x v="1"/>
    <x v="12"/>
    <m/>
    <x v="1"/>
    <x v="39"/>
    <x v="0"/>
    <m/>
    <x v="1"/>
    <m/>
    <x v="1"/>
  </r>
  <r>
    <n v="2254461"/>
    <d v="2020-08-31T00:00:00"/>
    <x v="80"/>
    <x v="0"/>
    <x v="35"/>
    <n v="9"/>
    <x v="1"/>
    <x v="68"/>
    <x v="0"/>
    <m/>
    <x v="1"/>
    <m/>
    <x v="1"/>
  </r>
  <r>
    <n v="2258234"/>
    <d v="2020-08-31T00:00:00"/>
    <x v="80"/>
    <x v="0"/>
    <x v="31"/>
    <n v="10"/>
    <x v="0"/>
    <x v="70"/>
    <x v="0"/>
    <m/>
    <x v="1"/>
    <m/>
    <x v="0"/>
  </r>
  <r>
    <n v="2258248"/>
    <d v="2020-08-31T00:00:00"/>
    <x v="80"/>
    <x v="0"/>
    <x v="31"/>
    <n v="10"/>
    <x v="0"/>
    <x v="50"/>
    <x v="0"/>
    <m/>
    <x v="1"/>
    <m/>
    <x v="0"/>
  </r>
  <r>
    <n v="2258356"/>
    <d v="2020-08-31T00:00:00"/>
    <x v="80"/>
    <x v="0"/>
    <x v="35"/>
    <n v="9"/>
    <x v="1"/>
    <x v="18"/>
    <x v="0"/>
    <m/>
    <x v="1"/>
    <m/>
    <x v="0"/>
  </r>
  <r>
    <n v="2259210"/>
    <d v="2020-08-31T00:00:00"/>
    <x v="128"/>
    <x v="0"/>
    <x v="39"/>
    <n v="12"/>
    <x v="1"/>
    <x v="39"/>
    <x v="0"/>
    <m/>
    <x v="1"/>
    <m/>
    <x v="1"/>
  </r>
  <r>
    <n v="2260714"/>
    <d v="2020-09-01T00:00:00"/>
    <x v="58"/>
    <x v="1"/>
    <x v="12"/>
    <m/>
    <x v="0"/>
    <x v="51"/>
    <x v="0"/>
    <m/>
    <x v="1"/>
    <m/>
    <x v="1"/>
  </r>
  <r>
    <n v="2261179"/>
    <d v="2020-09-01T00:00:00"/>
    <x v="58"/>
    <x v="1"/>
    <x v="12"/>
    <m/>
    <x v="1"/>
    <x v="87"/>
    <x v="0"/>
    <m/>
    <x v="1"/>
    <m/>
    <x v="1"/>
  </r>
  <r>
    <n v="2261310"/>
    <d v="2020-09-01T00:00:00"/>
    <x v="58"/>
    <x v="1"/>
    <x v="30"/>
    <m/>
    <x v="0"/>
    <x v="48"/>
    <x v="0"/>
    <m/>
    <x v="1"/>
    <m/>
    <x v="4"/>
  </r>
  <r>
    <n v="2263324"/>
    <d v="2020-08-31T00:00:00"/>
    <x v="58"/>
    <x v="0"/>
    <x v="2"/>
    <n v="3"/>
    <x v="0"/>
    <x v="51"/>
    <x v="0"/>
    <m/>
    <x v="1"/>
    <m/>
    <x v="0"/>
  </r>
  <r>
    <n v="2265130"/>
    <d v="2020-09-01T00:00:00"/>
    <x v="58"/>
    <x v="0"/>
    <x v="35"/>
    <n v="9"/>
    <x v="1"/>
    <x v="69"/>
    <x v="0"/>
    <m/>
    <x v="1"/>
    <m/>
    <x v="0"/>
  </r>
  <r>
    <n v="2265300"/>
    <d v="2020-09-01T00:00:00"/>
    <x v="58"/>
    <x v="0"/>
    <x v="35"/>
    <n v="9"/>
    <x v="1"/>
    <x v="51"/>
    <x v="0"/>
    <m/>
    <x v="1"/>
    <m/>
    <x v="0"/>
  </r>
  <r>
    <n v="2265709"/>
    <d v="2020-09-01T00:00:00"/>
    <x v="58"/>
    <x v="1"/>
    <x v="12"/>
    <m/>
    <x v="1"/>
    <x v="32"/>
    <x v="0"/>
    <m/>
    <x v="1"/>
    <m/>
    <x v="0"/>
  </r>
  <r>
    <n v="2265794"/>
    <d v="2020-09-01T00:00:00"/>
    <x v="58"/>
    <x v="0"/>
    <x v="2"/>
    <n v="3"/>
    <x v="1"/>
    <x v="84"/>
    <x v="0"/>
    <m/>
    <x v="1"/>
    <m/>
    <x v="0"/>
  </r>
  <r>
    <n v="2268498"/>
    <d v="2020-08-31T00:00:00"/>
    <x v="58"/>
    <x v="0"/>
    <x v="6"/>
    <n v="5"/>
    <x v="1"/>
    <x v="10"/>
    <x v="0"/>
    <m/>
    <x v="1"/>
    <m/>
    <x v="3"/>
  </r>
  <r>
    <n v="2271252"/>
    <d v="2020-09-01T00:00:00"/>
    <x v="58"/>
    <x v="1"/>
    <x v="9"/>
    <m/>
    <x v="0"/>
    <x v="39"/>
    <x v="0"/>
    <m/>
    <x v="1"/>
    <m/>
    <x v="0"/>
  </r>
  <r>
    <n v="2272987"/>
    <d v="2020-09-01T00:00:00"/>
    <x v="58"/>
    <x v="0"/>
    <x v="38"/>
    <n v="13"/>
    <x v="0"/>
    <x v="61"/>
    <x v="0"/>
    <m/>
    <x v="1"/>
    <m/>
    <x v="0"/>
  </r>
  <r>
    <n v="2273257"/>
    <d v="2020-08-29T00:00:00"/>
    <x v="58"/>
    <x v="1"/>
    <x v="12"/>
    <m/>
    <x v="0"/>
    <x v="43"/>
    <x v="0"/>
    <m/>
    <x v="1"/>
    <m/>
    <x v="0"/>
  </r>
  <r>
    <n v="2273357"/>
    <d v="2020-08-29T00:00:00"/>
    <x v="58"/>
    <x v="1"/>
    <x v="12"/>
    <m/>
    <x v="1"/>
    <x v="68"/>
    <x v="0"/>
    <m/>
    <x v="1"/>
    <m/>
    <x v="0"/>
  </r>
  <r>
    <n v="1810662"/>
    <d v="2020-08-11T00:00:00"/>
    <x v="138"/>
    <x v="1"/>
    <x v="12"/>
    <m/>
    <x v="0"/>
    <x v="87"/>
    <x v="0"/>
    <m/>
    <x v="1"/>
    <m/>
    <x v="0"/>
  </r>
  <r>
    <n v="2273497"/>
    <d v="2020-09-01T00:00:00"/>
    <x v="58"/>
    <x v="1"/>
    <x v="92"/>
    <m/>
    <x v="1"/>
    <x v="60"/>
    <x v="0"/>
    <m/>
    <x v="1"/>
    <m/>
    <x v="1"/>
  </r>
  <r>
    <n v="2274197"/>
    <d v="2020-09-01T00:00:00"/>
    <x v="58"/>
    <x v="0"/>
    <x v="7"/>
    <n v="6"/>
    <x v="0"/>
    <x v="65"/>
    <x v="0"/>
    <m/>
    <x v="1"/>
    <m/>
    <x v="0"/>
  </r>
  <r>
    <n v="2274859"/>
    <d v="2020-09-01T00:00:00"/>
    <x v="44"/>
    <x v="0"/>
    <x v="36"/>
    <n v="3"/>
    <x v="0"/>
    <x v="94"/>
    <x v="0"/>
    <m/>
    <x v="1"/>
    <m/>
    <x v="1"/>
  </r>
  <r>
    <n v="2275630"/>
    <d v="2020-09-01T00:00:00"/>
    <x v="58"/>
    <x v="1"/>
    <x v="9"/>
    <m/>
    <x v="0"/>
    <x v="87"/>
    <x v="0"/>
    <m/>
    <x v="1"/>
    <m/>
    <x v="1"/>
  </r>
  <r>
    <n v="2276307"/>
    <d v="2020-09-01T00:00:00"/>
    <x v="44"/>
    <x v="0"/>
    <x v="48"/>
    <n v="5"/>
    <x v="1"/>
    <x v="69"/>
    <x v="0"/>
    <m/>
    <x v="1"/>
    <m/>
    <x v="0"/>
  </r>
  <r>
    <n v="2277476"/>
    <d v="2020-09-01T00:00:00"/>
    <x v="44"/>
    <x v="1"/>
    <x v="12"/>
    <m/>
    <x v="1"/>
    <x v="99"/>
    <x v="0"/>
    <m/>
    <x v="1"/>
    <m/>
    <x v="1"/>
  </r>
  <r>
    <n v="2278879"/>
    <d v="2020-09-01T00:00:00"/>
    <x v="44"/>
    <x v="1"/>
    <x v="30"/>
    <m/>
    <x v="1"/>
    <x v="12"/>
    <x v="0"/>
    <m/>
    <x v="1"/>
    <m/>
    <x v="0"/>
  </r>
  <r>
    <n v="2279879"/>
    <d v="2020-09-01T00:00:00"/>
    <x v="44"/>
    <x v="0"/>
    <x v="22"/>
    <n v="10"/>
    <x v="0"/>
    <x v="64"/>
    <x v="0"/>
    <m/>
    <x v="1"/>
    <m/>
    <x v="0"/>
  </r>
  <r>
    <n v="2280596"/>
    <d v="2020-09-01T00:00:00"/>
    <x v="58"/>
    <x v="0"/>
    <x v="6"/>
    <n v="5"/>
    <x v="0"/>
    <x v="69"/>
    <x v="0"/>
    <m/>
    <x v="1"/>
    <m/>
    <x v="3"/>
  </r>
  <r>
    <n v="2280634"/>
    <d v="2020-09-02T00:00:00"/>
    <x v="128"/>
    <x v="1"/>
    <x v="12"/>
    <m/>
    <x v="1"/>
    <x v="11"/>
    <x v="0"/>
    <m/>
    <x v="1"/>
    <m/>
    <x v="1"/>
  </r>
  <r>
    <n v="2281014"/>
    <d v="2020-09-01T00:00:00"/>
    <x v="58"/>
    <x v="1"/>
    <x v="92"/>
    <m/>
    <x v="1"/>
    <x v="73"/>
    <x v="0"/>
    <m/>
    <x v="1"/>
    <m/>
    <x v="3"/>
  </r>
  <r>
    <n v="2256250"/>
    <d v="2020-09-02T00:00:00"/>
    <x v="44"/>
    <x v="1"/>
    <x v="30"/>
    <m/>
    <x v="0"/>
    <x v="87"/>
    <x v="0"/>
    <m/>
    <x v="1"/>
    <m/>
    <x v="0"/>
  </r>
  <r>
    <n v="2256309"/>
    <d v="2020-08-31T00:00:00"/>
    <x v="80"/>
    <x v="0"/>
    <x v="57"/>
    <n v="1"/>
    <x v="1"/>
    <x v="95"/>
    <x v="0"/>
    <m/>
    <x v="1"/>
    <m/>
    <x v="3"/>
  </r>
  <r>
    <n v="2256377"/>
    <d v="2020-08-31T00:00:00"/>
    <x v="80"/>
    <x v="0"/>
    <x v="4"/>
    <n v="7"/>
    <x v="1"/>
    <x v="18"/>
    <x v="0"/>
    <m/>
    <x v="1"/>
    <m/>
    <x v="0"/>
  </r>
  <r>
    <n v="2257613"/>
    <d v="2020-08-31T00:00:00"/>
    <x v="80"/>
    <x v="1"/>
    <x v="12"/>
    <m/>
    <x v="1"/>
    <x v="69"/>
    <x v="0"/>
    <m/>
    <x v="1"/>
    <m/>
    <x v="0"/>
  </r>
  <r>
    <n v="2261929"/>
    <d v="2020-09-01T00:00:00"/>
    <x v="44"/>
    <x v="0"/>
    <x v="11"/>
    <n v="14"/>
    <x v="1"/>
    <x v="67"/>
    <x v="0"/>
    <m/>
    <x v="1"/>
    <m/>
    <x v="0"/>
  </r>
  <r>
    <n v="2263462"/>
    <d v="2020-08-31T00:00:00"/>
    <x v="58"/>
    <x v="0"/>
    <x v="2"/>
    <n v="3"/>
    <x v="1"/>
    <x v="48"/>
    <x v="0"/>
    <m/>
    <x v="1"/>
    <m/>
    <x v="1"/>
  </r>
  <r>
    <n v="2263829"/>
    <d v="2020-08-31T00:00:00"/>
    <x v="58"/>
    <x v="0"/>
    <x v="36"/>
    <n v="3"/>
    <x v="1"/>
    <x v="50"/>
    <x v="0"/>
    <m/>
    <x v="1"/>
    <m/>
    <x v="1"/>
  </r>
  <r>
    <n v="2264163"/>
    <d v="2020-08-30T00:00:00"/>
    <x v="80"/>
    <x v="0"/>
    <x v="44"/>
    <n v="10"/>
    <x v="1"/>
    <x v="76"/>
    <x v="0"/>
    <m/>
    <x v="1"/>
    <m/>
    <x v="3"/>
  </r>
  <r>
    <n v="2264940"/>
    <d v="2020-08-31T00:00:00"/>
    <x v="58"/>
    <x v="0"/>
    <x v="2"/>
    <n v="3"/>
    <x v="0"/>
    <x v="57"/>
    <x v="0"/>
    <m/>
    <x v="1"/>
    <m/>
    <x v="1"/>
  </r>
  <r>
    <n v="2266360"/>
    <d v="2020-08-30T00:00:00"/>
    <x v="80"/>
    <x v="1"/>
    <x v="9"/>
    <m/>
    <x v="1"/>
    <x v="46"/>
    <x v="0"/>
    <m/>
    <x v="1"/>
    <m/>
    <x v="3"/>
  </r>
  <r>
    <n v="2266859"/>
    <d v="2020-09-01T00:00:00"/>
    <x v="58"/>
    <x v="0"/>
    <x v="10"/>
    <n v="2"/>
    <x v="1"/>
    <x v="57"/>
    <x v="0"/>
    <m/>
    <x v="1"/>
    <m/>
    <x v="3"/>
  </r>
  <r>
    <n v="2266992"/>
    <d v="2020-09-02T00:00:00"/>
    <x v="128"/>
    <x v="0"/>
    <x v="41"/>
    <n v="1"/>
    <x v="1"/>
    <x v="2"/>
    <x v="0"/>
    <m/>
    <x v="1"/>
    <m/>
    <x v="3"/>
  </r>
  <r>
    <n v="2267646"/>
    <d v="2020-09-01T00:00:00"/>
    <x v="58"/>
    <x v="0"/>
    <x v="41"/>
    <n v="1"/>
    <x v="1"/>
    <x v="64"/>
    <x v="0"/>
    <m/>
    <x v="1"/>
    <m/>
    <x v="3"/>
  </r>
  <r>
    <n v="2268479"/>
    <d v="2020-09-03T00:00:00"/>
    <x v="128"/>
    <x v="0"/>
    <x v="6"/>
    <n v="5"/>
    <x v="0"/>
    <x v="39"/>
    <x v="0"/>
    <m/>
    <x v="1"/>
    <m/>
    <x v="0"/>
  </r>
  <r>
    <n v="2271947"/>
    <d v="2020-08-31T00:00:00"/>
    <x v="58"/>
    <x v="0"/>
    <x v="39"/>
    <n v="12"/>
    <x v="0"/>
    <x v="83"/>
    <x v="0"/>
    <m/>
    <x v="1"/>
    <m/>
    <x v="3"/>
  </r>
  <r>
    <n v="2272829"/>
    <d v="2020-09-01T00:00:00"/>
    <x v="58"/>
    <x v="0"/>
    <x v="27"/>
    <n v="12"/>
    <x v="1"/>
    <x v="11"/>
    <x v="0"/>
    <m/>
    <x v="1"/>
    <m/>
    <x v="1"/>
  </r>
  <r>
    <n v="2273192"/>
    <d v="2020-09-01T00:00:00"/>
    <x v="58"/>
    <x v="0"/>
    <x v="54"/>
    <n v="10"/>
    <x v="1"/>
    <x v="5"/>
    <x v="0"/>
    <m/>
    <x v="1"/>
    <m/>
    <x v="0"/>
  </r>
  <r>
    <n v="2273311"/>
    <d v="2020-09-01T00:00:00"/>
    <x v="58"/>
    <x v="0"/>
    <x v="48"/>
    <n v="5"/>
    <x v="0"/>
    <x v="87"/>
    <x v="0"/>
    <m/>
    <x v="1"/>
    <m/>
    <x v="1"/>
  </r>
  <r>
    <n v="2273712"/>
    <d v="2020-08-30T00:00:00"/>
    <x v="64"/>
    <x v="0"/>
    <x v="11"/>
    <n v="14"/>
    <x v="1"/>
    <x v="72"/>
    <x v="0"/>
    <m/>
    <x v="1"/>
    <m/>
    <x v="0"/>
  </r>
  <r>
    <n v="2278744"/>
    <d v="2020-08-31T00:00:00"/>
    <x v="80"/>
    <x v="0"/>
    <x v="8"/>
    <n v="1"/>
    <x v="0"/>
    <x v="69"/>
    <x v="0"/>
    <m/>
    <x v="1"/>
    <m/>
    <x v="0"/>
  </r>
  <r>
    <n v="2279376"/>
    <d v="2020-08-31T00:00:00"/>
    <x v="80"/>
    <x v="0"/>
    <x v="46"/>
    <n v="4"/>
    <x v="1"/>
    <x v="59"/>
    <x v="0"/>
    <m/>
    <x v="1"/>
    <m/>
    <x v="0"/>
  </r>
  <r>
    <n v="2280258"/>
    <d v="2020-09-01T00:00:00"/>
    <x v="58"/>
    <x v="1"/>
    <x v="12"/>
    <m/>
    <x v="1"/>
    <x v="71"/>
    <x v="0"/>
    <m/>
    <x v="1"/>
    <m/>
    <x v="1"/>
  </r>
  <r>
    <n v="2282115"/>
    <d v="2020-09-01T00:00:00"/>
    <x v="58"/>
    <x v="0"/>
    <x v="4"/>
    <n v="7"/>
    <x v="0"/>
    <x v="46"/>
    <x v="0"/>
    <m/>
    <x v="1"/>
    <m/>
    <x v="3"/>
  </r>
  <r>
    <n v="2282671"/>
    <d v="2020-09-01T00:00:00"/>
    <x v="58"/>
    <x v="0"/>
    <x v="64"/>
    <n v="7"/>
    <x v="0"/>
    <x v="83"/>
    <x v="0"/>
    <m/>
    <x v="1"/>
    <m/>
    <x v="0"/>
  </r>
  <r>
    <n v="2284030"/>
    <d v="2020-09-01T00:00:00"/>
    <x v="58"/>
    <x v="1"/>
    <x v="12"/>
    <m/>
    <x v="1"/>
    <x v="80"/>
    <x v="0"/>
    <m/>
    <x v="1"/>
    <m/>
    <x v="0"/>
  </r>
  <r>
    <n v="2284049"/>
    <d v="2020-08-31T00:00:00"/>
    <x v="80"/>
    <x v="0"/>
    <x v="36"/>
    <n v="3"/>
    <x v="0"/>
    <x v="57"/>
    <x v="0"/>
    <m/>
    <x v="1"/>
    <m/>
    <x v="0"/>
  </r>
  <r>
    <n v="2284066"/>
    <d v="2020-08-31T00:00:00"/>
    <x v="58"/>
    <x v="1"/>
    <x v="65"/>
    <m/>
    <x v="1"/>
    <x v="76"/>
    <x v="0"/>
    <m/>
    <x v="1"/>
    <m/>
    <x v="0"/>
  </r>
  <r>
    <n v="2284090"/>
    <d v="2020-09-01T00:00:00"/>
    <x v="58"/>
    <x v="0"/>
    <x v="23"/>
    <n v="9"/>
    <x v="0"/>
    <x v="69"/>
    <x v="0"/>
    <m/>
    <x v="1"/>
    <m/>
    <x v="0"/>
  </r>
  <r>
    <n v="2284109"/>
    <d v="2020-08-31T00:00:00"/>
    <x v="80"/>
    <x v="0"/>
    <x v="46"/>
    <n v="4"/>
    <x v="1"/>
    <x v="50"/>
    <x v="0"/>
    <m/>
    <x v="1"/>
    <m/>
    <x v="0"/>
  </r>
  <r>
    <n v="2284162"/>
    <d v="2020-09-01T00:00:00"/>
    <x v="58"/>
    <x v="0"/>
    <x v="40"/>
    <n v="8"/>
    <x v="1"/>
    <x v="64"/>
    <x v="0"/>
    <m/>
    <x v="1"/>
    <m/>
    <x v="0"/>
  </r>
  <r>
    <n v="2284216"/>
    <d v="2020-09-01T00:00:00"/>
    <x v="58"/>
    <x v="1"/>
    <x v="92"/>
    <m/>
    <x v="1"/>
    <x v="55"/>
    <x v="0"/>
    <m/>
    <x v="1"/>
    <m/>
    <x v="0"/>
  </r>
  <r>
    <n v="2284222"/>
    <d v="2020-08-31T00:00:00"/>
    <x v="80"/>
    <x v="0"/>
    <x v="64"/>
    <n v="7"/>
    <x v="0"/>
    <x v="68"/>
    <x v="0"/>
    <m/>
    <x v="1"/>
    <m/>
    <x v="0"/>
  </r>
  <r>
    <n v="2284268"/>
    <d v="2020-08-31T00:00:00"/>
    <x v="80"/>
    <x v="0"/>
    <x v="35"/>
    <n v="9"/>
    <x v="0"/>
    <x v="50"/>
    <x v="0"/>
    <m/>
    <x v="1"/>
    <m/>
    <x v="0"/>
  </r>
  <r>
    <n v="4045692"/>
    <d v="2020-11-01T00:00:00"/>
    <x v="205"/>
    <x v="0"/>
    <x v="2"/>
    <n v="3"/>
    <x v="1"/>
    <x v="76"/>
    <x v="0"/>
    <m/>
    <x v="1"/>
    <m/>
    <x v="0"/>
  </r>
  <r>
    <n v="4045693"/>
    <d v="2020-11-01T00:00:00"/>
    <x v="205"/>
    <x v="0"/>
    <x v="6"/>
    <n v="5"/>
    <x v="1"/>
    <x v="32"/>
    <x v="0"/>
    <m/>
    <x v="1"/>
    <m/>
    <x v="0"/>
  </r>
  <r>
    <n v="4045696"/>
    <d v="2020-11-01T00:00:00"/>
    <x v="205"/>
    <x v="0"/>
    <x v="2"/>
    <n v="3"/>
    <x v="0"/>
    <x v="93"/>
    <x v="0"/>
    <m/>
    <x v="1"/>
    <m/>
    <x v="0"/>
  </r>
  <r>
    <n v="1197227"/>
    <d v="2020-08-25T00:00:00"/>
    <x v="131"/>
    <x v="0"/>
    <x v="15"/>
    <n v="1"/>
    <x v="0"/>
    <x v="48"/>
    <x v="0"/>
    <m/>
    <x v="1"/>
    <m/>
    <x v="1"/>
  </r>
  <r>
    <n v="1615849"/>
    <d v="2020-09-04T00:00:00"/>
    <x v="148"/>
    <x v="0"/>
    <x v="85"/>
    <n v="8"/>
    <x v="0"/>
    <x v="50"/>
    <x v="0"/>
    <m/>
    <x v="1"/>
    <m/>
    <x v="1"/>
  </r>
  <r>
    <n v="1617992"/>
    <d v="2020-07-31T00:00:00"/>
    <x v="60"/>
    <x v="0"/>
    <x v="26"/>
    <n v="11"/>
    <x v="1"/>
    <x v="5"/>
    <x v="0"/>
    <m/>
    <x v="1"/>
    <m/>
    <x v="3"/>
  </r>
  <r>
    <n v="1762069"/>
    <d v="2020-08-16T00:00:00"/>
    <x v="55"/>
    <x v="0"/>
    <x v="4"/>
    <n v="7"/>
    <x v="1"/>
    <x v="15"/>
    <x v="0"/>
    <m/>
    <x v="1"/>
    <m/>
    <x v="1"/>
  </r>
  <r>
    <n v="1764580"/>
    <d v="2020-08-07T00:00:00"/>
    <x v="53"/>
    <x v="1"/>
    <x v="5"/>
    <m/>
    <x v="1"/>
    <x v="41"/>
    <x v="0"/>
    <m/>
    <x v="1"/>
    <m/>
    <x v="0"/>
  </r>
  <r>
    <n v="1826237"/>
    <d v="2020-08-11T00:00:00"/>
    <x v="22"/>
    <x v="0"/>
    <x v="14"/>
    <n v="15"/>
    <x v="0"/>
    <x v="10"/>
    <x v="0"/>
    <m/>
    <x v="1"/>
    <m/>
    <x v="0"/>
  </r>
  <r>
    <n v="1932765"/>
    <d v="2020-08-17T00:00:00"/>
    <x v="136"/>
    <x v="1"/>
    <x v="30"/>
    <m/>
    <x v="1"/>
    <x v="63"/>
    <x v="0"/>
    <m/>
    <x v="1"/>
    <m/>
    <x v="1"/>
  </r>
  <r>
    <n v="1939778"/>
    <d v="2020-08-26T00:00:00"/>
    <x v="95"/>
    <x v="0"/>
    <x v="17"/>
    <n v="8"/>
    <x v="1"/>
    <x v="78"/>
    <x v="0"/>
    <m/>
    <x v="1"/>
    <m/>
    <x v="0"/>
  </r>
  <r>
    <n v="1942913"/>
    <d v="2020-08-17T00:00:00"/>
    <x v="107"/>
    <x v="1"/>
    <x v="9"/>
    <m/>
    <x v="0"/>
    <x v="9"/>
    <x v="0"/>
    <m/>
    <x v="1"/>
    <m/>
    <x v="3"/>
  </r>
  <r>
    <n v="1957914"/>
    <d v="2020-08-31T00:00:00"/>
    <x v="80"/>
    <x v="1"/>
    <x v="62"/>
    <m/>
    <x v="1"/>
    <x v="60"/>
    <x v="0"/>
    <m/>
    <x v="1"/>
    <m/>
    <x v="0"/>
  </r>
  <r>
    <n v="1989863"/>
    <d v="2020-08-17T00:00:00"/>
    <x v="32"/>
    <x v="0"/>
    <x v="8"/>
    <n v="1"/>
    <x v="1"/>
    <x v="21"/>
    <x v="0"/>
    <m/>
    <x v="1"/>
    <m/>
    <x v="0"/>
  </r>
  <r>
    <n v="2007290"/>
    <d v="2020-08-20T00:00:00"/>
    <x v="147"/>
    <x v="0"/>
    <x v="6"/>
    <n v="5"/>
    <x v="1"/>
    <x v="3"/>
    <x v="0"/>
    <m/>
    <x v="1"/>
    <m/>
    <x v="4"/>
  </r>
  <r>
    <n v="2022740"/>
    <d v="2020-08-26T00:00:00"/>
    <x v="95"/>
    <x v="0"/>
    <x v="23"/>
    <n v="9"/>
    <x v="1"/>
    <x v="51"/>
    <x v="0"/>
    <m/>
    <x v="1"/>
    <m/>
    <x v="0"/>
  </r>
  <r>
    <n v="2025918"/>
    <d v="2020-08-20T00:00:00"/>
    <x v="147"/>
    <x v="0"/>
    <x v="34"/>
    <n v="13"/>
    <x v="1"/>
    <x v="18"/>
    <x v="0"/>
    <m/>
    <x v="1"/>
    <m/>
    <x v="0"/>
  </r>
  <r>
    <n v="2033753"/>
    <d v="2020-08-21T00:00:00"/>
    <x v="116"/>
    <x v="0"/>
    <x v="23"/>
    <n v="9"/>
    <x v="1"/>
    <x v="30"/>
    <x v="0"/>
    <m/>
    <x v="1"/>
    <m/>
    <x v="0"/>
  </r>
  <r>
    <n v="2036724"/>
    <d v="2020-08-21T00:00:00"/>
    <x v="147"/>
    <x v="0"/>
    <x v="7"/>
    <n v="6"/>
    <x v="0"/>
    <x v="44"/>
    <x v="0"/>
    <m/>
    <x v="1"/>
    <m/>
    <x v="0"/>
  </r>
  <r>
    <n v="2038443"/>
    <d v="2020-08-21T00:00:00"/>
    <x v="116"/>
    <x v="0"/>
    <x v="44"/>
    <n v="10"/>
    <x v="0"/>
    <x v="67"/>
    <x v="0"/>
    <m/>
    <x v="1"/>
    <m/>
    <x v="3"/>
  </r>
  <r>
    <n v="2048466"/>
    <d v="2020-08-22T00:00:00"/>
    <x v="116"/>
    <x v="0"/>
    <x v="15"/>
    <n v="1"/>
    <x v="0"/>
    <x v="24"/>
    <x v="0"/>
    <m/>
    <x v="1"/>
    <m/>
    <x v="0"/>
  </r>
  <r>
    <n v="2049012"/>
    <d v="2020-08-23T00:00:00"/>
    <x v="50"/>
    <x v="0"/>
    <x v="6"/>
    <n v="5"/>
    <x v="0"/>
    <x v="28"/>
    <x v="0"/>
    <m/>
    <x v="1"/>
    <m/>
    <x v="3"/>
  </r>
  <r>
    <n v="2054868"/>
    <d v="2020-08-23T00:00:00"/>
    <x v="50"/>
    <x v="1"/>
    <x v="65"/>
    <m/>
    <x v="1"/>
    <x v="63"/>
    <x v="0"/>
    <m/>
    <x v="1"/>
    <m/>
    <x v="0"/>
  </r>
  <r>
    <n v="2057741"/>
    <d v="2020-09-04T00:00:00"/>
    <x v="148"/>
    <x v="0"/>
    <x v="7"/>
    <n v="6"/>
    <x v="1"/>
    <x v="61"/>
    <x v="0"/>
    <m/>
    <x v="1"/>
    <m/>
    <x v="0"/>
  </r>
  <r>
    <n v="2060703"/>
    <d v="2020-08-25T00:00:00"/>
    <x v="3"/>
    <x v="1"/>
    <x v="12"/>
    <m/>
    <x v="1"/>
    <x v="57"/>
    <x v="0"/>
    <m/>
    <x v="1"/>
    <m/>
    <x v="0"/>
  </r>
  <r>
    <n v="2075681"/>
    <d v="2020-08-24T00:00:00"/>
    <x v="37"/>
    <x v="1"/>
    <x v="12"/>
    <m/>
    <x v="1"/>
    <x v="63"/>
    <x v="0"/>
    <m/>
    <x v="1"/>
    <m/>
    <x v="0"/>
  </r>
  <r>
    <n v="2079668"/>
    <d v="2020-08-24T00:00:00"/>
    <x v="37"/>
    <x v="0"/>
    <x v="11"/>
    <n v="14"/>
    <x v="1"/>
    <x v="14"/>
    <x v="0"/>
    <m/>
    <x v="1"/>
    <m/>
    <x v="3"/>
  </r>
  <r>
    <n v="2083629"/>
    <d v="2020-08-24T00:00:00"/>
    <x v="37"/>
    <x v="0"/>
    <x v="46"/>
    <n v="4"/>
    <x v="0"/>
    <x v="31"/>
    <x v="0"/>
    <m/>
    <x v="1"/>
    <m/>
    <x v="1"/>
  </r>
  <r>
    <n v="2084895"/>
    <d v="2020-08-25T00:00:00"/>
    <x v="131"/>
    <x v="0"/>
    <x v="41"/>
    <n v="1"/>
    <x v="0"/>
    <x v="79"/>
    <x v="0"/>
    <m/>
    <x v="1"/>
    <m/>
    <x v="3"/>
  </r>
  <r>
    <n v="2086513"/>
    <d v="2020-08-24T00:00:00"/>
    <x v="37"/>
    <x v="0"/>
    <x v="46"/>
    <n v="4"/>
    <x v="1"/>
    <x v="71"/>
    <x v="0"/>
    <m/>
    <x v="1"/>
    <m/>
    <x v="0"/>
  </r>
  <r>
    <n v="2088229"/>
    <d v="2020-08-24T00:00:00"/>
    <x v="37"/>
    <x v="0"/>
    <x v="41"/>
    <n v="1"/>
    <x v="1"/>
    <x v="78"/>
    <x v="0"/>
    <m/>
    <x v="1"/>
    <m/>
    <x v="0"/>
  </r>
  <r>
    <n v="2088663"/>
    <d v="2020-08-24T00:00:00"/>
    <x v="37"/>
    <x v="0"/>
    <x v="40"/>
    <n v="8"/>
    <x v="0"/>
    <x v="92"/>
    <x v="0"/>
    <m/>
    <x v="1"/>
    <m/>
    <x v="3"/>
  </r>
  <r>
    <n v="2098363"/>
    <d v="2020-08-25T00:00:00"/>
    <x v="131"/>
    <x v="1"/>
    <x v="62"/>
    <m/>
    <x v="1"/>
    <x v="70"/>
    <x v="0"/>
    <m/>
    <x v="1"/>
    <m/>
    <x v="1"/>
  </r>
  <r>
    <n v="2100300"/>
    <d v="2020-08-25T00:00:00"/>
    <x v="131"/>
    <x v="0"/>
    <x v="8"/>
    <n v="1"/>
    <x v="1"/>
    <x v="79"/>
    <x v="0"/>
    <m/>
    <x v="1"/>
    <m/>
    <x v="1"/>
  </r>
  <r>
    <n v="2100320"/>
    <d v="2020-08-23T00:00:00"/>
    <x v="37"/>
    <x v="0"/>
    <x v="7"/>
    <n v="6"/>
    <x v="1"/>
    <x v="63"/>
    <x v="0"/>
    <m/>
    <x v="1"/>
    <m/>
    <x v="0"/>
  </r>
  <r>
    <n v="2100410"/>
    <d v="2020-08-25T00:00:00"/>
    <x v="131"/>
    <x v="0"/>
    <x v="8"/>
    <n v="1"/>
    <x v="0"/>
    <x v="92"/>
    <x v="0"/>
    <m/>
    <x v="1"/>
    <m/>
    <x v="1"/>
  </r>
  <r>
    <n v="2100708"/>
    <d v="2020-08-25T00:00:00"/>
    <x v="131"/>
    <x v="1"/>
    <x v="30"/>
    <m/>
    <x v="0"/>
    <x v="76"/>
    <x v="0"/>
    <m/>
    <x v="1"/>
    <m/>
    <x v="1"/>
  </r>
  <r>
    <n v="2101616"/>
    <d v="2020-08-25T00:00:00"/>
    <x v="131"/>
    <x v="0"/>
    <x v="54"/>
    <n v="10"/>
    <x v="1"/>
    <x v="75"/>
    <x v="0"/>
    <m/>
    <x v="1"/>
    <m/>
    <x v="0"/>
  </r>
  <r>
    <n v="2102193"/>
    <d v="2020-08-25T00:00:00"/>
    <x v="176"/>
    <x v="1"/>
    <x v="12"/>
    <m/>
    <x v="1"/>
    <x v="51"/>
    <x v="0"/>
    <m/>
    <x v="1"/>
    <m/>
    <x v="1"/>
  </r>
  <r>
    <n v="2103385"/>
    <d v="2020-08-24T00:00:00"/>
    <x v="37"/>
    <x v="0"/>
    <x v="54"/>
    <n v="10"/>
    <x v="1"/>
    <x v="23"/>
    <x v="0"/>
    <m/>
    <x v="1"/>
    <m/>
    <x v="0"/>
  </r>
  <r>
    <n v="2103399"/>
    <d v="2020-08-25T00:00:00"/>
    <x v="131"/>
    <x v="0"/>
    <x v="6"/>
    <n v="5"/>
    <x v="0"/>
    <x v="21"/>
    <x v="0"/>
    <m/>
    <x v="1"/>
    <m/>
    <x v="0"/>
  </r>
  <r>
    <n v="2103484"/>
    <d v="2020-08-25T00:00:00"/>
    <x v="131"/>
    <x v="0"/>
    <x v="7"/>
    <n v="6"/>
    <x v="1"/>
    <x v="52"/>
    <x v="0"/>
    <m/>
    <x v="1"/>
    <m/>
    <x v="4"/>
  </r>
  <r>
    <n v="2104984"/>
    <d v="2020-08-25T00:00:00"/>
    <x v="131"/>
    <x v="0"/>
    <x v="7"/>
    <n v="6"/>
    <x v="0"/>
    <x v="49"/>
    <x v="0"/>
    <m/>
    <x v="1"/>
    <m/>
    <x v="0"/>
  </r>
  <r>
    <n v="2105397"/>
    <d v="2020-08-25T00:00:00"/>
    <x v="131"/>
    <x v="0"/>
    <x v="58"/>
    <n v="15"/>
    <x v="0"/>
    <x v="77"/>
    <x v="0"/>
    <m/>
    <x v="1"/>
    <m/>
    <x v="3"/>
  </r>
  <r>
    <n v="2106899"/>
    <d v="2020-08-25T00:00:00"/>
    <x v="131"/>
    <x v="0"/>
    <x v="48"/>
    <n v="5"/>
    <x v="1"/>
    <x v="93"/>
    <x v="0"/>
    <m/>
    <x v="1"/>
    <m/>
    <x v="3"/>
  </r>
  <r>
    <n v="2108446"/>
    <d v="2020-08-25T00:00:00"/>
    <x v="131"/>
    <x v="0"/>
    <x v="85"/>
    <n v="8"/>
    <x v="1"/>
    <x v="99"/>
    <x v="0"/>
    <m/>
    <x v="1"/>
    <m/>
    <x v="1"/>
  </r>
  <r>
    <n v="2109611"/>
    <d v="2020-08-25T00:00:00"/>
    <x v="131"/>
    <x v="1"/>
    <x v="65"/>
    <m/>
    <x v="1"/>
    <x v="83"/>
    <x v="0"/>
    <m/>
    <x v="1"/>
    <m/>
    <x v="1"/>
  </r>
  <r>
    <n v="2110023"/>
    <d v="2020-08-25T00:00:00"/>
    <x v="131"/>
    <x v="1"/>
    <x v="92"/>
    <m/>
    <x v="1"/>
    <x v="5"/>
    <x v="0"/>
    <m/>
    <x v="1"/>
    <m/>
    <x v="3"/>
  </r>
  <r>
    <n v="2110327"/>
    <d v="2020-08-25T00:00:00"/>
    <x v="131"/>
    <x v="0"/>
    <x v="46"/>
    <n v="4"/>
    <x v="1"/>
    <x v="80"/>
    <x v="0"/>
    <m/>
    <x v="1"/>
    <m/>
    <x v="0"/>
  </r>
  <r>
    <n v="2110614"/>
    <d v="2020-08-25T00:00:00"/>
    <x v="131"/>
    <x v="0"/>
    <x v="46"/>
    <n v="4"/>
    <x v="0"/>
    <x v="65"/>
    <x v="0"/>
    <m/>
    <x v="1"/>
    <m/>
    <x v="0"/>
  </r>
  <r>
    <n v="2110871"/>
    <d v="2020-08-25T00:00:00"/>
    <x v="95"/>
    <x v="0"/>
    <x v="46"/>
    <n v="4"/>
    <x v="1"/>
    <x v="78"/>
    <x v="0"/>
    <m/>
    <x v="1"/>
    <m/>
    <x v="1"/>
  </r>
  <r>
    <n v="2111266"/>
    <d v="2020-08-25T00:00:00"/>
    <x v="150"/>
    <x v="1"/>
    <x v="92"/>
    <m/>
    <x v="1"/>
    <x v="101"/>
    <x v="0"/>
    <m/>
    <x v="1"/>
    <m/>
    <x v="1"/>
  </r>
  <r>
    <n v="2111357"/>
    <d v="2020-08-25T00:00:00"/>
    <x v="131"/>
    <x v="0"/>
    <x v="4"/>
    <n v="7"/>
    <x v="0"/>
    <x v="39"/>
    <x v="0"/>
    <m/>
    <x v="1"/>
    <m/>
    <x v="1"/>
  </r>
  <r>
    <n v="2111388"/>
    <d v="2020-08-25T00:00:00"/>
    <x v="131"/>
    <x v="0"/>
    <x v="4"/>
    <n v="7"/>
    <x v="1"/>
    <x v="74"/>
    <x v="0"/>
    <m/>
    <x v="1"/>
    <m/>
    <x v="1"/>
  </r>
  <r>
    <n v="2111392"/>
    <d v="2020-08-25T00:00:00"/>
    <x v="165"/>
    <x v="1"/>
    <x v="30"/>
    <m/>
    <x v="0"/>
    <x v="100"/>
    <x v="0"/>
    <m/>
    <x v="1"/>
    <m/>
    <x v="0"/>
  </r>
  <r>
    <n v="2111532"/>
    <d v="2020-08-25T00:00:00"/>
    <x v="131"/>
    <x v="0"/>
    <x v="31"/>
    <n v="10"/>
    <x v="0"/>
    <x v="15"/>
    <x v="0"/>
    <m/>
    <x v="1"/>
    <m/>
    <x v="3"/>
  </r>
  <r>
    <n v="2111704"/>
    <d v="2020-08-25T00:00:00"/>
    <x v="95"/>
    <x v="0"/>
    <x v="25"/>
    <n v="4"/>
    <x v="1"/>
    <x v="75"/>
    <x v="0"/>
    <m/>
    <x v="1"/>
    <m/>
    <x v="0"/>
  </r>
  <r>
    <n v="2111705"/>
    <d v="2020-08-25T00:00:00"/>
    <x v="176"/>
    <x v="1"/>
    <x v="92"/>
    <m/>
    <x v="1"/>
    <x v="50"/>
    <x v="0"/>
    <m/>
    <x v="1"/>
    <m/>
    <x v="0"/>
  </r>
  <r>
    <n v="2111746"/>
    <d v="2020-08-25T00:00:00"/>
    <x v="95"/>
    <x v="1"/>
    <x v="92"/>
    <m/>
    <x v="1"/>
    <x v="68"/>
    <x v="0"/>
    <m/>
    <x v="1"/>
    <m/>
    <x v="1"/>
  </r>
  <r>
    <n v="2112022"/>
    <d v="2020-08-25T00:00:00"/>
    <x v="95"/>
    <x v="0"/>
    <x v="25"/>
    <n v="4"/>
    <x v="1"/>
    <x v="50"/>
    <x v="0"/>
    <m/>
    <x v="1"/>
    <m/>
    <x v="0"/>
  </r>
  <r>
    <n v="2112685"/>
    <d v="2020-08-25T00:00:00"/>
    <x v="95"/>
    <x v="0"/>
    <x v="25"/>
    <n v="4"/>
    <x v="1"/>
    <x v="65"/>
    <x v="0"/>
    <m/>
    <x v="1"/>
    <m/>
    <x v="3"/>
  </r>
  <r>
    <n v="2112761"/>
    <d v="2020-08-25T00:00:00"/>
    <x v="95"/>
    <x v="0"/>
    <x v="8"/>
    <n v="1"/>
    <x v="1"/>
    <x v="50"/>
    <x v="0"/>
    <m/>
    <x v="1"/>
    <m/>
    <x v="3"/>
  </r>
  <r>
    <n v="2112837"/>
    <d v="2020-08-25T00:00:00"/>
    <x v="95"/>
    <x v="0"/>
    <x v="46"/>
    <n v="4"/>
    <x v="0"/>
    <x v="70"/>
    <x v="0"/>
    <m/>
    <x v="1"/>
    <m/>
    <x v="0"/>
  </r>
  <r>
    <n v="2112887"/>
    <d v="2020-08-25T00:00:00"/>
    <x v="95"/>
    <x v="1"/>
    <x v="65"/>
    <m/>
    <x v="0"/>
    <x v="89"/>
    <x v="0"/>
    <m/>
    <x v="1"/>
    <m/>
    <x v="0"/>
  </r>
  <r>
    <n v="2113265"/>
    <d v="2020-08-25T00:00:00"/>
    <x v="131"/>
    <x v="0"/>
    <x v="46"/>
    <n v="4"/>
    <x v="1"/>
    <x v="80"/>
    <x v="0"/>
    <m/>
    <x v="1"/>
    <m/>
    <x v="1"/>
  </r>
  <r>
    <n v="2113339"/>
    <d v="2020-08-25T00:00:00"/>
    <x v="131"/>
    <x v="0"/>
    <x v="46"/>
    <n v="4"/>
    <x v="0"/>
    <x v="31"/>
    <x v="0"/>
    <m/>
    <x v="1"/>
    <m/>
    <x v="0"/>
  </r>
  <r>
    <n v="2113359"/>
    <d v="2020-08-25T00:00:00"/>
    <x v="131"/>
    <x v="1"/>
    <x v="92"/>
    <m/>
    <x v="0"/>
    <x v="74"/>
    <x v="0"/>
    <m/>
    <x v="1"/>
    <m/>
    <x v="0"/>
  </r>
  <r>
    <n v="2086752"/>
    <d v="2020-08-24T00:00:00"/>
    <x v="37"/>
    <x v="1"/>
    <x v="30"/>
    <m/>
    <x v="0"/>
    <x v="79"/>
    <x v="0"/>
    <m/>
    <x v="1"/>
    <m/>
    <x v="0"/>
  </r>
  <r>
    <n v="2086769"/>
    <d v="2020-08-24T00:00:00"/>
    <x v="37"/>
    <x v="0"/>
    <x v="14"/>
    <n v="15"/>
    <x v="1"/>
    <x v="84"/>
    <x v="0"/>
    <m/>
    <x v="1"/>
    <m/>
    <x v="1"/>
  </r>
  <r>
    <n v="2086879"/>
    <d v="2020-08-24T00:00:00"/>
    <x v="37"/>
    <x v="1"/>
    <x v="92"/>
    <m/>
    <x v="1"/>
    <x v="2"/>
    <x v="0"/>
    <m/>
    <x v="1"/>
    <m/>
    <x v="3"/>
  </r>
  <r>
    <n v="2087306"/>
    <d v="2020-08-24T00:00:00"/>
    <x v="37"/>
    <x v="0"/>
    <x v="6"/>
    <n v="5"/>
    <x v="1"/>
    <x v="45"/>
    <x v="0"/>
    <m/>
    <x v="1"/>
    <m/>
    <x v="1"/>
  </r>
  <r>
    <n v="2087578"/>
    <d v="2020-08-24T00:00:00"/>
    <x v="37"/>
    <x v="0"/>
    <x v="42"/>
    <n v="4"/>
    <x v="1"/>
    <x v="59"/>
    <x v="0"/>
    <m/>
    <x v="1"/>
    <m/>
    <x v="1"/>
  </r>
  <r>
    <n v="2087603"/>
    <d v="2020-08-24T00:00:00"/>
    <x v="37"/>
    <x v="1"/>
    <x v="92"/>
    <m/>
    <x v="0"/>
    <x v="64"/>
    <x v="0"/>
    <m/>
    <x v="1"/>
    <m/>
    <x v="0"/>
  </r>
  <r>
    <n v="2087604"/>
    <d v="2020-08-24T00:00:00"/>
    <x v="37"/>
    <x v="1"/>
    <x v="92"/>
    <m/>
    <x v="1"/>
    <x v="39"/>
    <x v="0"/>
    <m/>
    <x v="1"/>
    <m/>
    <x v="1"/>
  </r>
  <r>
    <n v="2087683"/>
    <d v="2020-08-24T00:00:00"/>
    <x v="37"/>
    <x v="0"/>
    <x v="45"/>
    <n v="9"/>
    <x v="1"/>
    <x v="68"/>
    <x v="0"/>
    <m/>
    <x v="1"/>
    <m/>
    <x v="1"/>
  </r>
  <r>
    <n v="2088083"/>
    <d v="2020-08-24T00:00:00"/>
    <x v="37"/>
    <x v="0"/>
    <x v="69"/>
    <n v="10"/>
    <x v="1"/>
    <x v="48"/>
    <x v="0"/>
    <m/>
    <x v="1"/>
    <m/>
    <x v="1"/>
  </r>
  <r>
    <n v="2088271"/>
    <d v="2020-08-24T00:00:00"/>
    <x v="37"/>
    <x v="0"/>
    <x v="41"/>
    <n v="1"/>
    <x v="1"/>
    <x v="80"/>
    <x v="0"/>
    <m/>
    <x v="1"/>
    <m/>
    <x v="0"/>
  </r>
  <r>
    <n v="2088316"/>
    <d v="2020-08-24T00:00:00"/>
    <x v="37"/>
    <x v="0"/>
    <x v="48"/>
    <n v="5"/>
    <x v="1"/>
    <x v="39"/>
    <x v="0"/>
    <m/>
    <x v="1"/>
    <m/>
    <x v="0"/>
  </r>
  <r>
    <n v="2088380"/>
    <d v="2020-08-24T00:00:00"/>
    <x v="37"/>
    <x v="0"/>
    <x v="18"/>
    <n v="15"/>
    <x v="1"/>
    <x v="51"/>
    <x v="0"/>
    <m/>
    <x v="1"/>
    <m/>
    <x v="0"/>
  </r>
  <r>
    <n v="2088500"/>
    <d v="2020-08-24T00:00:00"/>
    <x v="37"/>
    <x v="3"/>
    <x v="66"/>
    <m/>
    <x v="1"/>
    <x v="39"/>
    <x v="0"/>
    <m/>
    <x v="1"/>
    <m/>
    <x v="0"/>
  </r>
  <r>
    <n v="2088348"/>
    <d v="2020-08-23T00:00:00"/>
    <x v="131"/>
    <x v="0"/>
    <x v="26"/>
    <n v="11"/>
    <x v="0"/>
    <x v="67"/>
    <x v="0"/>
    <m/>
    <x v="1"/>
    <m/>
    <x v="4"/>
  </r>
  <r>
    <n v="2088550"/>
    <d v="2020-08-24T00:00:00"/>
    <x v="37"/>
    <x v="0"/>
    <x v="2"/>
    <n v="3"/>
    <x v="0"/>
    <x v="68"/>
    <x v="0"/>
    <m/>
    <x v="1"/>
    <m/>
    <x v="0"/>
  </r>
  <r>
    <n v="2088726"/>
    <d v="2020-08-24T00:00:00"/>
    <x v="37"/>
    <x v="1"/>
    <x v="30"/>
    <m/>
    <x v="1"/>
    <x v="69"/>
    <x v="0"/>
    <m/>
    <x v="1"/>
    <m/>
    <x v="0"/>
  </r>
  <r>
    <n v="2088910"/>
    <d v="2020-08-24T00:00:00"/>
    <x v="37"/>
    <x v="0"/>
    <x v="8"/>
    <n v="1"/>
    <x v="0"/>
    <x v="60"/>
    <x v="0"/>
    <m/>
    <x v="1"/>
    <m/>
    <x v="3"/>
  </r>
  <r>
    <n v="2088928"/>
    <d v="2020-08-24T00:00:00"/>
    <x v="37"/>
    <x v="0"/>
    <x v="36"/>
    <n v="3"/>
    <x v="0"/>
    <x v="73"/>
    <x v="0"/>
    <m/>
    <x v="1"/>
    <m/>
    <x v="3"/>
  </r>
  <r>
    <n v="2088934"/>
    <d v="2020-08-24T00:00:00"/>
    <x v="37"/>
    <x v="0"/>
    <x v="23"/>
    <n v="9"/>
    <x v="1"/>
    <x v="87"/>
    <x v="0"/>
    <m/>
    <x v="1"/>
    <m/>
    <x v="1"/>
  </r>
  <r>
    <n v="2090469"/>
    <d v="2020-08-25T00:00:00"/>
    <x v="131"/>
    <x v="0"/>
    <x v="57"/>
    <n v="1"/>
    <x v="0"/>
    <x v="51"/>
    <x v="0"/>
    <m/>
    <x v="1"/>
    <m/>
    <x v="1"/>
  </r>
  <r>
    <n v="2090684"/>
    <d v="2020-08-24T00:00:00"/>
    <x v="37"/>
    <x v="0"/>
    <x v="95"/>
    <n v="15"/>
    <x v="0"/>
    <x v="69"/>
    <x v="0"/>
    <m/>
    <x v="1"/>
    <m/>
    <x v="3"/>
  </r>
  <r>
    <n v="2090726"/>
    <d v="2020-08-24T00:00:00"/>
    <x v="37"/>
    <x v="1"/>
    <x v="65"/>
    <m/>
    <x v="0"/>
    <x v="52"/>
    <x v="0"/>
    <m/>
    <x v="1"/>
    <m/>
    <x v="3"/>
  </r>
  <r>
    <n v="2091388"/>
    <d v="2020-08-25T00:00:00"/>
    <x v="131"/>
    <x v="1"/>
    <x v="92"/>
    <m/>
    <x v="1"/>
    <x v="3"/>
    <x v="0"/>
    <m/>
    <x v="1"/>
    <m/>
    <x v="1"/>
  </r>
  <r>
    <n v="2093278"/>
    <d v="2020-08-24T00:00:00"/>
    <x v="131"/>
    <x v="0"/>
    <x v="2"/>
    <n v="3"/>
    <x v="0"/>
    <x v="0"/>
    <x v="0"/>
    <m/>
    <x v="1"/>
    <m/>
    <x v="1"/>
  </r>
  <r>
    <n v="2093757"/>
    <d v="2020-08-24T00:00:00"/>
    <x v="131"/>
    <x v="0"/>
    <x v="3"/>
    <n v="13"/>
    <x v="0"/>
    <x v="15"/>
    <x v="0"/>
    <m/>
    <x v="1"/>
    <m/>
    <x v="3"/>
  </r>
  <r>
    <n v="2094511"/>
    <d v="2020-08-24T00:00:00"/>
    <x v="131"/>
    <x v="0"/>
    <x v="35"/>
    <n v="9"/>
    <x v="1"/>
    <x v="71"/>
    <x v="0"/>
    <m/>
    <x v="1"/>
    <m/>
    <x v="3"/>
  </r>
  <r>
    <n v="2095000"/>
    <d v="2020-08-24T00:00:00"/>
    <x v="131"/>
    <x v="0"/>
    <x v="17"/>
    <n v="8"/>
    <x v="0"/>
    <x v="87"/>
    <x v="0"/>
    <m/>
    <x v="1"/>
    <m/>
    <x v="1"/>
  </r>
  <r>
    <n v="2097015"/>
    <d v="2020-08-24T00:00:00"/>
    <x v="131"/>
    <x v="0"/>
    <x v="15"/>
    <n v="1"/>
    <x v="1"/>
    <x v="55"/>
    <x v="0"/>
    <m/>
    <x v="1"/>
    <m/>
    <x v="4"/>
  </r>
  <r>
    <n v="2099466"/>
    <d v="2020-08-25T00:00:00"/>
    <x v="95"/>
    <x v="15"/>
    <x v="89"/>
    <m/>
    <x v="0"/>
    <x v="41"/>
    <x v="0"/>
    <m/>
    <x v="1"/>
    <m/>
    <x v="0"/>
  </r>
  <r>
    <n v="2099934"/>
    <d v="2020-08-25T00:00:00"/>
    <x v="131"/>
    <x v="1"/>
    <x v="92"/>
    <m/>
    <x v="1"/>
    <x v="71"/>
    <x v="0"/>
    <m/>
    <x v="1"/>
    <m/>
    <x v="3"/>
  </r>
  <r>
    <n v="2100269"/>
    <d v="2020-08-24T00:00:00"/>
    <x v="37"/>
    <x v="0"/>
    <x v="37"/>
    <n v="1"/>
    <x v="1"/>
    <x v="92"/>
    <x v="0"/>
    <m/>
    <x v="1"/>
    <m/>
    <x v="1"/>
  </r>
  <r>
    <n v="2101267"/>
    <d v="2020-08-25T00:00:00"/>
    <x v="176"/>
    <x v="1"/>
    <x v="92"/>
    <m/>
    <x v="1"/>
    <x v="1"/>
    <x v="0"/>
    <m/>
    <x v="1"/>
    <m/>
    <x v="1"/>
  </r>
  <r>
    <n v="2102135"/>
    <d v="2020-08-25T00:00:00"/>
    <x v="95"/>
    <x v="1"/>
    <x v="92"/>
    <m/>
    <x v="1"/>
    <x v="48"/>
    <x v="0"/>
    <m/>
    <x v="1"/>
    <m/>
    <x v="1"/>
  </r>
  <r>
    <n v="2107724"/>
    <d v="2020-08-26T00:00:00"/>
    <x v="95"/>
    <x v="1"/>
    <x v="65"/>
    <m/>
    <x v="1"/>
    <x v="59"/>
    <x v="0"/>
    <m/>
    <x v="1"/>
    <m/>
    <x v="4"/>
  </r>
  <r>
    <n v="2162528"/>
    <d v="2020-08-26T00:00:00"/>
    <x v="3"/>
    <x v="0"/>
    <x v="27"/>
    <n v="12"/>
    <x v="1"/>
    <x v="52"/>
    <x v="0"/>
    <m/>
    <x v="1"/>
    <m/>
    <x v="1"/>
  </r>
  <r>
    <n v="2165337"/>
    <d v="2020-08-27T00:00:00"/>
    <x v="3"/>
    <x v="0"/>
    <x v="2"/>
    <n v="3"/>
    <x v="1"/>
    <x v="91"/>
    <x v="0"/>
    <m/>
    <x v="1"/>
    <m/>
    <x v="1"/>
  </r>
  <r>
    <n v="2169637"/>
    <d v="2020-08-26T00:00:00"/>
    <x v="95"/>
    <x v="0"/>
    <x v="44"/>
    <n v="10"/>
    <x v="1"/>
    <x v="70"/>
    <x v="0"/>
    <m/>
    <x v="1"/>
    <m/>
    <x v="0"/>
  </r>
  <r>
    <n v="2169690"/>
    <d v="2020-08-27T00:00:00"/>
    <x v="158"/>
    <x v="1"/>
    <x v="12"/>
    <m/>
    <x v="0"/>
    <x v="78"/>
    <x v="0"/>
    <m/>
    <x v="1"/>
    <m/>
    <x v="3"/>
  </r>
  <r>
    <n v="2169704"/>
    <d v="2020-08-26T00:00:00"/>
    <x v="95"/>
    <x v="0"/>
    <x v="46"/>
    <n v="4"/>
    <x v="0"/>
    <x v="32"/>
    <x v="0"/>
    <m/>
    <x v="1"/>
    <m/>
    <x v="0"/>
  </r>
  <r>
    <n v="2169734"/>
    <d v="2020-08-26T00:00:00"/>
    <x v="95"/>
    <x v="0"/>
    <x v="42"/>
    <n v="4"/>
    <x v="0"/>
    <x v="97"/>
    <x v="0"/>
    <m/>
    <x v="1"/>
    <m/>
    <x v="0"/>
  </r>
  <r>
    <n v="2169761"/>
    <d v="2020-08-26T00:00:00"/>
    <x v="3"/>
    <x v="0"/>
    <x v="46"/>
    <n v="4"/>
    <x v="0"/>
    <x v="79"/>
    <x v="0"/>
    <m/>
    <x v="1"/>
    <m/>
    <x v="0"/>
  </r>
  <r>
    <n v="2169762"/>
    <d v="2020-08-26T00:00:00"/>
    <x v="95"/>
    <x v="0"/>
    <x v="25"/>
    <n v="4"/>
    <x v="1"/>
    <x v="91"/>
    <x v="0"/>
    <m/>
    <x v="1"/>
    <m/>
    <x v="0"/>
  </r>
  <r>
    <n v="2169823"/>
    <d v="2020-08-26T00:00:00"/>
    <x v="95"/>
    <x v="0"/>
    <x v="23"/>
    <n v="9"/>
    <x v="1"/>
    <x v="68"/>
    <x v="0"/>
    <m/>
    <x v="1"/>
    <m/>
    <x v="0"/>
  </r>
  <r>
    <n v="2169835"/>
    <d v="2020-08-26T00:00:00"/>
    <x v="95"/>
    <x v="0"/>
    <x v="45"/>
    <n v="9"/>
    <x v="1"/>
    <x v="70"/>
    <x v="0"/>
    <m/>
    <x v="1"/>
    <m/>
    <x v="0"/>
  </r>
  <r>
    <n v="2169864"/>
    <d v="2020-08-26T00:00:00"/>
    <x v="95"/>
    <x v="0"/>
    <x v="34"/>
    <n v="13"/>
    <x v="1"/>
    <x v="70"/>
    <x v="0"/>
    <m/>
    <x v="1"/>
    <m/>
    <x v="0"/>
  </r>
  <r>
    <n v="2169866"/>
    <d v="2020-08-27T00:00:00"/>
    <x v="3"/>
    <x v="0"/>
    <x v="40"/>
    <n v="8"/>
    <x v="0"/>
    <x v="82"/>
    <x v="0"/>
    <m/>
    <x v="1"/>
    <m/>
    <x v="0"/>
  </r>
  <r>
    <n v="2169875"/>
    <d v="2020-08-26T00:00:00"/>
    <x v="95"/>
    <x v="0"/>
    <x v="40"/>
    <n v="8"/>
    <x v="0"/>
    <x v="77"/>
    <x v="0"/>
    <m/>
    <x v="1"/>
    <m/>
    <x v="0"/>
  </r>
  <r>
    <n v="2170043"/>
    <d v="2020-08-26T00:00:00"/>
    <x v="95"/>
    <x v="15"/>
    <x v="89"/>
    <m/>
    <x v="1"/>
    <x v="68"/>
    <x v="0"/>
    <m/>
    <x v="1"/>
    <m/>
    <x v="4"/>
  </r>
  <r>
    <n v="2170073"/>
    <d v="2020-08-26T00:00:00"/>
    <x v="95"/>
    <x v="0"/>
    <x v="0"/>
    <n v="15"/>
    <x v="0"/>
    <x v="91"/>
    <x v="0"/>
    <m/>
    <x v="1"/>
    <m/>
    <x v="0"/>
  </r>
  <r>
    <n v="2172752"/>
    <d v="2020-08-28T00:00:00"/>
    <x v="158"/>
    <x v="0"/>
    <x v="42"/>
    <n v="4"/>
    <x v="1"/>
    <x v="79"/>
    <x v="0"/>
    <m/>
    <x v="1"/>
    <m/>
    <x v="0"/>
  </r>
  <r>
    <n v="2173190"/>
    <d v="2020-08-28T00:00:00"/>
    <x v="44"/>
    <x v="1"/>
    <x v="92"/>
    <m/>
    <x v="1"/>
    <x v="0"/>
    <x v="0"/>
    <m/>
    <x v="1"/>
    <m/>
    <x v="3"/>
  </r>
  <r>
    <n v="2173691"/>
    <d v="2020-08-27T00:00:00"/>
    <x v="3"/>
    <x v="0"/>
    <x v="2"/>
    <n v="3"/>
    <x v="1"/>
    <x v="81"/>
    <x v="0"/>
    <m/>
    <x v="1"/>
    <m/>
    <x v="0"/>
  </r>
  <r>
    <n v="2176072"/>
    <d v="2020-08-27T00:00:00"/>
    <x v="158"/>
    <x v="0"/>
    <x v="7"/>
    <n v="6"/>
    <x v="0"/>
    <x v="4"/>
    <x v="0"/>
    <m/>
    <x v="1"/>
    <m/>
    <x v="1"/>
  </r>
  <r>
    <n v="2176231"/>
    <d v="2020-08-26T00:00:00"/>
    <x v="95"/>
    <x v="0"/>
    <x v="40"/>
    <n v="8"/>
    <x v="1"/>
    <x v="93"/>
    <x v="0"/>
    <m/>
    <x v="1"/>
    <m/>
    <x v="0"/>
  </r>
  <r>
    <n v="2176337"/>
    <d v="2020-08-26T00:00:00"/>
    <x v="95"/>
    <x v="0"/>
    <x v="40"/>
    <n v="8"/>
    <x v="1"/>
    <x v="99"/>
    <x v="0"/>
    <m/>
    <x v="1"/>
    <m/>
    <x v="0"/>
  </r>
  <r>
    <n v="2176451"/>
    <d v="2020-08-26T00:00:00"/>
    <x v="95"/>
    <x v="0"/>
    <x v="17"/>
    <n v="8"/>
    <x v="1"/>
    <x v="43"/>
    <x v="0"/>
    <m/>
    <x v="1"/>
    <m/>
    <x v="0"/>
  </r>
  <r>
    <n v="2176532"/>
    <d v="2020-08-26T00:00:00"/>
    <x v="95"/>
    <x v="0"/>
    <x v="40"/>
    <n v="8"/>
    <x v="0"/>
    <x v="75"/>
    <x v="0"/>
    <m/>
    <x v="1"/>
    <m/>
    <x v="0"/>
  </r>
  <r>
    <n v="2178373"/>
    <d v="2020-08-27T00:00:00"/>
    <x v="3"/>
    <x v="0"/>
    <x v="14"/>
    <n v="15"/>
    <x v="0"/>
    <x v="43"/>
    <x v="0"/>
    <m/>
    <x v="1"/>
    <m/>
    <x v="0"/>
  </r>
  <r>
    <n v="2182673"/>
    <d v="2020-08-26T00:00:00"/>
    <x v="95"/>
    <x v="0"/>
    <x v="46"/>
    <n v="4"/>
    <x v="0"/>
    <x v="85"/>
    <x v="0"/>
    <m/>
    <x v="1"/>
    <m/>
    <x v="0"/>
  </r>
  <r>
    <n v="2187297"/>
    <d v="2020-08-28T00:00:00"/>
    <x v="158"/>
    <x v="1"/>
    <x v="92"/>
    <m/>
    <x v="0"/>
    <x v="91"/>
    <x v="0"/>
    <m/>
    <x v="1"/>
    <m/>
    <x v="3"/>
  </r>
  <r>
    <n v="2190218"/>
    <d v="2020-08-28T00:00:00"/>
    <x v="158"/>
    <x v="0"/>
    <x v="37"/>
    <n v="1"/>
    <x v="1"/>
    <x v="64"/>
    <x v="0"/>
    <m/>
    <x v="1"/>
    <m/>
    <x v="1"/>
  </r>
  <r>
    <n v="2190738"/>
    <d v="2020-08-28T00:00:00"/>
    <x v="158"/>
    <x v="0"/>
    <x v="24"/>
    <n v="4"/>
    <x v="1"/>
    <x v="57"/>
    <x v="0"/>
    <m/>
    <x v="1"/>
    <m/>
    <x v="0"/>
  </r>
  <r>
    <n v="2191675"/>
    <d v="2020-08-28T00:00:00"/>
    <x v="176"/>
    <x v="0"/>
    <x v="36"/>
    <n v="3"/>
    <x v="1"/>
    <x v="18"/>
    <x v="0"/>
    <m/>
    <x v="1"/>
    <m/>
    <x v="0"/>
  </r>
  <r>
    <n v="2192062"/>
    <d v="2020-08-28T00:00:00"/>
    <x v="158"/>
    <x v="0"/>
    <x v="11"/>
    <n v="14"/>
    <x v="0"/>
    <x v="76"/>
    <x v="0"/>
    <m/>
    <x v="1"/>
    <m/>
    <x v="1"/>
  </r>
  <r>
    <n v="2194090"/>
    <d v="2020-08-25T00:00:00"/>
    <x v="131"/>
    <x v="0"/>
    <x v="17"/>
    <n v="8"/>
    <x v="0"/>
    <x v="78"/>
    <x v="0"/>
    <m/>
    <x v="1"/>
    <m/>
    <x v="0"/>
  </r>
  <r>
    <n v="2196574"/>
    <d v="2020-08-26T00:00:00"/>
    <x v="95"/>
    <x v="0"/>
    <x v="2"/>
    <n v="3"/>
    <x v="1"/>
    <x v="90"/>
    <x v="0"/>
    <m/>
    <x v="1"/>
    <m/>
    <x v="0"/>
  </r>
  <r>
    <n v="2196627"/>
    <d v="2020-08-26T00:00:00"/>
    <x v="95"/>
    <x v="0"/>
    <x v="0"/>
    <n v="15"/>
    <x v="0"/>
    <x v="77"/>
    <x v="0"/>
    <m/>
    <x v="1"/>
    <m/>
    <x v="4"/>
  </r>
  <r>
    <n v="2196861"/>
    <d v="2020-08-26T00:00:00"/>
    <x v="95"/>
    <x v="0"/>
    <x v="11"/>
    <n v="14"/>
    <x v="0"/>
    <x v="69"/>
    <x v="0"/>
    <m/>
    <x v="1"/>
    <m/>
    <x v="0"/>
  </r>
  <r>
    <n v="2197766"/>
    <d v="2020-08-29T00:00:00"/>
    <x v="80"/>
    <x v="1"/>
    <x v="92"/>
    <m/>
    <x v="0"/>
    <x v="61"/>
    <x v="0"/>
    <m/>
    <x v="1"/>
    <m/>
    <x v="0"/>
  </r>
  <r>
    <n v="1572129"/>
    <d v="2020-07-28T00:00:00"/>
    <x v="20"/>
    <x v="1"/>
    <x v="65"/>
    <m/>
    <x v="0"/>
    <x v="54"/>
    <x v="0"/>
    <m/>
    <x v="1"/>
    <m/>
    <x v="0"/>
  </r>
  <r>
    <n v="1806915"/>
    <d v="2020-08-11T00:00:00"/>
    <x v="22"/>
    <x v="1"/>
    <x v="30"/>
    <m/>
    <x v="0"/>
    <x v="52"/>
    <x v="0"/>
    <m/>
    <x v="1"/>
    <m/>
    <x v="4"/>
  </r>
  <r>
    <n v="1841414"/>
    <d v="2020-08-11T00:00:00"/>
    <x v="138"/>
    <x v="1"/>
    <x v="92"/>
    <m/>
    <x v="1"/>
    <x v="45"/>
    <x v="0"/>
    <m/>
    <x v="1"/>
    <m/>
    <x v="0"/>
  </r>
  <r>
    <n v="1956735"/>
    <d v="2020-08-18T00:00:00"/>
    <x v="228"/>
    <x v="0"/>
    <x v="2"/>
    <n v="3"/>
    <x v="1"/>
    <x v="83"/>
    <x v="0"/>
    <m/>
    <x v="1"/>
    <m/>
    <x v="3"/>
  </r>
  <r>
    <n v="2014358"/>
    <d v="2020-08-20T00:00:00"/>
    <x v="116"/>
    <x v="1"/>
    <x v="92"/>
    <m/>
    <x v="1"/>
    <x v="63"/>
    <x v="0"/>
    <m/>
    <x v="1"/>
    <m/>
    <x v="0"/>
  </r>
  <r>
    <n v="2030501"/>
    <d v="2020-08-20T00:00:00"/>
    <x v="147"/>
    <x v="1"/>
    <x v="30"/>
    <m/>
    <x v="0"/>
    <x v="55"/>
    <x v="0"/>
    <m/>
    <x v="1"/>
    <m/>
    <x v="0"/>
  </r>
  <r>
    <n v="2044654"/>
    <d v="2020-08-22T00:00:00"/>
    <x v="116"/>
    <x v="0"/>
    <x v="11"/>
    <n v="14"/>
    <x v="1"/>
    <x v="8"/>
    <x v="0"/>
    <m/>
    <x v="1"/>
    <m/>
    <x v="1"/>
  </r>
  <r>
    <n v="2051491"/>
    <d v="2020-08-23T00:00:00"/>
    <x v="50"/>
    <x v="0"/>
    <x v="42"/>
    <n v="4"/>
    <x v="1"/>
    <x v="41"/>
    <x v="0"/>
    <m/>
    <x v="1"/>
    <m/>
    <x v="4"/>
  </r>
  <r>
    <n v="2081712"/>
    <d v="2020-08-14T00:00:00"/>
    <x v="156"/>
    <x v="0"/>
    <x v="37"/>
    <n v="1"/>
    <x v="1"/>
    <x v="2"/>
    <x v="0"/>
    <m/>
    <x v="1"/>
    <m/>
    <x v="0"/>
  </r>
  <r>
    <n v="2084582"/>
    <d v="2020-08-24T00:00:00"/>
    <x v="37"/>
    <x v="1"/>
    <x v="65"/>
    <m/>
    <x v="0"/>
    <x v="60"/>
    <x v="0"/>
    <m/>
    <x v="1"/>
    <m/>
    <x v="1"/>
  </r>
  <r>
    <n v="2094502"/>
    <d v="2020-08-25T00:00:00"/>
    <x v="95"/>
    <x v="0"/>
    <x v="34"/>
    <n v="13"/>
    <x v="0"/>
    <x v="52"/>
    <x v="0"/>
    <m/>
    <x v="1"/>
    <m/>
    <x v="0"/>
  </r>
  <r>
    <n v="2186349"/>
    <d v="2020-08-25T00:00:00"/>
    <x v="95"/>
    <x v="1"/>
    <x v="9"/>
    <m/>
    <x v="0"/>
    <x v="65"/>
    <x v="0"/>
    <m/>
    <x v="1"/>
    <m/>
    <x v="0"/>
  </r>
  <r>
    <n v="2243860"/>
    <d v="2020-08-18T00:00:00"/>
    <x v="32"/>
    <x v="0"/>
    <x v="0"/>
    <n v="15"/>
    <x v="0"/>
    <x v="43"/>
    <x v="0"/>
    <m/>
    <x v="1"/>
    <m/>
    <x v="3"/>
  </r>
  <r>
    <n v="4125523"/>
    <d v="2020-11-05T00:00:00"/>
    <x v="253"/>
    <x v="0"/>
    <x v="24"/>
    <n v="4"/>
    <x v="1"/>
    <x v="69"/>
    <x v="0"/>
    <m/>
    <x v="1"/>
    <m/>
    <x v="0"/>
  </r>
  <r>
    <n v="1293994"/>
    <d v="2020-07-06T00:00:00"/>
    <x v="118"/>
    <x v="1"/>
    <x v="65"/>
    <m/>
    <x v="1"/>
    <x v="18"/>
    <x v="0"/>
    <m/>
    <x v="1"/>
    <m/>
    <x v="0"/>
  </r>
  <r>
    <n v="1386038"/>
    <d v="2020-07-16T00:00:00"/>
    <x v="17"/>
    <x v="0"/>
    <x v="39"/>
    <n v="12"/>
    <x v="0"/>
    <x v="22"/>
    <x v="0"/>
    <m/>
    <x v="1"/>
    <m/>
    <x v="0"/>
  </r>
  <r>
    <n v="1423905"/>
    <d v="2020-07-19T00:00:00"/>
    <x v="137"/>
    <x v="0"/>
    <x v="14"/>
    <n v="15"/>
    <x v="1"/>
    <x v="30"/>
    <x v="0"/>
    <m/>
    <x v="1"/>
    <m/>
    <x v="1"/>
  </r>
  <r>
    <n v="1636325"/>
    <d v="2020-08-01T00:00:00"/>
    <x v="52"/>
    <x v="0"/>
    <x v="37"/>
    <n v="1"/>
    <x v="0"/>
    <x v="76"/>
    <x v="0"/>
    <m/>
    <x v="1"/>
    <m/>
    <x v="1"/>
  </r>
  <r>
    <n v="2006070"/>
    <d v="2020-08-20T00:00:00"/>
    <x v="11"/>
    <x v="0"/>
    <x v="17"/>
    <n v="8"/>
    <x v="1"/>
    <x v="74"/>
    <x v="0"/>
    <m/>
    <x v="1"/>
    <m/>
    <x v="0"/>
  </r>
  <r>
    <n v="2006138"/>
    <d v="2020-08-20T00:00:00"/>
    <x v="11"/>
    <x v="0"/>
    <x v="17"/>
    <n v="8"/>
    <x v="1"/>
    <x v="93"/>
    <x v="0"/>
    <m/>
    <x v="1"/>
    <m/>
    <x v="0"/>
  </r>
  <r>
    <n v="2006140"/>
    <d v="2020-08-20T00:00:00"/>
    <x v="11"/>
    <x v="0"/>
    <x v="40"/>
    <n v="8"/>
    <x v="0"/>
    <x v="74"/>
    <x v="0"/>
    <m/>
    <x v="1"/>
    <m/>
    <x v="1"/>
  </r>
  <r>
    <n v="2006149"/>
    <d v="2020-08-20T00:00:00"/>
    <x v="11"/>
    <x v="0"/>
    <x v="25"/>
    <n v="4"/>
    <x v="0"/>
    <x v="51"/>
    <x v="0"/>
    <m/>
    <x v="1"/>
    <m/>
    <x v="1"/>
  </r>
  <r>
    <n v="2006189"/>
    <d v="2020-08-20T00:00:00"/>
    <x v="11"/>
    <x v="0"/>
    <x v="17"/>
    <n v="8"/>
    <x v="0"/>
    <x v="100"/>
    <x v="0"/>
    <m/>
    <x v="1"/>
    <m/>
    <x v="3"/>
  </r>
  <r>
    <n v="2006223"/>
    <d v="2020-08-20T00:00:00"/>
    <x v="11"/>
    <x v="0"/>
    <x v="25"/>
    <n v="4"/>
    <x v="1"/>
    <x v="88"/>
    <x v="0"/>
    <m/>
    <x v="1"/>
    <m/>
    <x v="1"/>
  </r>
  <r>
    <n v="2006453"/>
    <d v="2020-08-20T00:00:00"/>
    <x v="11"/>
    <x v="0"/>
    <x v="40"/>
    <n v="8"/>
    <x v="1"/>
    <x v="84"/>
    <x v="0"/>
    <m/>
    <x v="1"/>
    <m/>
    <x v="1"/>
  </r>
  <r>
    <n v="2006485"/>
    <d v="2020-08-20T00:00:00"/>
    <x v="11"/>
    <x v="0"/>
    <x v="40"/>
    <n v="8"/>
    <x v="0"/>
    <x v="63"/>
    <x v="0"/>
    <m/>
    <x v="1"/>
    <m/>
    <x v="1"/>
  </r>
  <r>
    <n v="2006539"/>
    <d v="2020-08-20T00:00:00"/>
    <x v="11"/>
    <x v="0"/>
    <x v="46"/>
    <n v="4"/>
    <x v="1"/>
    <x v="48"/>
    <x v="0"/>
    <m/>
    <x v="1"/>
    <m/>
    <x v="0"/>
  </r>
  <r>
    <n v="2006554"/>
    <d v="2020-08-20T00:00:00"/>
    <x v="11"/>
    <x v="0"/>
    <x v="17"/>
    <n v="8"/>
    <x v="0"/>
    <x v="81"/>
    <x v="0"/>
    <m/>
    <x v="1"/>
    <m/>
    <x v="4"/>
  </r>
  <r>
    <n v="2006634"/>
    <d v="2020-08-20T00:00:00"/>
    <x v="11"/>
    <x v="0"/>
    <x v="46"/>
    <n v="4"/>
    <x v="0"/>
    <x v="96"/>
    <x v="0"/>
    <m/>
    <x v="1"/>
    <m/>
    <x v="1"/>
  </r>
  <r>
    <n v="2006724"/>
    <d v="2020-08-20T00:00:00"/>
    <x v="11"/>
    <x v="0"/>
    <x v="25"/>
    <n v="4"/>
    <x v="0"/>
    <x v="87"/>
    <x v="0"/>
    <m/>
    <x v="1"/>
    <m/>
    <x v="1"/>
  </r>
  <r>
    <n v="2006740"/>
    <d v="2020-08-20T00:00:00"/>
    <x v="11"/>
    <x v="0"/>
    <x v="17"/>
    <n v="8"/>
    <x v="1"/>
    <x v="81"/>
    <x v="0"/>
    <m/>
    <x v="1"/>
    <m/>
    <x v="3"/>
  </r>
  <r>
    <n v="2006779"/>
    <d v="2020-08-20T00:00:00"/>
    <x v="11"/>
    <x v="0"/>
    <x v="14"/>
    <n v="15"/>
    <x v="1"/>
    <x v="90"/>
    <x v="0"/>
    <m/>
    <x v="1"/>
    <m/>
    <x v="1"/>
  </r>
  <r>
    <n v="2006817"/>
    <d v="2020-08-20T00:00:00"/>
    <x v="11"/>
    <x v="0"/>
    <x v="25"/>
    <n v="4"/>
    <x v="0"/>
    <x v="97"/>
    <x v="0"/>
    <m/>
    <x v="1"/>
    <m/>
    <x v="1"/>
  </r>
  <r>
    <n v="2007118"/>
    <d v="2020-08-20T00:00:00"/>
    <x v="11"/>
    <x v="0"/>
    <x v="10"/>
    <n v="2"/>
    <x v="1"/>
    <x v="30"/>
    <x v="0"/>
    <m/>
    <x v="1"/>
    <m/>
    <x v="4"/>
  </r>
  <r>
    <n v="2007194"/>
    <d v="2020-08-20T00:00:00"/>
    <x v="11"/>
    <x v="0"/>
    <x v="6"/>
    <n v="5"/>
    <x v="1"/>
    <x v="99"/>
    <x v="0"/>
    <m/>
    <x v="1"/>
    <m/>
    <x v="3"/>
  </r>
  <r>
    <n v="2007670"/>
    <d v="2020-08-20T00:00:00"/>
    <x v="11"/>
    <x v="1"/>
    <x v="12"/>
    <m/>
    <x v="1"/>
    <x v="92"/>
    <x v="0"/>
    <m/>
    <x v="1"/>
    <m/>
    <x v="3"/>
  </r>
  <r>
    <n v="2007924"/>
    <d v="2020-08-20T00:00:00"/>
    <x v="147"/>
    <x v="0"/>
    <x v="44"/>
    <n v="10"/>
    <x v="0"/>
    <x v="78"/>
    <x v="0"/>
    <m/>
    <x v="1"/>
    <m/>
    <x v="0"/>
  </r>
  <r>
    <n v="2008565"/>
    <d v="2020-08-20T00:00:00"/>
    <x v="11"/>
    <x v="0"/>
    <x v="46"/>
    <n v="4"/>
    <x v="1"/>
    <x v="74"/>
    <x v="0"/>
    <m/>
    <x v="1"/>
    <m/>
    <x v="1"/>
  </r>
  <r>
    <n v="2008587"/>
    <d v="2020-08-20T00:00:00"/>
    <x v="11"/>
    <x v="1"/>
    <x v="12"/>
    <m/>
    <x v="0"/>
    <x v="3"/>
    <x v="0"/>
    <m/>
    <x v="1"/>
    <m/>
    <x v="0"/>
  </r>
  <r>
    <n v="2008594"/>
    <d v="2020-08-20T00:00:00"/>
    <x v="11"/>
    <x v="0"/>
    <x v="65"/>
    <n v="4"/>
    <x v="1"/>
    <x v="89"/>
    <x v="0"/>
    <m/>
    <x v="1"/>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65AF35-84A6-4000-9F86-C955F2D8FFCD}" name="TablaDinámica3" cacheId="0" applyNumberFormats="0" applyBorderFormats="0" applyFontFormats="0" applyPatternFormats="0" applyAlignmentFormats="0" applyWidthHeightFormats="1" dataCaption="Valores" updatedVersion="8" minRefreshableVersion="5" useAutoFormatting="1" itemPrintTitles="1" createdVersion="8" indent="0" multipleFieldFilters="0" chartFormat="40">
  <location ref="A1:E5" firstHeaderRow="1" firstDataRow="2" firstDataCol="1"/>
  <pivotFields count="16">
    <pivotField dataField="1" showAll="0"/>
    <pivotField numFmtId="14" showAll="0"/>
    <pivotField numFmtId="14" showAll="0">
      <items count="266">
        <item x="264"/>
        <item x="259"/>
        <item x="115"/>
        <item x="85"/>
        <item x="117"/>
        <item x="258"/>
        <item x="82"/>
        <item x="101"/>
        <item x="77"/>
        <item x="237"/>
        <item x="43"/>
        <item x="182"/>
        <item x="221"/>
        <item x="185"/>
        <item x="119"/>
        <item x="132"/>
        <item x="35"/>
        <item x="246"/>
        <item x="154"/>
        <item x="133"/>
        <item x="26"/>
        <item x="260"/>
        <item x="208"/>
        <item x="234"/>
        <item x="255"/>
        <item x="178"/>
        <item x="263"/>
        <item x="13"/>
        <item x="100"/>
        <item x="113"/>
        <item x="48"/>
        <item x="123"/>
        <item x="216"/>
        <item x="19"/>
        <item x="139"/>
        <item x="261"/>
        <item x="83"/>
        <item x="86"/>
        <item x="247"/>
        <item x="180"/>
        <item x="262"/>
        <item x="97"/>
        <item x="177"/>
        <item x="109"/>
        <item x="72"/>
        <item x="135"/>
        <item x="59"/>
        <item x="61"/>
        <item x="179"/>
        <item x="47"/>
        <item x="2"/>
        <item x="151"/>
        <item x="84"/>
        <item x="157"/>
        <item x="10"/>
        <item x="99"/>
        <item x="30"/>
        <item x="94"/>
        <item x="160"/>
        <item x="242"/>
        <item x="173"/>
        <item x="144"/>
        <item x="28"/>
        <item x="252"/>
        <item x="161"/>
        <item x="34"/>
        <item x="92"/>
        <item x="188"/>
        <item x="166"/>
        <item x="42"/>
        <item x="40"/>
        <item x="93"/>
        <item x="187"/>
        <item x="81"/>
        <item x="118"/>
        <item x="152"/>
        <item x="69"/>
        <item x="39"/>
        <item x="4"/>
        <item x="9"/>
        <item x="238"/>
        <item x="170"/>
        <item x="18"/>
        <item x="67"/>
        <item x="66"/>
        <item x="17"/>
        <item x="62"/>
        <item x="137"/>
        <item x="120"/>
        <item x="16"/>
        <item x="68"/>
        <item x="54"/>
        <item x="6"/>
        <item x="191"/>
        <item x="124"/>
        <item x="78"/>
        <item x="204"/>
        <item x="20"/>
        <item x="146"/>
        <item x="60"/>
        <item x="52"/>
        <item x="236"/>
        <item x="207"/>
        <item x="29"/>
        <item x="88"/>
        <item x="0"/>
        <item x="203"/>
        <item x="143"/>
        <item x="53"/>
        <item x="8"/>
        <item x="22"/>
        <item x="138"/>
        <item x="122"/>
        <item x="155"/>
        <item x="156"/>
        <item x="55"/>
        <item x="136"/>
        <item x="107"/>
        <item x="32"/>
        <item x="11"/>
        <item x="147"/>
        <item x="116"/>
        <item x="50"/>
        <item x="37"/>
        <item x="131"/>
        <item x="95"/>
        <item x="3"/>
        <item x="158"/>
        <item x="176"/>
        <item x="64"/>
        <item x="80"/>
        <item x="58"/>
        <item x="44"/>
        <item x="128"/>
        <item x="148"/>
        <item x="33"/>
        <item x="1"/>
        <item x="38"/>
        <item x="89"/>
        <item x="7"/>
        <item x="102"/>
        <item x="142"/>
        <item x="5"/>
        <item x="172"/>
        <item x="41"/>
        <item x="210"/>
        <item x="24"/>
        <item x="108"/>
        <item x="150"/>
        <item x="159"/>
        <item x="65"/>
        <item x="141"/>
        <item x="14"/>
        <item x="49"/>
        <item x="171"/>
        <item x="192"/>
        <item x="145"/>
        <item x="140"/>
        <item x="46"/>
        <item x="21"/>
        <item x="257"/>
        <item x="165"/>
        <item x="153"/>
        <item x="249"/>
        <item x="31"/>
        <item x="169"/>
        <item x="129"/>
        <item x="27"/>
        <item x="63"/>
        <item x="195"/>
        <item x="222"/>
        <item x="105"/>
        <item x="230"/>
        <item x="164"/>
        <item x="104"/>
        <item x="56"/>
        <item x="71"/>
        <item x="229"/>
        <item x="256"/>
        <item x="202"/>
        <item x="51"/>
        <item x="106"/>
        <item x="73"/>
        <item x="163"/>
        <item x="241"/>
        <item x="190"/>
        <item x="231"/>
        <item x="111"/>
        <item x="87"/>
        <item x="206"/>
        <item x="217"/>
        <item x="243"/>
        <item x="227"/>
        <item x="205"/>
        <item x="90"/>
        <item x="174"/>
        <item x="253"/>
        <item x="198"/>
        <item x="213"/>
        <item x="224"/>
        <item x="250"/>
        <item x="162"/>
        <item x="183"/>
        <item x="12"/>
        <item x="197"/>
        <item x="23"/>
        <item x="175"/>
        <item x="215"/>
        <item x="225"/>
        <item x="70"/>
        <item x="168"/>
        <item x="45"/>
        <item x="114"/>
        <item x="149"/>
        <item x="98"/>
        <item x="214"/>
        <item x="74"/>
        <item x="15"/>
        <item x="220"/>
        <item x="189"/>
        <item x="226"/>
        <item x="127"/>
        <item x="57"/>
        <item x="219"/>
        <item x="239"/>
        <item x="218"/>
        <item x="110"/>
        <item x="79"/>
        <item x="184"/>
        <item x="240"/>
        <item x="196"/>
        <item x="76"/>
        <item x="25"/>
        <item x="36"/>
        <item x="200"/>
        <item x="130"/>
        <item x="228"/>
        <item x="125"/>
        <item x="167"/>
        <item x="244"/>
        <item x="235"/>
        <item x="212"/>
        <item x="121"/>
        <item x="201"/>
        <item x="91"/>
        <item x="134"/>
        <item x="209"/>
        <item x="126"/>
        <item x="103"/>
        <item x="194"/>
        <item x="211"/>
        <item x="96"/>
        <item x="199"/>
        <item x="75"/>
        <item x="232"/>
        <item x="251"/>
        <item x="112"/>
        <item x="223"/>
        <item x="248"/>
        <item x="254"/>
        <item x="193"/>
        <item x="186"/>
        <item x="181"/>
        <item x="245"/>
        <item x="233"/>
        <item t="default"/>
      </items>
    </pivotField>
    <pivotField axis="axisRow" showAll="0">
      <items count="17">
        <item x="1"/>
        <item x="0"/>
        <item x="15"/>
        <item x="6"/>
        <item x="2"/>
        <item x="7"/>
        <item x="10"/>
        <item x="5"/>
        <item x="3"/>
        <item x="8"/>
        <item x="4"/>
        <item x="14"/>
        <item x="12"/>
        <item x="13"/>
        <item x="9"/>
        <item x="11"/>
        <item t="default"/>
      </items>
    </pivotField>
    <pivotField showAll="0"/>
    <pivotField showAll="0"/>
    <pivotField axis="axisRow" multipleItemSelectionAllowed="1" showAll="0">
      <items count="3">
        <item sd="0" x="0"/>
        <item sd="0" x="1"/>
        <item t="default" sd="0"/>
      </items>
    </pivotField>
    <pivotField showAll="0">
      <items count="103">
        <item x="91"/>
        <item x="89"/>
        <item x="88"/>
        <item x="94"/>
        <item x="101"/>
        <item x="97"/>
        <item x="85"/>
        <item x="99"/>
        <item x="90"/>
        <item x="98"/>
        <item x="82"/>
        <item x="84"/>
        <item x="100"/>
        <item x="75"/>
        <item x="96"/>
        <item x="86"/>
        <item x="74"/>
        <item x="95"/>
        <item x="50"/>
        <item x="73"/>
        <item x="70"/>
        <item x="80"/>
        <item x="92"/>
        <item x="79"/>
        <item x="51"/>
        <item x="72"/>
        <item x="69"/>
        <item x="87"/>
        <item x="71"/>
        <item x="78"/>
        <item x="43"/>
        <item x="31"/>
        <item x="45"/>
        <item x="68"/>
        <item x="48"/>
        <item x="77"/>
        <item x="93"/>
        <item x="52"/>
        <item x="76"/>
        <item x="81"/>
        <item x="67"/>
        <item x="83"/>
        <item x="32"/>
        <item x="57"/>
        <item x="60"/>
        <item x="55"/>
        <item x="35"/>
        <item x="64"/>
        <item x="65"/>
        <item x="46"/>
        <item x="39"/>
        <item x="18"/>
        <item x="61"/>
        <item x="41"/>
        <item x="24"/>
        <item x="56"/>
        <item x="54"/>
        <item x="2"/>
        <item x="0"/>
        <item x="63"/>
        <item x="26"/>
        <item x="3"/>
        <item x="12"/>
        <item x="5"/>
        <item x="11"/>
        <item x="16"/>
        <item x="59"/>
        <item x="42"/>
        <item x="20"/>
        <item x="25"/>
        <item x="30"/>
        <item x="21"/>
        <item x="19"/>
        <item x="37"/>
        <item x="33"/>
        <item x="7"/>
        <item x="1"/>
        <item x="8"/>
        <item x="23"/>
        <item x="29"/>
        <item x="15"/>
        <item x="4"/>
        <item x="9"/>
        <item x="6"/>
        <item x="14"/>
        <item x="28"/>
        <item x="22"/>
        <item x="44"/>
        <item x="38"/>
        <item x="10"/>
        <item x="13"/>
        <item x="49"/>
        <item x="27"/>
        <item x="17"/>
        <item x="40"/>
        <item x="34"/>
        <item x="53"/>
        <item x="47"/>
        <item x="58"/>
        <item x="66"/>
        <item x="36"/>
        <item x="62"/>
        <item t="default"/>
      </items>
    </pivotField>
    <pivotField axis="axisCol" showAll="0">
      <items count="4">
        <item x="0"/>
        <item x="1"/>
        <item x="2"/>
        <item t="default"/>
      </items>
    </pivotField>
    <pivotField showAll="0"/>
    <pivotField showAll="0">
      <items count="3">
        <item x="1"/>
        <item x="0"/>
        <item t="default"/>
      </items>
    </pivotField>
    <pivotField showAll="0"/>
    <pivotField showAll="0">
      <items count="6">
        <item x="0"/>
        <item x="1"/>
        <item x="3"/>
        <item x="4"/>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6"/>
    <field x="3"/>
  </rowFields>
  <rowItems count="3">
    <i>
      <x/>
    </i>
    <i>
      <x v="1"/>
    </i>
    <i t="grand">
      <x/>
    </i>
  </rowItems>
  <colFields count="1">
    <field x="8"/>
  </colFields>
  <colItems count="4">
    <i>
      <x/>
    </i>
    <i>
      <x v="1"/>
    </i>
    <i>
      <x v="2"/>
    </i>
    <i t="grand">
      <x/>
    </i>
  </colItems>
  <dataFields count="1">
    <dataField name="Recuento de Numero de casos" fld="0" subtotal="count" baseField="0" baseItem="0"/>
  </dataFields>
  <chartFormats count="19">
    <chartFormat chart="13" format="10" series="1">
      <pivotArea type="data" outline="0" fieldPosition="0">
        <references count="2">
          <reference field="4294967294" count="1" selected="0">
            <x v="0"/>
          </reference>
          <reference field="6" count="1" selected="0">
            <x v="0"/>
          </reference>
        </references>
      </pivotArea>
    </chartFormat>
    <chartFormat chart="13" format="11">
      <pivotArea type="data" outline="0" fieldPosition="0">
        <references count="3">
          <reference field="4294967294" count="1" selected="0">
            <x v="0"/>
          </reference>
          <reference field="6" count="1" selected="0">
            <x v="0"/>
          </reference>
          <reference field="8" count="1" selected="0">
            <x v="0"/>
          </reference>
        </references>
      </pivotArea>
    </chartFormat>
    <chartFormat chart="13" format="12">
      <pivotArea type="data" outline="0" fieldPosition="0">
        <references count="3">
          <reference field="4294967294" count="1" selected="0">
            <x v="0"/>
          </reference>
          <reference field="6" count="1" selected="0">
            <x v="0"/>
          </reference>
          <reference field="8" count="1" selected="0">
            <x v="1"/>
          </reference>
        </references>
      </pivotArea>
    </chartFormat>
    <chartFormat chart="13" format="13">
      <pivotArea type="data" outline="0" fieldPosition="0">
        <references count="3">
          <reference field="4294967294" count="1" selected="0">
            <x v="0"/>
          </reference>
          <reference field="6" count="1" selected="0">
            <x v="0"/>
          </reference>
          <reference field="8" count="1" selected="0">
            <x v="2"/>
          </reference>
        </references>
      </pivotArea>
    </chartFormat>
    <chartFormat chart="13" format="14" series="1">
      <pivotArea type="data" outline="0" fieldPosition="0">
        <references count="2">
          <reference field="4294967294" count="1" selected="0">
            <x v="0"/>
          </reference>
          <reference field="6" count="1" selected="0">
            <x v="1"/>
          </reference>
        </references>
      </pivotArea>
    </chartFormat>
    <chartFormat chart="13" format="15">
      <pivotArea type="data" outline="0" fieldPosition="0">
        <references count="3">
          <reference field="4294967294" count="1" selected="0">
            <x v="0"/>
          </reference>
          <reference field="6" count="1" selected="0">
            <x v="1"/>
          </reference>
          <reference field="8" count="1" selected="0">
            <x v="0"/>
          </reference>
        </references>
      </pivotArea>
    </chartFormat>
    <chartFormat chart="13" format="16">
      <pivotArea type="data" outline="0" fieldPosition="0">
        <references count="3">
          <reference field="4294967294" count="1" selected="0">
            <x v="0"/>
          </reference>
          <reference field="6" count="1" selected="0">
            <x v="1"/>
          </reference>
          <reference field="8" count="1" selected="0">
            <x v="1"/>
          </reference>
        </references>
      </pivotArea>
    </chartFormat>
    <chartFormat chart="13" format="17">
      <pivotArea type="data" outline="0" fieldPosition="0">
        <references count="3">
          <reference field="4294967294" count="1" selected="0">
            <x v="0"/>
          </reference>
          <reference field="6" count="1" selected="0">
            <x v="1"/>
          </reference>
          <reference field="8" count="1" selected="0">
            <x v="2"/>
          </reference>
        </references>
      </pivotArea>
    </chartFormat>
    <chartFormat chart="13" format="18" series="1">
      <pivotArea type="data" outline="0" fieldPosition="0">
        <references count="2">
          <reference field="4294967294" count="1" selected="0">
            <x v="0"/>
          </reference>
          <reference field="8" count="1" selected="0">
            <x v="2"/>
          </reference>
        </references>
      </pivotArea>
    </chartFormat>
    <chartFormat chart="13" format="19" series="1">
      <pivotArea type="data" outline="0" fieldPosition="0">
        <references count="2">
          <reference field="4294967294" count="1" selected="0">
            <x v="0"/>
          </reference>
          <reference field="8" count="1" selected="0">
            <x v="0"/>
          </reference>
        </references>
      </pivotArea>
    </chartFormat>
    <chartFormat chart="13" format="20" series="1">
      <pivotArea type="data" outline="0" fieldPosition="0">
        <references count="2">
          <reference field="4294967294" count="1" selected="0">
            <x v="0"/>
          </reference>
          <reference field="8" count="1" selected="0">
            <x v="1"/>
          </reference>
        </references>
      </pivotArea>
    </chartFormat>
    <chartFormat chart="21" format="0" series="1">
      <pivotArea type="data" outline="0" fieldPosition="0">
        <references count="2">
          <reference field="4294967294" count="1" selected="0">
            <x v="0"/>
          </reference>
          <reference field="8" count="1" selected="0">
            <x v="0"/>
          </reference>
        </references>
      </pivotArea>
    </chartFormat>
    <chartFormat chart="21" format="1" series="1">
      <pivotArea type="data" outline="0" fieldPosition="0">
        <references count="2">
          <reference field="4294967294" count="1" selected="0">
            <x v="0"/>
          </reference>
          <reference field="8" count="1" selected="0">
            <x v="1"/>
          </reference>
        </references>
      </pivotArea>
    </chartFormat>
    <chartFormat chart="21" format="2" series="1">
      <pivotArea type="data" outline="0" fieldPosition="0">
        <references count="2">
          <reference field="4294967294" count="1" selected="0">
            <x v="0"/>
          </reference>
          <reference field="8" count="1" selected="0">
            <x v="2"/>
          </reference>
        </references>
      </pivotArea>
    </chartFormat>
    <chartFormat chart="13" format="21" series="1">
      <pivotArea type="data" outline="0" fieldPosition="0">
        <references count="1">
          <reference field="4294967294" count="1" selected="0">
            <x v="0"/>
          </reference>
        </references>
      </pivotArea>
    </chartFormat>
    <chartFormat chart="23" format="16" series="1">
      <pivotArea type="data" outline="0" fieldPosition="0">
        <references count="2">
          <reference field="4294967294" count="1" selected="0">
            <x v="0"/>
          </reference>
          <reference field="8" count="1" selected="0">
            <x v="0"/>
          </reference>
        </references>
      </pivotArea>
    </chartFormat>
    <chartFormat chart="23" format="17" series="1">
      <pivotArea type="data" outline="0" fieldPosition="0">
        <references count="2">
          <reference field="4294967294" count="1" selected="0">
            <x v="0"/>
          </reference>
          <reference field="8" count="1" selected="0">
            <x v="1"/>
          </reference>
        </references>
      </pivotArea>
    </chartFormat>
    <chartFormat chart="23" format="18" series="1">
      <pivotArea type="data" outline="0" fieldPosition="0">
        <references count="2">
          <reference field="4294967294" count="1" selected="0">
            <x v="0"/>
          </reference>
          <reference field="8" count="1" selected="0">
            <x v="2"/>
          </reference>
        </references>
      </pivotArea>
    </chartFormat>
    <chartFormat chart="23"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58BEF6-B615-46E2-8978-4AC2C901103A}" name="TablaDinámica2" cacheId="0" applyNumberFormats="0" applyBorderFormats="0" applyFontFormats="0" applyPatternFormats="0" applyAlignmentFormats="0" applyWidthHeightFormats="1" dataCaption="Valores" updatedVersion="8" minRefreshableVersion="3" useAutoFormatting="1" itemPrintTitles="1" createdVersion="8" indent="0" multipleFieldFilters="0" chartFormat="38">
  <location ref="G44:H61" firstHeaderRow="1" firstDataRow="1" firstDataCol="1"/>
  <pivotFields count="16">
    <pivotField dataField="1" showAll="0"/>
    <pivotField numFmtId="14" showAll="0"/>
    <pivotField numFmtId="14" showAll="0">
      <items count="266">
        <item x="264"/>
        <item x="259"/>
        <item x="115"/>
        <item x="85"/>
        <item x="117"/>
        <item x="258"/>
        <item x="82"/>
        <item x="101"/>
        <item x="77"/>
        <item x="237"/>
        <item x="43"/>
        <item x="182"/>
        <item x="221"/>
        <item x="185"/>
        <item x="119"/>
        <item x="132"/>
        <item x="35"/>
        <item x="246"/>
        <item x="154"/>
        <item x="133"/>
        <item x="26"/>
        <item x="260"/>
        <item x="208"/>
        <item x="234"/>
        <item x="255"/>
        <item x="178"/>
        <item x="263"/>
        <item x="13"/>
        <item x="100"/>
        <item x="113"/>
        <item x="48"/>
        <item x="123"/>
        <item x="216"/>
        <item x="19"/>
        <item x="139"/>
        <item x="261"/>
        <item x="83"/>
        <item x="86"/>
        <item x="247"/>
        <item x="180"/>
        <item x="262"/>
        <item x="97"/>
        <item x="177"/>
        <item x="109"/>
        <item x="72"/>
        <item x="135"/>
        <item x="59"/>
        <item x="61"/>
        <item x="179"/>
        <item x="47"/>
        <item x="2"/>
        <item x="151"/>
        <item x="84"/>
        <item x="157"/>
        <item x="10"/>
        <item x="99"/>
        <item x="30"/>
        <item x="94"/>
        <item x="160"/>
        <item x="242"/>
        <item x="173"/>
        <item x="144"/>
        <item x="28"/>
        <item x="252"/>
        <item x="161"/>
        <item x="34"/>
        <item x="92"/>
        <item x="188"/>
        <item x="166"/>
        <item x="42"/>
        <item x="40"/>
        <item x="93"/>
        <item x="187"/>
        <item x="81"/>
        <item x="118"/>
        <item x="152"/>
        <item x="69"/>
        <item x="39"/>
        <item x="4"/>
        <item x="9"/>
        <item x="238"/>
        <item x="170"/>
        <item x="18"/>
        <item x="67"/>
        <item x="66"/>
        <item x="17"/>
        <item x="62"/>
        <item x="137"/>
        <item x="120"/>
        <item x="16"/>
        <item x="68"/>
        <item x="54"/>
        <item x="6"/>
        <item x="191"/>
        <item x="124"/>
        <item x="78"/>
        <item x="204"/>
        <item x="20"/>
        <item x="146"/>
        <item x="60"/>
        <item x="52"/>
        <item x="236"/>
        <item x="207"/>
        <item x="29"/>
        <item x="88"/>
        <item x="0"/>
        <item x="203"/>
        <item x="143"/>
        <item x="53"/>
        <item x="8"/>
        <item x="22"/>
        <item x="138"/>
        <item x="122"/>
        <item x="155"/>
        <item x="156"/>
        <item x="55"/>
        <item x="136"/>
        <item x="107"/>
        <item x="32"/>
        <item x="11"/>
        <item x="147"/>
        <item x="116"/>
        <item x="50"/>
        <item x="37"/>
        <item x="131"/>
        <item x="95"/>
        <item x="3"/>
        <item x="158"/>
        <item x="176"/>
        <item x="64"/>
        <item x="80"/>
        <item x="58"/>
        <item x="44"/>
        <item x="128"/>
        <item x="148"/>
        <item x="33"/>
        <item x="1"/>
        <item x="38"/>
        <item x="89"/>
        <item x="7"/>
        <item x="102"/>
        <item x="142"/>
        <item x="5"/>
        <item x="172"/>
        <item x="41"/>
        <item x="210"/>
        <item x="24"/>
        <item x="108"/>
        <item x="150"/>
        <item x="159"/>
        <item x="65"/>
        <item x="141"/>
        <item x="14"/>
        <item x="49"/>
        <item x="171"/>
        <item x="192"/>
        <item x="145"/>
        <item x="140"/>
        <item x="46"/>
        <item x="21"/>
        <item x="257"/>
        <item x="165"/>
        <item x="153"/>
        <item x="249"/>
        <item x="31"/>
        <item x="169"/>
        <item x="129"/>
        <item x="27"/>
        <item x="63"/>
        <item x="195"/>
        <item x="222"/>
        <item x="105"/>
        <item x="230"/>
        <item x="164"/>
        <item x="104"/>
        <item x="56"/>
        <item x="71"/>
        <item x="229"/>
        <item x="256"/>
        <item x="202"/>
        <item x="51"/>
        <item x="106"/>
        <item x="73"/>
        <item x="163"/>
        <item x="241"/>
        <item x="190"/>
        <item x="231"/>
        <item x="111"/>
        <item x="87"/>
        <item x="206"/>
        <item x="217"/>
        <item x="243"/>
        <item x="227"/>
        <item x="205"/>
        <item x="90"/>
        <item x="174"/>
        <item x="253"/>
        <item x="198"/>
        <item x="213"/>
        <item x="224"/>
        <item x="250"/>
        <item x="162"/>
        <item x="183"/>
        <item x="12"/>
        <item x="197"/>
        <item x="23"/>
        <item x="175"/>
        <item x="215"/>
        <item x="225"/>
        <item x="70"/>
        <item x="168"/>
        <item x="45"/>
        <item x="114"/>
        <item x="149"/>
        <item x="98"/>
        <item x="214"/>
        <item x="74"/>
        <item x="15"/>
        <item x="220"/>
        <item x="189"/>
        <item x="226"/>
        <item x="127"/>
        <item x="57"/>
        <item x="219"/>
        <item x="239"/>
        <item x="218"/>
        <item x="110"/>
        <item x="79"/>
        <item x="184"/>
        <item x="240"/>
        <item x="196"/>
        <item x="76"/>
        <item x="25"/>
        <item x="36"/>
        <item x="200"/>
        <item x="130"/>
        <item x="228"/>
        <item x="125"/>
        <item x="167"/>
        <item x="244"/>
        <item x="235"/>
        <item x="212"/>
        <item x="121"/>
        <item x="201"/>
        <item x="91"/>
        <item x="134"/>
        <item x="209"/>
        <item x="126"/>
        <item x="103"/>
        <item x="194"/>
        <item x="211"/>
        <item x="96"/>
        <item x="199"/>
        <item x="75"/>
        <item x="232"/>
        <item x="251"/>
        <item x="112"/>
        <item x="223"/>
        <item x="248"/>
        <item x="254"/>
        <item x="193"/>
        <item x="186"/>
        <item x="181"/>
        <item x="245"/>
        <item x="233"/>
        <item t="default"/>
      </items>
    </pivotField>
    <pivotField axis="axisRow" showAll="0">
      <items count="17">
        <item x="1"/>
        <item x="0"/>
        <item x="15"/>
        <item x="6"/>
        <item x="2"/>
        <item x="7"/>
        <item x="10"/>
        <item x="5"/>
        <item x="3"/>
        <item x="8"/>
        <item x="4"/>
        <item x="14"/>
        <item x="12"/>
        <item x="13"/>
        <item x="9"/>
        <item x="11"/>
        <item t="default"/>
      </items>
    </pivotField>
    <pivotField showAll="0">
      <items count="97">
        <item x="18"/>
        <item x="6"/>
        <item x="16"/>
        <item x="61"/>
        <item x="2"/>
        <item x="46"/>
        <item x="34"/>
        <item x="1"/>
        <item x="80"/>
        <item x="25"/>
        <item x="48"/>
        <item x="7"/>
        <item x="5"/>
        <item x="0"/>
        <item x="73"/>
        <item x="3"/>
        <item x="74"/>
        <item x="15"/>
        <item x="77"/>
        <item x="87"/>
        <item x="30"/>
        <item x="33"/>
        <item x="51"/>
        <item x="4"/>
        <item x="69"/>
        <item x="82"/>
        <item x="50"/>
        <item x="72"/>
        <item x="13"/>
        <item x="66"/>
        <item x="9"/>
        <item x="45"/>
        <item x="12"/>
        <item x="67"/>
        <item x="19"/>
        <item x="53"/>
        <item x="35"/>
        <item x="75"/>
        <item x="94"/>
        <item x="8"/>
        <item x="54"/>
        <item x="63"/>
        <item x="65"/>
        <item x="42"/>
        <item x="38"/>
        <item x="11"/>
        <item x="23"/>
        <item x="64"/>
        <item x="28"/>
        <item x="24"/>
        <item x="58"/>
        <item x="92"/>
        <item x="70"/>
        <item x="68"/>
        <item x="62"/>
        <item x="10"/>
        <item x="89"/>
        <item x="37"/>
        <item x="56"/>
        <item x="27"/>
        <item x="84"/>
        <item x="36"/>
        <item x="93"/>
        <item x="52"/>
        <item x="86"/>
        <item x="81"/>
        <item x="91"/>
        <item x="20"/>
        <item x="83"/>
        <item x="41"/>
        <item x="79"/>
        <item x="90"/>
        <item x="57"/>
        <item x="47"/>
        <item x="21"/>
        <item x="71"/>
        <item x="55"/>
        <item x="44"/>
        <item x="22"/>
        <item x="29"/>
        <item x="88"/>
        <item x="76"/>
        <item x="14"/>
        <item x="43"/>
        <item x="26"/>
        <item x="59"/>
        <item x="17"/>
        <item x="31"/>
        <item x="95"/>
        <item x="49"/>
        <item x="32"/>
        <item x="85"/>
        <item x="60"/>
        <item x="40"/>
        <item x="39"/>
        <item x="78"/>
        <item t="default"/>
      </items>
    </pivotField>
    <pivotField showAll="0"/>
    <pivotField showAll="0">
      <items count="3">
        <item x="0"/>
        <item x="1"/>
        <item t="default"/>
      </items>
    </pivotField>
    <pivotField showAll="0"/>
    <pivotField showAll="0">
      <items count="4">
        <item x="0"/>
        <item x="1"/>
        <item x="2"/>
        <item t="default"/>
      </items>
    </pivotField>
    <pivotField showAll="0"/>
    <pivotField showAll="0">
      <items count="3">
        <item x="1"/>
        <item x="0"/>
        <item t="default"/>
      </items>
    </pivotField>
    <pivotField showAll="0"/>
    <pivotField showAll="0">
      <items count="6">
        <item x="0"/>
        <item x="1"/>
        <item x="3"/>
        <item x="4"/>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Cuenta de Numero de caso" fld="0" subtotal="count" baseField="0" baseItem="0"/>
  </dataFields>
  <chartFormats count="20">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4" series="1">
      <pivotArea type="data" outline="0" fieldPosition="0">
        <references count="2">
          <reference field="4294967294" count="1" selected="0">
            <x v="0"/>
          </reference>
          <reference field="3" count="1" selected="0">
            <x v="2"/>
          </reference>
        </references>
      </pivotArea>
    </chartFormat>
    <chartFormat chart="24" format="5" series="1">
      <pivotArea type="data" outline="0" fieldPosition="0">
        <references count="2">
          <reference field="4294967294" count="1" selected="0">
            <x v="0"/>
          </reference>
          <reference field="3" count="1" selected="0">
            <x v="3"/>
          </reference>
        </references>
      </pivotArea>
    </chartFormat>
    <chartFormat chart="24" format="6" series="1">
      <pivotArea type="data" outline="0" fieldPosition="0">
        <references count="2">
          <reference field="4294967294" count="1" selected="0">
            <x v="0"/>
          </reference>
          <reference field="3" count="1" selected="0">
            <x v="4"/>
          </reference>
        </references>
      </pivotArea>
    </chartFormat>
    <chartFormat chart="24" format="7" series="1">
      <pivotArea type="data" outline="0" fieldPosition="0">
        <references count="2">
          <reference field="4294967294" count="1" selected="0">
            <x v="0"/>
          </reference>
          <reference field="3" count="1" selected="0">
            <x v="5"/>
          </reference>
        </references>
      </pivotArea>
    </chartFormat>
    <chartFormat chart="24" format="8" series="1">
      <pivotArea type="data" outline="0" fieldPosition="0">
        <references count="2">
          <reference field="4294967294" count="1" selected="0">
            <x v="0"/>
          </reference>
          <reference field="3" count="1" selected="0">
            <x v="6"/>
          </reference>
        </references>
      </pivotArea>
    </chartFormat>
    <chartFormat chart="24" format="9" series="1">
      <pivotArea type="data" outline="0" fieldPosition="0">
        <references count="2">
          <reference field="4294967294" count="1" selected="0">
            <x v="0"/>
          </reference>
          <reference field="3" count="1" selected="0">
            <x v="7"/>
          </reference>
        </references>
      </pivotArea>
    </chartFormat>
    <chartFormat chart="24" format="10" series="1">
      <pivotArea type="data" outline="0" fieldPosition="0">
        <references count="2">
          <reference field="4294967294" count="1" selected="0">
            <x v="0"/>
          </reference>
          <reference field="3" count="1" selected="0">
            <x v="8"/>
          </reference>
        </references>
      </pivotArea>
    </chartFormat>
    <chartFormat chart="24" format="11" series="1">
      <pivotArea type="data" outline="0" fieldPosition="0">
        <references count="2">
          <reference field="4294967294" count="1" selected="0">
            <x v="0"/>
          </reference>
          <reference field="3" count="1" selected="0">
            <x v="9"/>
          </reference>
        </references>
      </pivotArea>
    </chartFormat>
    <chartFormat chart="24" format="12" series="1">
      <pivotArea type="data" outline="0" fieldPosition="0">
        <references count="2">
          <reference field="4294967294" count="1" selected="0">
            <x v="0"/>
          </reference>
          <reference field="3" count="1" selected="0">
            <x v="10"/>
          </reference>
        </references>
      </pivotArea>
    </chartFormat>
    <chartFormat chart="24" format="13" series="1">
      <pivotArea type="data" outline="0" fieldPosition="0">
        <references count="2">
          <reference field="4294967294" count="1" selected="0">
            <x v="0"/>
          </reference>
          <reference field="3" count="1" selected="0">
            <x v="11"/>
          </reference>
        </references>
      </pivotArea>
    </chartFormat>
    <chartFormat chart="24" format="14" series="1">
      <pivotArea type="data" outline="0" fieldPosition="0">
        <references count="2">
          <reference field="4294967294" count="1" selected="0">
            <x v="0"/>
          </reference>
          <reference field="3" count="1" selected="0">
            <x v="12"/>
          </reference>
        </references>
      </pivotArea>
    </chartFormat>
    <chartFormat chart="24" format="15" series="1">
      <pivotArea type="data" outline="0" fieldPosition="0">
        <references count="2">
          <reference field="4294967294" count="1" selected="0">
            <x v="0"/>
          </reference>
          <reference field="3" count="1" selected="0">
            <x v="13"/>
          </reference>
        </references>
      </pivotArea>
    </chartFormat>
    <chartFormat chart="24" format="16" series="1">
      <pivotArea type="data" outline="0" fieldPosition="0">
        <references count="2">
          <reference field="4294967294" count="1" selected="0">
            <x v="0"/>
          </reference>
          <reference field="3" count="1" selected="0">
            <x v="14"/>
          </reference>
        </references>
      </pivotArea>
    </chartFormat>
    <chartFormat chart="24" format="17" series="1">
      <pivotArea type="data" outline="0" fieldPosition="0">
        <references count="2">
          <reference field="4294967294" count="1" selected="0">
            <x v="0"/>
          </reference>
          <reference field="3" count="1" selected="0">
            <x v="15"/>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46E787-5DD5-4FC4-8583-40E98918EADF}" name="TablaDinámica1" cacheId="0" applyNumberFormats="0" applyBorderFormats="0" applyFontFormats="0" applyPatternFormats="0" applyAlignmentFormats="0" applyWidthHeightFormats="1" dataCaption="Valores" updatedVersion="8" minRefreshableVersion="3" useAutoFormatting="1" itemPrintTitles="1" createdVersion="8" indent="0" multipleFieldFilters="0" chartFormat="31">
  <location ref="G22:J40" firstHeaderRow="1" firstDataRow="2" firstDataCol="1"/>
  <pivotFields count="16">
    <pivotField dataField="1" showAll="0"/>
    <pivotField numFmtId="14" showAll="0"/>
    <pivotField numFmtId="14" showAll="0">
      <items count="266">
        <item x="264"/>
        <item x="259"/>
        <item x="115"/>
        <item x="85"/>
        <item x="117"/>
        <item x="258"/>
        <item x="82"/>
        <item x="101"/>
        <item x="77"/>
        <item x="237"/>
        <item x="43"/>
        <item x="182"/>
        <item x="221"/>
        <item x="185"/>
        <item x="119"/>
        <item x="132"/>
        <item x="35"/>
        <item x="246"/>
        <item x="154"/>
        <item x="133"/>
        <item x="26"/>
        <item x="260"/>
        <item x="208"/>
        <item x="234"/>
        <item x="255"/>
        <item x="178"/>
        <item x="263"/>
        <item x="13"/>
        <item x="100"/>
        <item x="113"/>
        <item x="48"/>
        <item x="123"/>
        <item x="216"/>
        <item x="19"/>
        <item x="139"/>
        <item x="261"/>
        <item x="83"/>
        <item x="86"/>
        <item x="247"/>
        <item x="180"/>
        <item x="262"/>
        <item x="97"/>
        <item x="177"/>
        <item x="109"/>
        <item x="72"/>
        <item x="135"/>
        <item x="59"/>
        <item x="61"/>
        <item x="179"/>
        <item x="47"/>
        <item x="2"/>
        <item x="151"/>
        <item x="84"/>
        <item x="157"/>
        <item x="10"/>
        <item x="99"/>
        <item x="30"/>
        <item x="94"/>
        <item x="160"/>
        <item x="242"/>
        <item x="173"/>
        <item x="144"/>
        <item x="28"/>
        <item x="252"/>
        <item x="161"/>
        <item x="34"/>
        <item x="92"/>
        <item x="188"/>
        <item x="166"/>
        <item x="42"/>
        <item x="40"/>
        <item x="93"/>
        <item x="187"/>
        <item x="81"/>
        <item x="118"/>
        <item x="152"/>
        <item x="69"/>
        <item x="39"/>
        <item x="4"/>
        <item x="9"/>
        <item x="238"/>
        <item x="170"/>
        <item x="18"/>
        <item x="67"/>
        <item x="66"/>
        <item x="17"/>
        <item x="62"/>
        <item x="137"/>
        <item x="120"/>
        <item x="16"/>
        <item x="68"/>
        <item x="54"/>
        <item x="6"/>
        <item x="191"/>
        <item x="124"/>
        <item x="78"/>
        <item x="204"/>
        <item x="20"/>
        <item x="146"/>
        <item x="60"/>
        <item x="52"/>
        <item x="236"/>
        <item x="207"/>
        <item x="29"/>
        <item x="88"/>
        <item x="0"/>
        <item x="203"/>
        <item x="143"/>
        <item x="53"/>
        <item x="8"/>
        <item x="22"/>
        <item x="138"/>
        <item x="122"/>
        <item x="155"/>
        <item x="156"/>
        <item x="55"/>
        <item x="136"/>
        <item x="107"/>
        <item x="32"/>
        <item x="11"/>
        <item x="147"/>
        <item x="116"/>
        <item x="50"/>
        <item x="37"/>
        <item x="131"/>
        <item x="95"/>
        <item x="3"/>
        <item x="158"/>
        <item x="176"/>
        <item x="64"/>
        <item x="80"/>
        <item x="58"/>
        <item x="44"/>
        <item x="128"/>
        <item x="148"/>
        <item x="33"/>
        <item x="1"/>
        <item x="38"/>
        <item x="89"/>
        <item x="7"/>
        <item x="102"/>
        <item x="142"/>
        <item x="5"/>
        <item x="172"/>
        <item x="41"/>
        <item x="210"/>
        <item x="24"/>
        <item x="108"/>
        <item x="150"/>
        <item x="159"/>
        <item x="65"/>
        <item x="141"/>
        <item x="14"/>
        <item x="49"/>
        <item x="171"/>
        <item x="192"/>
        <item x="145"/>
        <item x="140"/>
        <item x="46"/>
        <item x="21"/>
        <item x="257"/>
        <item x="165"/>
        <item x="153"/>
        <item x="249"/>
        <item x="31"/>
        <item x="169"/>
        <item x="129"/>
        <item x="27"/>
        <item x="63"/>
        <item x="195"/>
        <item x="222"/>
        <item x="105"/>
        <item x="230"/>
        <item x="164"/>
        <item x="104"/>
        <item x="56"/>
        <item x="71"/>
        <item x="229"/>
        <item x="256"/>
        <item x="202"/>
        <item x="51"/>
        <item x="106"/>
        <item x="73"/>
        <item x="163"/>
        <item x="241"/>
        <item x="190"/>
        <item x="231"/>
        <item x="111"/>
        <item x="87"/>
        <item x="206"/>
        <item x="217"/>
        <item x="243"/>
        <item x="227"/>
        <item x="205"/>
        <item x="90"/>
        <item x="174"/>
        <item x="253"/>
        <item x="198"/>
        <item x="213"/>
        <item x="224"/>
        <item x="250"/>
        <item x="162"/>
        <item x="183"/>
        <item x="12"/>
        <item x="197"/>
        <item x="23"/>
        <item x="175"/>
        <item x="215"/>
        <item x="225"/>
        <item x="70"/>
        <item x="168"/>
        <item x="45"/>
        <item x="114"/>
        <item x="149"/>
        <item x="98"/>
        <item x="214"/>
        <item x="74"/>
        <item x="15"/>
        <item x="220"/>
        <item x="189"/>
        <item x="226"/>
        <item x="127"/>
        <item x="57"/>
        <item x="219"/>
        <item x="239"/>
        <item x="218"/>
        <item x="110"/>
        <item x="79"/>
        <item x="184"/>
        <item x="240"/>
        <item x="196"/>
        <item x="76"/>
        <item x="25"/>
        <item x="36"/>
        <item x="200"/>
        <item x="130"/>
        <item x="228"/>
        <item x="125"/>
        <item x="167"/>
        <item x="244"/>
        <item x="235"/>
        <item x="212"/>
        <item x="121"/>
        <item x="201"/>
        <item x="91"/>
        <item x="134"/>
        <item x="209"/>
        <item x="126"/>
        <item x="103"/>
        <item x="194"/>
        <item x="211"/>
        <item x="96"/>
        <item x="199"/>
        <item x="75"/>
        <item x="232"/>
        <item x="251"/>
        <item x="112"/>
        <item x="223"/>
        <item x="248"/>
        <item x="254"/>
        <item x="193"/>
        <item x="186"/>
        <item x="181"/>
        <item x="245"/>
        <item x="233"/>
        <item t="default"/>
      </items>
    </pivotField>
    <pivotField axis="axisRow" showAll="0">
      <items count="17">
        <item x="1"/>
        <item x="0"/>
        <item x="15"/>
        <item x="6"/>
        <item x="2"/>
        <item x="7"/>
        <item x="10"/>
        <item x="5"/>
        <item x="3"/>
        <item x="8"/>
        <item x="4"/>
        <item x="14"/>
        <item x="12"/>
        <item x="13"/>
        <item x="9"/>
        <item x="11"/>
        <item t="default"/>
      </items>
    </pivotField>
    <pivotField showAll="0">
      <items count="97">
        <item x="18"/>
        <item x="6"/>
        <item x="16"/>
        <item x="61"/>
        <item x="2"/>
        <item x="46"/>
        <item x="34"/>
        <item x="1"/>
        <item x="80"/>
        <item x="25"/>
        <item x="48"/>
        <item x="7"/>
        <item x="5"/>
        <item x="0"/>
        <item x="73"/>
        <item x="3"/>
        <item x="74"/>
        <item x="15"/>
        <item x="77"/>
        <item x="87"/>
        <item x="30"/>
        <item x="33"/>
        <item x="51"/>
        <item x="4"/>
        <item x="69"/>
        <item x="82"/>
        <item x="50"/>
        <item x="72"/>
        <item x="13"/>
        <item x="66"/>
        <item x="9"/>
        <item x="45"/>
        <item x="12"/>
        <item x="67"/>
        <item x="19"/>
        <item x="53"/>
        <item x="35"/>
        <item x="75"/>
        <item x="94"/>
        <item x="8"/>
        <item x="54"/>
        <item x="63"/>
        <item x="65"/>
        <item x="42"/>
        <item x="38"/>
        <item x="11"/>
        <item x="23"/>
        <item x="64"/>
        <item x="28"/>
        <item x="24"/>
        <item x="58"/>
        <item x="92"/>
        <item x="70"/>
        <item x="68"/>
        <item x="62"/>
        <item x="10"/>
        <item x="89"/>
        <item x="37"/>
        <item x="56"/>
        <item x="27"/>
        <item x="84"/>
        <item x="36"/>
        <item x="93"/>
        <item x="52"/>
        <item x="86"/>
        <item x="81"/>
        <item x="91"/>
        <item x="20"/>
        <item x="83"/>
        <item x="41"/>
        <item x="79"/>
        <item x="90"/>
        <item x="57"/>
        <item x="47"/>
        <item x="21"/>
        <item x="71"/>
        <item x="55"/>
        <item x="44"/>
        <item x="22"/>
        <item x="29"/>
        <item x="88"/>
        <item x="76"/>
        <item x="14"/>
        <item x="43"/>
        <item x="26"/>
        <item x="59"/>
        <item x="17"/>
        <item x="31"/>
        <item x="95"/>
        <item x="49"/>
        <item x="32"/>
        <item x="85"/>
        <item x="60"/>
        <item x="40"/>
        <item x="39"/>
        <item x="78"/>
        <item t="default"/>
      </items>
    </pivotField>
    <pivotField showAll="0"/>
    <pivotField showAll="0">
      <items count="3">
        <item x="0"/>
        <item x="1"/>
        <item t="default"/>
      </items>
    </pivotField>
    <pivotField showAll="0"/>
    <pivotField showAll="0">
      <items count="4">
        <item x="0"/>
        <item x="1"/>
        <item x="2"/>
        <item t="default"/>
      </items>
    </pivotField>
    <pivotField showAll="0"/>
    <pivotField axis="axisCol" showAll="0">
      <items count="3">
        <item x="1"/>
        <item x="0"/>
        <item t="default"/>
      </items>
    </pivotField>
    <pivotField showAll="0"/>
    <pivotField showAll="0">
      <items count="6">
        <item x="0"/>
        <item x="1"/>
        <item x="3"/>
        <item x="4"/>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7">
    <i>
      <x/>
    </i>
    <i>
      <x v="1"/>
    </i>
    <i>
      <x v="2"/>
    </i>
    <i>
      <x v="3"/>
    </i>
    <i>
      <x v="4"/>
    </i>
    <i>
      <x v="5"/>
    </i>
    <i>
      <x v="6"/>
    </i>
    <i>
      <x v="7"/>
    </i>
    <i>
      <x v="8"/>
    </i>
    <i>
      <x v="9"/>
    </i>
    <i>
      <x v="10"/>
    </i>
    <i>
      <x v="11"/>
    </i>
    <i>
      <x v="12"/>
    </i>
    <i>
      <x v="13"/>
    </i>
    <i>
      <x v="14"/>
    </i>
    <i>
      <x v="15"/>
    </i>
    <i t="grand">
      <x/>
    </i>
  </rowItems>
  <colFields count="1">
    <field x="10"/>
  </colFields>
  <colItems count="3">
    <i>
      <x/>
    </i>
    <i>
      <x v="1"/>
    </i>
    <i t="grand">
      <x/>
    </i>
  </colItems>
  <dataFields count="1">
    <dataField name="Cuenta de Numero de caso" fld="0" subtotal="count" baseField="0" baseItem="0"/>
  </dataFields>
  <chartFormats count="4">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85A654-58BD-4114-B52E-B2C0804DF8FF}" name="TablaDinámica5" cacheId="0" applyNumberFormats="0" applyBorderFormats="0" applyFontFormats="0" applyPatternFormats="0" applyAlignmentFormats="0" applyWidthHeightFormats="1" dataCaption="Valores" updatedVersion="8" minRefreshableVersion="3" useAutoFormatting="1" itemPrintTitles="1" createdVersion="8" indent="0" multipleFieldFilters="0" chartFormat="37">
  <location ref="M45:P67" firstHeaderRow="1" firstDataRow="2" firstDataCol="1"/>
  <pivotFields count="16">
    <pivotField dataField="1" showAll="0"/>
    <pivotField numFmtId="14" showAll="0"/>
    <pivotField axis="axisRow" numFmtId="14" showAll="0">
      <items count="266">
        <item x="264"/>
        <item x="259"/>
        <item x="115"/>
        <item x="85"/>
        <item x="117"/>
        <item x="258"/>
        <item x="82"/>
        <item x="101"/>
        <item x="77"/>
        <item x="237"/>
        <item x="43"/>
        <item x="182"/>
        <item x="221"/>
        <item x="185"/>
        <item x="119"/>
        <item x="132"/>
        <item x="35"/>
        <item x="246"/>
        <item x="154"/>
        <item x="133"/>
        <item x="26"/>
        <item x="260"/>
        <item x="208"/>
        <item x="234"/>
        <item x="255"/>
        <item x="178"/>
        <item x="263"/>
        <item x="13"/>
        <item x="100"/>
        <item x="113"/>
        <item x="48"/>
        <item x="123"/>
        <item x="216"/>
        <item x="19"/>
        <item x="139"/>
        <item x="261"/>
        <item x="83"/>
        <item x="86"/>
        <item x="247"/>
        <item x="180"/>
        <item x="262"/>
        <item x="97"/>
        <item x="177"/>
        <item x="109"/>
        <item x="72"/>
        <item x="135"/>
        <item x="59"/>
        <item x="61"/>
        <item x="179"/>
        <item x="47"/>
        <item x="2"/>
        <item x="151"/>
        <item x="84"/>
        <item x="157"/>
        <item x="10"/>
        <item x="99"/>
        <item x="30"/>
        <item x="94"/>
        <item x="160"/>
        <item x="242"/>
        <item x="173"/>
        <item x="144"/>
        <item x="28"/>
        <item x="252"/>
        <item x="161"/>
        <item x="34"/>
        <item x="92"/>
        <item x="188"/>
        <item x="166"/>
        <item x="42"/>
        <item x="40"/>
        <item x="93"/>
        <item x="187"/>
        <item x="81"/>
        <item x="118"/>
        <item x="152"/>
        <item x="69"/>
        <item x="39"/>
        <item x="4"/>
        <item x="9"/>
        <item x="238"/>
        <item x="170"/>
        <item x="18"/>
        <item x="67"/>
        <item x="66"/>
        <item x="17"/>
        <item x="62"/>
        <item x="137"/>
        <item x="120"/>
        <item x="16"/>
        <item x="68"/>
        <item x="54"/>
        <item x="6"/>
        <item x="191"/>
        <item x="124"/>
        <item x="78"/>
        <item x="204"/>
        <item x="20"/>
        <item x="146"/>
        <item x="60"/>
        <item x="52"/>
        <item x="236"/>
        <item x="207"/>
        <item x="29"/>
        <item x="88"/>
        <item x="0"/>
        <item x="203"/>
        <item x="143"/>
        <item x="53"/>
        <item x="8"/>
        <item x="22"/>
        <item x="138"/>
        <item x="122"/>
        <item x="155"/>
        <item x="156"/>
        <item x="55"/>
        <item x="136"/>
        <item x="107"/>
        <item x="32"/>
        <item x="11"/>
        <item x="147"/>
        <item x="116"/>
        <item x="50"/>
        <item x="37"/>
        <item x="131"/>
        <item x="95"/>
        <item x="3"/>
        <item x="158"/>
        <item x="176"/>
        <item x="64"/>
        <item x="80"/>
        <item x="58"/>
        <item x="44"/>
        <item x="128"/>
        <item x="148"/>
        <item x="33"/>
        <item x="1"/>
        <item x="38"/>
        <item x="89"/>
        <item x="7"/>
        <item x="102"/>
        <item x="142"/>
        <item x="5"/>
        <item x="172"/>
        <item x="41"/>
        <item x="210"/>
        <item x="24"/>
        <item x="108"/>
        <item x="150"/>
        <item x="159"/>
        <item x="65"/>
        <item x="141"/>
        <item x="14"/>
        <item x="49"/>
        <item x="171"/>
        <item x="192"/>
        <item x="145"/>
        <item x="140"/>
        <item x="46"/>
        <item x="21"/>
        <item x="257"/>
        <item x="165"/>
        <item x="153"/>
        <item x="249"/>
        <item x="31"/>
        <item x="169"/>
        <item x="129"/>
        <item x="27"/>
        <item x="63"/>
        <item x="195"/>
        <item x="222"/>
        <item x="105"/>
        <item x="230"/>
        <item x="164"/>
        <item x="104"/>
        <item x="56"/>
        <item x="71"/>
        <item x="229"/>
        <item x="256"/>
        <item x="202"/>
        <item x="51"/>
        <item x="106"/>
        <item x="73"/>
        <item x="163"/>
        <item x="241"/>
        <item x="190"/>
        <item x="231"/>
        <item x="111"/>
        <item x="87"/>
        <item x="206"/>
        <item x="217"/>
        <item x="243"/>
        <item x="227"/>
        <item x="205"/>
        <item x="90"/>
        <item x="174"/>
        <item x="253"/>
        <item x="198"/>
        <item x="213"/>
        <item x="224"/>
        <item x="250"/>
        <item x="162"/>
        <item x="183"/>
        <item x="12"/>
        <item x="197"/>
        <item x="23"/>
        <item x="175"/>
        <item x="215"/>
        <item x="225"/>
        <item x="70"/>
        <item x="168"/>
        <item x="45"/>
        <item x="114"/>
        <item x="149"/>
        <item x="98"/>
        <item x="214"/>
        <item x="74"/>
        <item x="15"/>
        <item x="220"/>
        <item x="189"/>
        <item x="226"/>
        <item x="127"/>
        <item x="57"/>
        <item x="219"/>
        <item x="239"/>
        <item x="218"/>
        <item x="110"/>
        <item x="79"/>
        <item x="184"/>
        <item x="240"/>
        <item x="196"/>
        <item x="76"/>
        <item x="25"/>
        <item x="36"/>
        <item x="200"/>
        <item x="130"/>
        <item x="228"/>
        <item x="125"/>
        <item x="167"/>
        <item x="244"/>
        <item x="235"/>
        <item x="212"/>
        <item x="121"/>
        <item x="201"/>
        <item x="91"/>
        <item x="134"/>
        <item x="209"/>
        <item x="126"/>
        <item x="103"/>
        <item x="194"/>
        <item x="211"/>
        <item x="96"/>
        <item x="199"/>
        <item x="75"/>
        <item x="232"/>
        <item x="251"/>
        <item x="112"/>
        <item x="223"/>
        <item x="248"/>
        <item x="254"/>
        <item x="193"/>
        <item x="186"/>
        <item x="181"/>
        <item x="245"/>
        <item x="233"/>
        <item t="default"/>
      </items>
    </pivotField>
    <pivotField showAll="0">
      <items count="17">
        <item x="1"/>
        <item x="0"/>
        <item x="15"/>
        <item x="6"/>
        <item x="2"/>
        <item x="7"/>
        <item x="10"/>
        <item x="5"/>
        <item x="3"/>
        <item x="8"/>
        <item x="4"/>
        <item x="14"/>
        <item x="12"/>
        <item x="13"/>
        <item x="9"/>
        <item x="11"/>
        <item t="default"/>
      </items>
    </pivotField>
    <pivotField showAll="0">
      <items count="97">
        <item x="18"/>
        <item x="6"/>
        <item x="16"/>
        <item x="61"/>
        <item x="2"/>
        <item x="46"/>
        <item x="34"/>
        <item x="1"/>
        <item x="80"/>
        <item x="25"/>
        <item x="48"/>
        <item x="7"/>
        <item x="5"/>
        <item x="0"/>
        <item x="73"/>
        <item x="3"/>
        <item x="74"/>
        <item x="15"/>
        <item x="77"/>
        <item x="87"/>
        <item x="30"/>
        <item x="33"/>
        <item x="51"/>
        <item x="4"/>
        <item x="69"/>
        <item x="82"/>
        <item x="50"/>
        <item x="72"/>
        <item x="13"/>
        <item x="66"/>
        <item x="9"/>
        <item x="45"/>
        <item x="12"/>
        <item x="67"/>
        <item x="19"/>
        <item x="53"/>
        <item x="35"/>
        <item x="75"/>
        <item x="94"/>
        <item x="8"/>
        <item x="54"/>
        <item x="63"/>
        <item x="65"/>
        <item x="42"/>
        <item x="38"/>
        <item x="11"/>
        <item x="23"/>
        <item x="64"/>
        <item x="28"/>
        <item x="24"/>
        <item x="58"/>
        <item x="92"/>
        <item x="70"/>
        <item x="68"/>
        <item x="62"/>
        <item x="10"/>
        <item x="89"/>
        <item x="37"/>
        <item x="56"/>
        <item x="27"/>
        <item x="84"/>
        <item x="36"/>
        <item x="93"/>
        <item x="52"/>
        <item x="86"/>
        <item x="81"/>
        <item x="91"/>
        <item x="20"/>
        <item x="83"/>
        <item x="41"/>
        <item x="79"/>
        <item x="90"/>
        <item x="57"/>
        <item x="47"/>
        <item x="21"/>
        <item x="71"/>
        <item x="55"/>
        <item x="44"/>
        <item x="22"/>
        <item x="29"/>
        <item x="88"/>
        <item x="76"/>
        <item x="14"/>
        <item x="43"/>
        <item x="26"/>
        <item x="59"/>
        <item x="17"/>
        <item x="31"/>
        <item x="95"/>
        <item x="49"/>
        <item x="32"/>
        <item x="85"/>
        <item x="60"/>
        <item x="40"/>
        <item x="39"/>
        <item x="78"/>
        <item t="default"/>
      </items>
    </pivotField>
    <pivotField showAll="0"/>
    <pivotField showAll="0">
      <items count="3">
        <item x="0"/>
        <item x="1"/>
        <item t="default"/>
      </items>
    </pivotField>
    <pivotField showAll="0"/>
    <pivotField showAll="0">
      <items count="4">
        <item x="0"/>
        <item x="1"/>
        <item x="2"/>
        <item t="default"/>
      </items>
    </pivotField>
    <pivotField showAll="0"/>
    <pivotField axis="axisCol" showAll="0">
      <items count="3">
        <item x="1"/>
        <item x="0"/>
        <item t="default"/>
      </items>
    </pivotField>
    <pivotField showAll="0"/>
    <pivotField showAll="0">
      <items count="6">
        <item x="0"/>
        <item x="1"/>
        <item x="3"/>
        <item x="4"/>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3">
    <field x="15"/>
    <field x="13"/>
    <field x="2"/>
  </rowFields>
  <rowItems count="21">
    <i>
      <x v="1"/>
    </i>
    <i r="1">
      <x v="1"/>
    </i>
    <i r="1">
      <x v="3"/>
    </i>
    <i r="1">
      <x v="4"/>
    </i>
    <i r="1">
      <x v="5"/>
    </i>
    <i r="1">
      <x v="6"/>
    </i>
    <i r="1">
      <x v="7"/>
    </i>
    <i r="1">
      <x v="8"/>
    </i>
    <i r="1">
      <x v="9"/>
    </i>
    <i r="1">
      <x v="10"/>
    </i>
    <i r="1">
      <x v="11"/>
    </i>
    <i r="1">
      <x v="12"/>
    </i>
    <i>
      <x v="2"/>
    </i>
    <i r="1">
      <x v="1"/>
    </i>
    <i r="1">
      <x v="3"/>
    </i>
    <i r="1">
      <x v="4"/>
    </i>
    <i r="1">
      <x v="5"/>
    </i>
    <i r="1">
      <x v="12"/>
    </i>
    <i>
      <x v="3"/>
    </i>
    <i r="1">
      <x v="1"/>
    </i>
    <i t="grand">
      <x/>
    </i>
  </rowItems>
  <colFields count="1">
    <field x="10"/>
  </colFields>
  <colItems count="3">
    <i>
      <x/>
    </i>
    <i>
      <x v="1"/>
    </i>
    <i t="grand">
      <x/>
    </i>
  </colItems>
  <dataFields count="1">
    <dataField name="Cuenta de Numero de caso" fld="0" subtotal="count" baseField="0" baseItem="0"/>
  </dataFields>
  <chartFormats count="8">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35" format="5" series="1">
      <pivotArea type="data" outline="0" fieldPosition="0">
        <references count="2">
          <reference field="4294967294" count="1" selected="0">
            <x v="0"/>
          </reference>
          <reference field="10" count="1" selected="0">
            <x v="0"/>
          </reference>
        </references>
      </pivotArea>
    </chartFormat>
    <chartFormat chart="35" format="6" series="1">
      <pivotArea type="data" outline="0" fieldPosition="0">
        <references count="2">
          <reference field="4294967294" count="1" selected="0">
            <x v="0"/>
          </reference>
          <reference field="10" count="1" selected="0">
            <x v="1"/>
          </reference>
        </references>
      </pivotArea>
    </chartFormat>
    <chartFormat chart="36" format="7" series="1">
      <pivotArea type="data" outline="0" fieldPosition="0">
        <references count="2">
          <reference field="4294967294" count="1" selected="0">
            <x v="0"/>
          </reference>
          <reference field="10" count="1" selected="0">
            <x v="0"/>
          </reference>
        </references>
      </pivotArea>
    </chartFormat>
    <chartFormat chart="36" format="8"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Genero" xr10:uid="{6DED7C89-00B0-469E-93DB-5681CC68C5FF}" sourceName="Genero">
  <pivotTables>
    <pivotTable tabId="4" name="TablaDinámica3"/>
    <pivotTable tabId="4" name="TablaDinámica5"/>
    <pivotTable tabId="4" name="TablaDinámica1"/>
    <pivotTable tabId="4" name="TablaDinámica2"/>
  </pivotTables>
  <data>
    <tabular pivotCacheId="11656272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allecido" xr10:uid="{196AD4F7-6D1F-4539-85A4-9B645CF7E211}" sourceName="Fallecido">
  <pivotTables>
    <pivotTable tabId="4" name="TablaDinámica3"/>
    <pivotTable tabId="4" name="TablaDinámica5"/>
    <pivotTable tabId="4" name="TablaDinámica1"/>
    <pivotTable tabId="4" name="TablaDinámica2"/>
  </pivotTables>
  <data>
    <tabular pivotCacheId="11656272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lasificacion" xr10:uid="{2CF83051-C58E-4975-B687-D348631897F7}" sourceName="Clasificacion">
  <pivotTables>
    <pivotTable tabId="4" name="TablaDinámica3"/>
    <pivotTable tabId="4" name="TablaDinámica5"/>
    <pivotTable tabId="4" name="TablaDinámica1"/>
    <pivotTable tabId="4" name="TablaDinámica2"/>
  </pivotTables>
  <data>
    <tabular pivotCacheId="11656272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vincia" xr10:uid="{36376684-6EEE-46FD-9784-5C73206C2ABB}" sourceName="Provincia">
  <pivotTables>
    <pivotTable tabId="4" name="TablaDinámica3"/>
    <pivotTable tabId="4" name="TablaDinámica1"/>
    <pivotTable tabId="4" name="TablaDinámica2"/>
    <pivotTable tabId="4" name="TablaDinámica5"/>
  </pivotTables>
  <data>
    <tabular pivotCacheId="116562728">
      <items count="16">
        <i x="1" s="1"/>
        <i x="0" s="1"/>
        <i x="15" s="1"/>
        <i x="6" s="1"/>
        <i x="2" s="1"/>
        <i x="7" s="1"/>
        <i x="10" s="1"/>
        <i x="5" s="1"/>
        <i x="3" s="1"/>
        <i x="8" s="1"/>
        <i x="4" s="1"/>
        <i x="14" s="1"/>
        <i x="12" s="1"/>
        <i x="13" s="1"/>
        <i x="9"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ipo_de_contagio" xr10:uid="{61DE1BD5-ABD0-44DF-B30E-20A197E22C23}" sourceName="Tipo de contagio">
  <pivotTables>
    <pivotTable tabId="4" name="TablaDinámica3"/>
    <pivotTable tabId="4" name="TablaDinámica1"/>
    <pivotTable tabId="4" name="TablaDinámica2"/>
    <pivotTable tabId="4" name="TablaDinámica5"/>
  </pivotTables>
  <data>
    <tabular pivotCacheId="116562728">
      <items count="5">
        <i x="0" s="1"/>
        <i x="1" s="1"/>
        <i x="3" s="1"/>
        <i x="4"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ero 1" xr10:uid="{459263FC-2536-41C3-B41B-3E6507DB1D7A}" cache="SegmentaciónDeDatos_Genero" caption="Genero" rowHeight="225425"/>
  <slicer name="Fallecido" xr10:uid="{9C20F088-A555-4148-85EF-DCA6CD258040}" cache="SegmentaciónDeDatos_Fallecido" caption="Fallecido" rowHeight="225425"/>
  <slicer name="Clasificacion" xr10:uid="{AAE23D85-51EA-4E6D-8C3E-5C985E2C3CE5}" cache="SegmentaciónDeDatos_Clasificacion" caption="Clasificacion" rowHeight="225425"/>
  <slicer name="Provincia" xr10:uid="{E8A4550B-0AA1-4EE9-B66F-3409A7D25983}" cache="SegmentaciónDeDatos_Provincia" caption="Provincia" rowHeight="225425"/>
  <slicer name="Tipo de contagio" xr10:uid="{A716E2C2-B3A3-4C07-861D-F6D41C0994CE}" cache="SegmentaciónDeDatos_Tipo_de_contagio" caption="Tipo de contagio" columnCount="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DA6A5C-1B8D-4F20-9FEE-385CB5446D11}" name="Tabla1" displayName="Tabla1" ref="A1:M2004" totalsRowShown="0" headerRowDxfId="7" dataDxfId="6" tableBorderDxfId="5">
  <autoFilter ref="A1:M2004" xr:uid="{AFDA6A5C-1B8D-4F20-9FEE-385CB5446D11}"/>
  <tableColumns count="13">
    <tableColumn id="1" xr3:uid="{00EC3B59-26A8-4768-B629-BC83343C977E}" name="Numero de caso"/>
    <tableColumn id="3" xr3:uid="{C7ADB532-7C46-4CBF-BB72-083FB938D2E5}" name="Fecha toma muestra" dataDxfId="4"/>
    <tableColumn id="4" xr3:uid="{BEF56453-DE08-40BF-B268-1DBE9C9684E8}" name="Fecha clasificacion" dataDxfId="3"/>
    <tableColumn id="5" xr3:uid="{171E7511-81BC-4E6D-8512-DDD6D71521D5}" name="Provincia"/>
    <tableColumn id="6" xr3:uid="{253453FC-08DC-4163-86E6-90229143A789}" name="Barrio"/>
    <tableColumn id="7" xr3:uid="{F3ADC920-4636-47E8-A609-D5F9A912AB99}" name="Comuna"/>
    <tableColumn id="8" xr3:uid="{815DB445-F492-463D-80DC-2ECC23240EDE}" name="Genero"/>
    <tableColumn id="9" xr3:uid="{013864AE-0C27-461C-ACDA-2761E99E50C5}" name="Edad"/>
    <tableColumn id="10" xr3:uid="{116A7896-753A-40BC-839F-0D5DDD42114B}" name="Clasificacion"/>
    <tableColumn id="11" xr3:uid="{0E944147-1634-4658-AA1B-E8E7DACA2373}" name="Fecha de fallecimiento" dataDxfId="2"/>
    <tableColumn id="12" xr3:uid="{80772220-1D0D-4889-BF25-BDF7F76E3605}" name="Fallecido" dataDxfId="1"/>
    <tableColumn id="13" xr3:uid="{A337FD97-6BD3-46D2-A708-E8B7B77B3105}" name="Fecha de alta" dataDxfId="0"/>
    <tableColumn id="14" xr3:uid="{3D1579CB-3591-4429-8F11-AD42AEB22EF7}" name="Tipo de contagio"/>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_clasificacion" xr10:uid="{A2DDA527-201E-4F5B-832D-4E1447CC92F1}" sourceName="Fecha clasificacion">
  <pivotTables>
    <pivotTable tabId="4" name="TablaDinámica3"/>
  </pivotTables>
  <state minimalRefreshVersion="6" lastRefreshVersion="6" pivotCacheId="116562728"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clasificacion 1" xr10:uid="{0B576EAA-78FC-4A54-AF42-905980EC1C86}" cache="NativeTimeline_Fecha_clasificacion" caption="Fecha clasificacion" level="2" selectionLevel="2" scrollPosition="2020-05-15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B0695-3D6B-4ACC-8BAF-B79C0A8A4D84}">
  <dimension ref="A1:AH40"/>
  <sheetViews>
    <sheetView workbookViewId="0">
      <selection sqref="A1:L1"/>
    </sheetView>
  </sheetViews>
  <sheetFormatPr baseColWidth="10" defaultRowHeight="12.75" x14ac:dyDescent="0.2"/>
  <sheetData>
    <row r="1" spans="1:34" ht="60" customHeight="1" thickBot="1" x14ac:dyDescent="0.25">
      <c r="A1" s="90" t="s">
        <v>2160</v>
      </c>
      <c r="B1" s="91"/>
      <c r="C1" s="91"/>
      <c r="D1" s="91"/>
      <c r="E1" s="91"/>
      <c r="F1" s="91"/>
      <c r="G1" s="91"/>
      <c r="H1" s="91"/>
      <c r="I1" s="91"/>
      <c r="J1" s="91"/>
      <c r="K1" s="91"/>
      <c r="L1" s="91"/>
      <c r="M1" s="41"/>
      <c r="N1" s="92" t="s">
        <v>2173</v>
      </c>
      <c r="O1" s="92"/>
      <c r="P1" s="92"/>
      <c r="Q1" s="92"/>
      <c r="R1" s="92"/>
      <c r="S1" s="92"/>
      <c r="T1" s="92"/>
      <c r="U1" s="92"/>
      <c r="V1" s="92"/>
      <c r="W1" s="92"/>
      <c r="X1" s="41"/>
      <c r="Y1" s="41"/>
      <c r="Z1" s="41"/>
      <c r="AA1" s="41"/>
      <c r="AB1" s="41"/>
      <c r="AC1" s="41"/>
      <c r="AD1" s="41"/>
      <c r="AE1" s="41"/>
      <c r="AF1" s="41"/>
      <c r="AG1" s="41"/>
      <c r="AH1" s="41"/>
    </row>
    <row r="2" spans="1:34" ht="33" x14ac:dyDescent="0.2">
      <c r="A2" s="41"/>
      <c r="B2" s="51"/>
      <c r="C2" s="52"/>
      <c r="D2" s="52"/>
      <c r="E2" s="52"/>
      <c r="F2" s="52"/>
      <c r="G2" s="52"/>
      <c r="H2" s="52"/>
      <c r="I2" s="52"/>
      <c r="J2" s="52"/>
      <c r="K2" s="52"/>
      <c r="L2" s="53"/>
      <c r="M2" s="41"/>
      <c r="N2" s="51"/>
      <c r="O2" s="52"/>
      <c r="P2" s="52"/>
      <c r="Q2" s="52"/>
      <c r="R2" s="52"/>
      <c r="S2" s="52"/>
      <c r="T2" s="52"/>
      <c r="U2" s="52"/>
      <c r="V2" s="52"/>
      <c r="W2" s="41"/>
      <c r="X2" s="53"/>
      <c r="Y2" s="41"/>
      <c r="Z2" s="41"/>
      <c r="AA2" s="41"/>
      <c r="AB2" s="41"/>
      <c r="AC2" s="41"/>
      <c r="AD2" s="41"/>
      <c r="AE2" s="41"/>
      <c r="AF2" s="41"/>
      <c r="AG2" s="41"/>
      <c r="AH2" s="41"/>
    </row>
    <row r="3" spans="1:34" ht="33" x14ac:dyDescent="0.2">
      <c r="A3" s="41"/>
      <c r="B3" s="54"/>
      <c r="C3" s="41"/>
      <c r="D3" s="41"/>
      <c r="E3" s="41"/>
      <c r="F3" s="41"/>
      <c r="G3" s="41"/>
      <c r="H3" s="41"/>
      <c r="I3" s="41"/>
      <c r="J3" s="41"/>
      <c r="K3" s="41"/>
      <c r="L3" s="55"/>
      <c r="M3" s="41"/>
      <c r="N3" s="54"/>
      <c r="O3" s="41"/>
      <c r="P3" s="41"/>
      <c r="Q3" s="41"/>
      <c r="R3" s="41"/>
      <c r="S3" s="41"/>
      <c r="T3" s="41"/>
      <c r="U3" s="41"/>
      <c r="V3" s="41"/>
      <c r="W3" s="41"/>
      <c r="X3" s="55"/>
      <c r="Y3" s="41"/>
      <c r="Z3" s="41"/>
      <c r="AA3" s="41"/>
      <c r="AB3" s="41"/>
      <c r="AC3" s="41"/>
      <c r="AD3" s="41"/>
      <c r="AE3" s="41"/>
      <c r="AF3" s="41"/>
      <c r="AG3" s="41"/>
      <c r="AH3" s="41"/>
    </row>
    <row r="4" spans="1:34" ht="33.75" thickBot="1" x14ac:dyDescent="0.25">
      <c r="A4" s="41"/>
      <c r="B4" s="56"/>
      <c r="C4" s="57"/>
      <c r="D4" s="57"/>
      <c r="E4" s="57"/>
      <c r="F4" s="57"/>
      <c r="G4" s="57"/>
      <c r="H4" s="57"/>
      <c r="I4" s="57"/>
      <c r="J4" s="57"/>
      <c r="K4" s="57"/>
      <c r="L4" s="58"/>
      <c r="M4" s="41"/>
      <c r="N4" s="54"/>
      <c r="O4" s="41"/>
      <c r="P4" s="41"/>
      <c r="Q4" s="41"/>
      <c r="R4" s="41"/>
      <c r="S4" s="41"/>
      <c r="T4" s="41"/>
      <c r="U4" s="41"/>
      <c r="V4" s="41"/>
      <c r="W4" s="41"/>
      <c r="X4" s="55"/>
      <c r="Y4" s="41"/>
      <c r="Z4" s="41"/>
      <c r="AA4" s="41"/>
      <c r="AB4" s="41"/>
      <c r="AC4" s="41"/>
      <c r="AD4" s="41"/>
      <c r="AE4" s="41"/>
      <c r="AF4" s="41"/>
      <c r="AG4" s="41"/>
      <c r="AH4" s="41"/>
    </row>
    <row r="5" spans="1:34" ht="33" x14ac:dyDescent="0.2">
      <c r="A5" s="41"/>
      <c r="B5" s="41"/>
      <c r="C5" s="41"/>
      <c r="D5" s="41"/>
      <c r="E5" s="41"/>
      <c r="F5" s="41"/>
      <c r="G5" s="41"/>
      <c r="H5" s="41"/>
      <c r="I5" s="41"/>
      <c r="J5" s="41"/>
      <c r="K5" s="41"/>
      <c r="L5" s="41"/>
      <c r="M5" s="41"/>
      <c r="N5" s="54"/>
      <c r="O5" s="41"/>
      <c r="P5" s="41"/>
      <c r="Q5" s="41"/>
      <c r="R5" s="41"/>
      <c r="S5" s="41"/>
      <c r="T5" s="41"/>
      <c r="U5" s="41"/>
      <c r="V5" s="41"/>
      <c r="W5" s="41"/>
      <c r="X5" s="55"/>
      <c r="Y5" s="41"/>
      <c r="Z5" s="41"/>
      <c r="AA5" s="41"/>
      <c r="AB5" s="41"/>
      <c r="AC5" s="41"/>
      <c r="AD5" s="41"/>
      <c r="AE5" s="41"/>
      <c r="AF5" s="41"/>
      <c r="AG5" s="41"/>
      <c r="AH5" s="41"/>
    </row>
    <row r="6" spans="1:34" ht="33" x14ac:dyDescent="0.2">
      <c r="A6" s="41"/>
      <c r="B6" s="41"/>
      <c r="C6" s="41"/>
      <c r="D6" s="41"/>
      <c r="E6" s="41"/>
      <c r="F6" s="41"/>
      <c r="G6" s="41"/>
      <c r="H6" s="41"/>
      <c r="I6" s="41"/>
      <c r="J6" s="41"/>
      <c r="K6" s="41"/>
      <c r="L6" s="41"/>
      <c r="M6" s="41"/>
      <c r="N6" s="54"/>
      <c r="O6" s="41"/>
      <c r="P6" s="41"/>
      <c r="Q6" s="41"/>
      <c r="R6" s="41"/>
      <c r="S6" s="41"/>
      <c r="T6" s="41"/>
      <c r="U6" s="41"/>
      <c r="V6" s="41"/>
      <c r="W6" s="41"/>
      <c r="X6" s="55"/>
      <c r="Y6" s="41"/>
      <c r="Z6" s="41"/>
      <c r="AA6" s="41"/>
      <c r="AB6" s="41"/>
      <c r="AC6" s="41"/>
      <c r="AD6" s="41"/>
      <c r="AE6" s="41"/>
      <c r="AF6" s="41"/>
      <c r="AG6" s="41"/>
      <c r="AH6" s="41"/>
    </row>
    <row r="7" spans="1:34" ht="33.75" thickBot="1" x14ac:dyDescent="0.25">
      <c r="A7" s="41"/>
      <c r="B7" s="41"/>
      <c r="C7" s="41"/>
      <c r="D7" s="41"/>
      <c r="E7" s="41"/>
      <c r="F7" s="41"/>
      <c r="G7" s="41"/>
      <c r="H7" s="41"/>
      <c r="I7" s="41"/>
      <c r="J7" s="41"/>
      <c r="K7" s="41"/>
      <c r="L7" s="41"/>
      <c r="M7" s="41"/>
      <c r="N7" s="56"/>
      <c r="O7" s="57"/>
      <c r="P7" s="57"/>
      <c r="Q7" s="57"/>
      <c r="R7" s="57"/>
      <c r="S7" s="57"/>
      <c r="T7" s="57"/>
      <c r="U7" s="57"/>
      <c r="V7" s="57"/>
      <c r="W7" s="57"/>
      <c r="X7" s="58"/>
      <c r="Y7" s="41"/>
      <c r="Z7" s="41"/>
      <c r="AA7" s="41"/>
      <c r="AB7" s="41"/>
      <c r="AC7" s="41"/>
      <c r="AD7" s="41"/>
      <c r="AE7" s="41"/>
      <c r="AF7" s="41"/>
      <c r="AG7" s="41"/>
      <c r="AH7" s="41"/>
    </row>
    <row r="8" spans="1:34" ht="33" x14ac:dyDescent="0.2">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row>
    <row r="9" spans="1:34" ht="33" x14ac:dyDescent="0.2">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row>
    <row r="10" spans="1:34" ht="33" x14ac:dyDescent="0.2">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row>
    <row r="11" spans="1:34" ht="33" x14ac:dyDescent="0.2">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row>
    <row r="12" spans="1:34" ht="33" x14ac:dyDescent="0.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row>
    <row r="13" spans="1:34" ht="33" x14ac:dyDescent="0.2">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row>
    <row r="14" spans="1:34" ht="33" x14ac:dyDescent="0.2">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row>
    <row r="15" spans="1:34" ht="33" x14ac:dyDescent="0.2">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row>
    <row r="16" spans="1:34" ht="33" x14ac:dyDescent="0.2">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row>
    <row r="17" spans="1:34" ht="33" x14ac:dyDescent="0.2">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row>
    <row r="18" spans="1:34" ht="33" x14ac:dyDescent="0.2">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row>
    <row r="19" spans="1:34" ht="33" x14ac:dyDescent="0.2">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row>
    <row r="20" spans="1:34" ht="33" x14ac:dyDescent="0.2">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row>
    <row r="21" spans="1:34" ht="33" x14ac:dyDescent="0.2">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row>
    <row r="22" spans="1:34" ht="33" x14ac:dyDescent="0.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row>
    <row r="23" spans="1:34" ht="33" x14ac:dyDescent="0.2">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row>
    <row r="24" spans="1:34" ht="33" x14ac:dyDescent="0.2">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row>
    <row r="25" spans="1:34" ht="33" x14ac:dyDescent="0.2">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row>
    <row r="26" spans="1:34" ht="33" x14ac:dyDescent="0.2">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row>
    <row r="27" spans="1:34" ht="33" x14ac:dyDescent="0.2">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row>
    <row r="28" spans="1:34" ht="33" x14ac:dyDescent="0.2">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row>
    <row r="29" spans="1:34" ht="33" x14ac:dyDescent="0.2">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row>
    <row r="30" spans="1:34" ht="33" x14ac:dyDescent="0.2">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row>
    <row r="31" spans="1:34" ht="33" x14ac:dyDescent="0.2">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row>
    <row r="32" spans="1:34" ht="33" x14ac:dyDescent="0.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row>
    <row r="33" spans="1:34" ht="33" x14ac:dyDescent="0.2">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row>
    <row r="34" spans="1:34" ht="33" x14ac:dyDescent="0.2">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row>
    <row r="35" spans="1:34" ht="33" x14ac:dyDescent="0.2">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row>
    <row r="36" spans="1:34" ht="33" x14ac:dyDescent="0.2">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row>
    <row r="37" spans="1:34" ht="33" x14ac:dyDescent="0.2">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row>
    <row r="38" spans="1:34" ht="33" x14ac:dyDescent="0.2">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row>
    <row r="39" spans="1:34" ht="33" x14ac:dyDescent="0.2">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row>
    <row r="40" spans="1:34" ht="33" x14ac:dyDescent="0.2">
      <c r="W40" s="41"/>
      <c r="X40" s="41"/>
      <c r="Y40" s="41"/>
      <c r="Z40" s="41"/>
      <c r="AA40" s="41"/>
      <c r="AB40" s="41"/>
      <c r="AC40" s="41"/>
      <c r="AD40" s="41"/>
      <c r="AE40" s="41"/>
      <c r="AF40" s="41"/>
      <c r="AG40" s="41"/>
      <c r="AH40" s="41"/>
    </row>
  </sheetData>
  <mergeCells count="2">
    <mergeCell ref="A1:L1"/>
    <mergeCell ref="N1:W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6ECFD-D486-41E3-8F6A-7B56ECDE5974}">
  <dimension ref="A1:U156"/>
  <sheetViews>
    <sheetView tabSelected="1" topLeftCell="A17" workbookViewId="0">
      <selection activeCell="A23" sqref="A23:Q23"/>
    </sheetView>
  </sheetViews>
  <sheetFormatPr baseColWidth="10" defaultRowHeight="12.75" x14ac:dyDescent="0.2"/>
  <cols>
    <col min="1" max="1" width="55" bestFit="1" customWidth="1"/>
    <col min="11" max="11" width="33" customWidth="1"/>
    <col min="17" max="17" width="13" customWidth="1"/>
  </cols>
  <sheetData>
    <row r="1" spans="1:21" ht="61.5" customHeight="1" x14ac:dyDescent="0.5">
      <c r="A1" s="102" t="s">
        <v>2183</v>
      </c>
      <c r="B1" s="103"/>
      <c r="C1" s="103"/>
      <c r="D1" s="103"/>
      <c r="E1" s="103"/>
      <c r="F1" s="103"/>
      <c r="G1" s="103"/>
      <c r="H1" s="103"/>
      <c r="I1" s="103"/>
      <c r="J1" s="103"/>
      <c r="K1" s="103"/>
      <c r="L1" s="103"/>
      <c r="M1" s="103"/>
      <c r="N1" s="103"/>
      <c r="O1" s="103"/>
      <c r="P1" s="103"/>
      <c r="Q1" s="104"/>
      <c r="R1" s="34"/>
      <c r="S1" s="34"/>
      <c r="T1" s="34"/>
      <c r="U1" s="34"/>
    </row>
    <row r="2" spans="1:21" ht="19.5" customHeight="1" x14ac:dyDescent="0.35">
      <c r="A2" s="60"/>
      <c r="B2" s="61"/>
      <c r="C2" s="61"/>
      <c r="D2" s="61"/>
      <c r="E2" s="61"/>
      <c r="F2" s="61"/>
      <c r="G2" s="61"/>
      <c r="H2" s="61"/>
      <c r="I2" s="61"/>
      <c r="J2" s="61"/>
      <c r="K2" s="61"/>
      <c r="L2" s="61"/>
      <c r="M2" s="61"/>
      <c r="N2" s="61"/>
      <c r="O2" s="61"/>
      <c r="P2" s="61"/>
      <c r="Q2" s="62"/>
      <c r="R2" s="34"/>
      <c r="S2" s="34"/>
      <c r="T2" s="34"/>
      <c r="U2" s="34"/>
    </row>
    <row r="3" spans="1:21" ht="37.5" customHeight="1" thickBot="1" x14ac:dyDescent="0.25">
      <c r="A3" s="108" t="s">
        <v>2184</v>
      </c>
      <c r="B3" s="109"/>
      <c r="C3" s="109"/>
      <c r="D3" s="109"/>
      <c r="E3" s="109"/>
      <c r="F3" s="109"/>
      <c r="G3" s="109"/>
      <c r="H3" s="109"/>
      <c r="I3" s="109"/>
      <c r="J3" s="109"/>
      <c r="K3" s="109"/>
      <c r="L3" s="109"/>
      <c r="M3" s="109"/>
      <c r="N3" s="109"/>
      <c r="O3" s="109"/>
      <c r="P3" s="109"/>
      <c r="Q3" s="110"/>
      <c r="R3" s="34"/>
      <c r="S3" s="34"/>
      <c r="T3" s="34"/>
      <c r="U3" s="34"/>
    </row>
    <row r="4" spans="1:21" ht="6" customHeight="1" x14ac:dyDescent="0.35">
      <c r="A4" s="60"/>
      <c r="B4" s="61"/>
      <c r="C4" s="61"/>
      <c r="D4" s="61"/>
      <c r="E4" s="61"/>
      <c r="F4" s="61"/>
      <c r="G4" s="61"/>
      <c r="H4" s="61"/>
      <c r="I4" s="61"/>
      <c r="J4" s="61"/>
      <c r="K4" s="61"/>
      <c r="L4" s="61"/>
      <c r="M4" s="61"/>
      <c r="N4" s="61"/>
      <c r="O4" s="61"/>
      <c r="P4" s="61"/>
      <c r="Q4" s="62"/>
      <c r="R4" s="34"/>
      <c r="S4" s="34"/>
      <c r="T4" s="34"/>
      <c r="U4" s="34"/>
    </row>
    <row r="5" spans="1:21" ht="13.5" customHeight="1" x14ac:dyDescent="0.2">
      <c r="A5" s="105" t="s">
        <v>2185</v>
      </c>
      <c r="B5" s="106"/>
      <c r="C5" s="106"/>
      <c r="D5" s="106"/>
      <c r="E5" s="106"/>
      <c r="F5" s="106"/>
      <c r="G5" s="106"/>
      <c r="H5" s="106"/>
      <c r="I5" s="106"/>
      <c r="J5" s="106"/>
      <c r="K5" s="106"/>
      <c r="L5" s="106"/>
      <c r="M5" s="106"/>
      <c r="N5" s="106"/>
      <c r="O5" s="106"/>
      <c r="P5" s="106"/>
      <c r="Q5" s="107"/>
      <c r="R5" s="34"/>
      <c r="S5" s="34"/>
      <c r="T5" s="34"/>
      <c r="U5" s="34"/>
    </row>
    <row r="6" spans="1:21" ht="24" customHeight="1" x14ac:dyDescent="0.35">
      <c r="A6" s="105"/>
      <c r="B6" s="106"/>
      <c r="C6" s="106"/>
      <c r="D6" s="106"/>
      <c r="E6" s="106"/>
      <c r="F6" s="106"/>
      <c r="G6" s="106"/>
      <c r="H6" s="106"/>
      <c r="I6" s="106"/>
      <c r="J6" s="106"/>
      <c r="K6" s="106"/>
      <c r="L6" s="106"/>
      <c r="M6" s="106"/>
      <c r="N6" s="106"/>
      <c r="O6" s="106"/>
      <c r="P6" s="106"/>
      <c r="Q6" s="107"/>
      <c r="R6" s="40"/>
      <c r="S6" s="34"/>
      <c r="T6" s="34"/>
      <c r="U6" s="34"/>
    </row>
    <row r="7" spans="1:21" ht="67.5" customHeight="1" x14ac:dyDescent="0.2">
      <c r="A7" s="99" t="s">
        <v>2167</v>
      </c>
      <c r="B7" s="100"/>
      <c r="C7" s="100"/>
      <c r="D7" s="100"/>
      <c r="E7" s="100"/>
      <c r="F7" s="100"/>
      <c r="G7" s="100"/>
      <c r="H7" s="100"/>
      <c r="I7" s="100"/>
      <c r="J7" s="100"/>
      <c r="K7" s="100"/>
      <c r="L7" s="100"/>
      <c r="M7" s="100"/>
      <c r="N7" s="100"/>
      <c r="O7" s="100"/>
      <c r="P7" s="100"/>
      <c r="Q7" s="101"/>
      <c r="R7" s="39"/>
      <c r="S7" s="34"/>
      <c r="T7" s="34"/>
      <c r="U7" s="34"/>
    </row>
    <row r="8" spans="1:21" ht="40.5" customHeight="1" x14ac:dyDescent="0.2">
      <c r="A8" s="99" t="s">
        <v>2166</v>
      </c>
      <c r="B8" s="100"/>
      <c r="C8" s="100"/>
      <c r="D8" s="100"/>
      <c r="E8" s="100"/>
      <c r="F8" s="100"/>
      <c r="G8" s="100"/>
      <c r="H8" s="100"/>
      <c r="I8" s="100"/>
      <c r="J8" s="100"/>
      <c r="K8" s="100"/>
      <c r="L8" s="100"/>
      <c r="M8" s="100"/>
      <c r="N8" s="100"/>
      <c r="O8" s="100"/>
      <c r="P8" s="100"/>
      <c r="Q8" s="101"/>
      <c r="R8" s="39"/>
      <c r="S8" s="34"/>
      <c r="T8" s="34"/>
      <c r="U8" s="34"/>
    </row>
    <row r="9" spans="1:21" ht="20.25" x14ac:dyDescent="0.2">
      <c r="A9" s="34"/>
      <c r="B9" s="34"/>
      <c r="C9" s="34"/>
      <c r="D9" s="34"/>
      <c r="E9" s="34"/>
      <c r="F9" s="34"/>
      <c r="G9" s="34"/>
      <c r="H9" s="34"/>
      <c r="I9" s="34"/>
      <c r="J9" s="34"/>
      <c r="K9" s="34"/>
      <c r="L9" s="34"/>
      <c r="M9" s="34"/>
      <c r="N9" s="34"/>
      <c r="O9" s="34"/>
      <c r="P9" s="34"/>
      <c r="Q9" s="59"/>
      <c r="R9" s="34"/>
      <c r="S9" s="34"/>
      <c r="T9" s="34"/>
      <c r="U9" s="34"/>
    </row>
    <row r="10" spans="1:21" ht="23.25" x14ac:dyDescent="0.35">
      <c r="A10" s="96" t="s">
        <v>2186</v>
      </c>
      <c r="B10" s="97"/>
      <c r="C10" s="97"/>
      <c r="D10" s="97"/>
      <c r="E10" s="97"/>
      <c r="F10" s="97"/>
      <c r="G10" s="97"/>
      <c r="H10" s="97"/>
      <c r="I10" s="97"/>
      <c r="J10" s="97"/>
      <c r="K10" s="97"/>
      <c r="L10" s="97"/>
      <c r="M10" s="97"/>
      <c r="N10" s="97"/>
      <c r="O10" s="97"/>
      <c r="P10" s="97"/>
      <c r="Q10" s="98"/>
      <c r="R10" s="40"/>
      <c r="S10" s="34"/>
      <c r="T10" s="34"/>
      <c r="U10" s="34"/>
    </row>
    <row r="11" spans="1:21" ht="34.5" customHeight="1" x14ac:dyDescent="0.3">
      <c r="A11" s="93" t="s">
        <v>2187</v>
      </c>
      <c r="B11" s="94"/>
      <c r="C11" s="94"/>
      <c r="D11" s="94"/>
      <c r="E11" s="94"/>
      <c r="F11" s="94"/>
      <c r="G11" s="94"/>
      <c r="H11" s="94"/>
      <c r="I11" s="94"/>
      <c r="J11" s="94"/>
      <c r="K11" s="94"/>
      <c r="L11" s="94"/>
      <c r="M11" s="94"/>
      <c r="N11" s="94"/>
      <c r="O11" s="94"/>
      <c r="P11" s="94"/>
      <c r="Q11" s="95"/>
      <c r="R11" s="34"/>
      <c r="S11" s="34"/>
      <c r="T11" s="34"/>
      <c r="U11" s="34"/>
    </row>
    <row r="12" spans="1:21" ht="20.25" x14ac:dyDescent="0.2">
      <c r="A12" s="99" t="s">
        <v>2208</v>
      </c>
      <c r="B12" s="100"/>
      <c r="C12" s="100"/>
      <c r="D12" s="100"/>
      <c r="E12" s="100"/>
      <c r="F12" s="100"/>
      <c r="G12" s="100"/>
      <c r="H12" s="100"/>
      <c r="I12" s="100"/>
      <c r="J12" s="100"/>
      <c r="K12" s="100"/>
      <c r="L12" s="100"/>
      <c r="M12" s="100"/>
      <c r="N12" s="100"/>
      <c r="O12" s="100"/>
      <c r="P12" s="100"/>
      <c r="Q12" s="101"/>
      <c r="R12" s="34"/>
      <c r="S12" s="34"/>
      <c r="T12" s="34"/>
      <c r="U12" s="34"/>
    </row>
    <row r="13" spans="1:21" ht="20.25" x14ac:dyDescent="0.2">
      <c r="A13" s="99" t="s">
        <v>2201</v>
      </c>
      <c r="B13" s="100"/>
      <c r="C13" s="100"/>
      <c r="D13" s="100"/>
      <c r="E13" s="100"/>
      <c r="F13" s="100"/>
      <c r="G13" s="100"/>
      <c r="H13" s="100"/>
      <c r="I13" s="100"/>
      <c r="J13" s="100"/>
      <c r="K13" s="100"/>
      <c r="L13" s="100"/>
      <c r="M13" s="100"/>
      <c r="N13" s="100"/>
      <c r="O13" s="100"/>
      <c r="P13" s="100"/>
      <c r="Q13" s="101"/>
      <c r="R13" s="34"/>
      <c r="S13" s="34"/>
      <c r="T13" s="34"/>
      <c r="U13" s="34"/>
    </row>
    <row r="14" spans="1:21" ht="20.25" x14ac:dyDescent="0.2">
      <c r="A14" s="99" t="s">
        <v>2188</v>
      </c>
      <c r="B14" s="100"/>
      <c r="C14" s="100"/>
      <c r="D14" s="100"/>
      <c r="E14" s="100"/>
      <c r="F14" s="100"/>
      <c r="G14" s="100"/>
      <c r="H14" s="100"/>
      <c r="I14" s="100"/>
      <c r="J14" s="100"/>
      <c r="K14" s="100"/>
      <c r="L14" s="100"/>
      <c r="M14" s="100"/>
      <c r="N14" s="100"/>
      <c r="O14" s="100"/>
      <c r="P14" s="100"/>
      <c r="Q14" s="101"/>
      <c r="R14" s="34"/>
      <c r="S14" s="34"/>
      <c r="T14" s="34"/>
      <c r="U14" s="34"/>
    </row>
    <row r="15" spans="1:21" ht="20.25" x14ac:dyDescent="0.2">
      <c r="A15" s="99" t="s">
        <v>2189</v>
      </c>
      <c r="B15" s="100"/>
      <c r="C15" s="100"/>
      <c r="D15" s="100"/>
      <c r="E15" s="100"/>
      <c r="F15" s="100"/>
      <c r="G15" s="100"/>
      <c r="H15" s="100"/>
      <c r="I15" s="100"/>
      <c r="J15" s="100"/>
      <c r="K15" s="100"/>
      <c r="L15" s="100"/>
      <c r="M15" s="100"/>
      <c r="N15" s="100"/>
      <c r="O15" s="100"/>
      <c r="P15" s="100"/>
      <c r="Q15" s="101"/>
      <c r="R15" s="34"/>
      <c r="S15" s="34"/>
      <c r="T15" s="34"/>
      <c r="U15" s="34"/>
    </row>
    <row r="16" spans="1:21" ht="20.25" x14ac:dyDescent="0.2">
      <c r="A16" s="99" t="s">
        <v>2190</v>
      </c>
      <c r="B16" s="100"/>
      <c r="C16" s="100"/>
      <c r="D16" s="100"/>
      <c r="E16" s="100"/>
      <c r="F16" s="100"/>
      <c r="G16" s="100"/>
      <c r="H16" s="100"/>
      <c r="I16" s="100"/>
      <c r="J16" s="100"/>
      <c r="K16" s="100"/>
      <c r="L16" s="100"/>
      <c r="M16" s="100"/>
      <c r="N16" s="100"/>
      <c r="O16" s="100"/>
      <c r="P16" s="100"/>
      <c r="Q16" s="101"/>
      <c r="R16" s="34"/>
      <c r="S16" s="34"/>
      <c r="T16" s="34"/>
      <c r="U16" s="34"/>
    </row>
    <row r="17" spans="1:21" ht="20.25" x14ac:dyDescent="0.2">
      <c r="A17" s="34"/>
      <c r="B17" s="34"/>
      <c r="C17" s="34"/>
      <c r="D17" s="34"/>
      <c r="E17" s="34"/>
      <c r="F17" s="34"/>
      <c r="G17" s="34"/>
      <c r="H17" s="34"/>
      <c r="I17" s="34"/>
      <c r="J17" s="34"/>
      <c r="K17" s="34"/>
      <c r="L17" s="34"/>
      <c r="M17" s="34"/>
      <c r="N17" s="34"/>
      <c r="O17" s="34"/>
      <c r="P17" s="34"/>
      <c r="Q17" s="59"/>
      <c r="R17" s="34"/>
      <c r="S17" s="34"/>
      <c r="T17" s="34"/>
      <c r="U17" s="34"/>
    </row>
    <row r="18" spans="1:21" ht="23.25" x14ac:dyDescent="0.35">
      <c r="A18" s="96" t="s">
        <v>2191</v>
      </c>
      <c r="B18" s="97"/>
      <c r="C18" s="97"/>
      <c r="D18" s="97"/>
      <c r="E18" s="97"/>
      <c r="F18" s="97"/>
      <c r="G18" s="97"/>
      <c r="H18" s="97"/>
      <c r="I18" s="97"/>
      <c r="J18" s="97"/>
      <c r="K18" s="97"/>
      <c r="L18" s="97"/>
      <c r="M18" s="97"/>
      <c r="N18" s="97"/>
      <c r="O18" s="97"/>
      <c r="P18" s="97"/>
      <c r="Q18" s="98"/>
      <c r="R18" s="34"/>
      <c r="S18" s="34"/>
      <c r="T18" s="34"/>
      <c r="U18" s="34"/>
    </row>
    <row r="19" spans="1:21" ht="19.5" customHeight="1" x14ac:dyDescent="0.2">
      <c r="A19" s="36"/>
      <c r="B19" s="34"/>
      <c r="C19" s="34"/>
      <c r="D19" s="34"/>
      <c r="E19" s="34"/>
      <c r="F19" s="34"/>
      <c r="G19" s="34"/>
      <c r="H19" s="34"/>
      <c r="I19" s="34"/>
      <c r="J19" s="34"/>
      <c r="K19" s="34"/>
      <c r="L19" s="34"/>
      <c r="M19" s="34"/>
      <c r="N19" s="34"/>
      <c r="O19" s="34"/>
      <c r="P19" s="34"/>
      <c r="Q19" s="37"/>
      <c r="R19" s="34"/>
      <c r="S19" s="34"/>
      <c r="T19" s="34"/>
      <c r="U19" s="34"/>
    </row>
    <row r="20" spans="1:21" ht="19.5" customHeight="1" x14ac:dyDescent="0.3">
      <c r="A20" s="93" t="s">
        <v>2192</v>
      </c>
      <c r="B20" s="94"/>
      <c r="C20" s="94"/>
      <c r="D20" s="94"/>
      <c r="E20" s="94"/>
      <c r="F20" s="94"/>
      <c r="G20" s="94"/>
      <c r="H20" s="94"/>
      <c r="I20" s="94"/>
      <c r="J20" s="94"/>
      <c r="K20" s="94"/>
      <c r="L20" s="94"/>
      <c r="M20" s="94"/>
      <c r="N20" s="94"/>
      <c r="O20" s="94"/>
      <c r="P20" s="94"/>
      <c r="Q20" s="95"/>
      <c r="R20" s="34"/>
      <c r="S20" s="34"/>
      <c r="T20" s="34"/>
      <c r="U20" s="34"/>
    </row>
    <row r="21" spans="1:21" ht="20.25" x14ac:dyDescent="0.2">
      <c r="A21" s="99" t="s">
        <v>2193</v>
      </c>
      <c r="B21" s="100"/>
      <c r="C21" s="100"/>
      <c r="D21" s="100"/>
      <c r="E21" s="100"/>
      <c r="F21" s="100"/>
      <c r="G21" s="100"/>
      <c r="H21" s="100"/>
      <c r="I21" s="100"/>
      <c r="J21" s="100"/>
      <c r="K21" s="100"/>
      <c r="L21" s="100"/>
      <c r="M21" s="100"/>
      <c r="N21" s="100"/>
      <c r="O21" s="100"/>
      <c r="P21" s="100"/>
      <c r="Q21" s="101"/>
      <c r="R21" s="34"/>
      <c r="S21" s="34"/>
      <c r="T21" s="34"/>
      <c r="U21" s="34"/>
    </row>
    <row r="22" spans="1:21" ht="99.75" customHeight="1" x14ac:dyDescent="0.2">
      <c r="A22" s="99" t="s">
        <v>2234</v>
      </c>
      <c r="B22" s="100"/>
      <c r="C22" s="100"/>
      <c r="D22" s="100"/>
      <c r="E22" s="100"/>
      <c r="F22" s="100"/>
      <c r="G22" s="100"/>
      <c r="H22" s="100"/>
      <c r="I22" s="100"/>
      <c r="J22" s="100"/>
      <c r="K22" s="100"/>
      <c r="L22" s="100"/>
      <c r="M22" s="100"/>
      <c r="N22" s="100"/>
      <c r="O22" s="100"/>
      <c r="P22" s="100"/>
      <c r="Q22" s="101"/>
      <c r="R22" s="34"/>
      <c r="S22" s="34"/>
      <c r="T22" s="34"/>
      <c r="U22" s="34"/>
    </row>
    <row r="23" spans="1:21" ht="20.25" x14ac:dyDescent="0.2">
      <c r="A23" s="99" t="s">
        <v>2194</v>
      </c>
      <c r="B23" s="100"/>
      <c r="C23" s="100"/>
      <c r="D23" s="100"/>
      <c r="E23" s="100"/>
      <c r="F23" s="100"/>
      <c r="G23" s="100"/>
      <c r="H23" s="100"/>
      <c r="I23" s="100"/>
      <c r="J23" s="100"/>
      <c r="K23" s="100"/>
      <c r="L23" s="100"/>
      <c r="M23" s="100"/>
      <c r="N23" s="100"/>
      <c r="O23" s="100"/>
      <c r="P23" s="100"/>
      <c r="Q23" s="101"/>
      <c r="R23" s="34"/>
      <c r="S23" s="34"/>
      <c r="T23" s="34"/>
      <c r="U23" s="34"/>
    </row>
    <row r="24" spans="1:21" ht="20.25" x14ac:dyDescent="0.2">
      <c r="A24" s="99" t="s">
        <v>2195</v>
      </c>
      <c r="B24" s="100"/>
      <c r="C24" s="100"/>
      <c r="D24" s="100"/>
      <c r="E24" s="100"/>
      <c r="F24" s="100"/>
      <c r="G24" s="100"/>
      <c r="H24" s="100"/>
      <c r="I24" s="100"/>
      <c r="J24" s="100"/>
      <c r="K24" s="100"/>
      <c r="L24" s="100"/>
      <c r="M24" s="100"/>
      <c r="N24" s="100"/>
      <c r="O24" s="100"/>
      <c r="P24" s="100"/>
      <c r="Q24" s="101"/>
      <c r="R24" s="34"/>
      <c r="S24" s="34"/>
      <c r="T24" s="34"/>
      <c r="U24" s="34"/>
    </row>
    <row r="25" spans="1:21" ht="20.25" x14ac:dyDescent="0.2">
      <c r="A25" s="34"/>
      <c r="B25" s="34"/>
      <c r="C25" s="34"/>
      <c r="D25" s="34"/>
      <c r="E25" s="34"/>
      <c r="F25" s="34"/>
      <c r="G25" s="34"/>
      <c r="H25" s="34"/>
      <c r="I25" s="34"/>
      <c r="J25" s="34"/>
      <c r="K25" s="34"/>
      <c r="L25" s="34"/>
      <c r="M25" s="34"/>
      <c r="N25" s="34"/>
      <c r="O25" s="34"/>
      <c r="P25" s="34"/>
      <c r="Q25" s="59"/>
      <c r="R25" s="34"/>
      <c r="S25" s="34"/>
      <c r="T25" s="34"/>
      <c r="U25" s="34"/>
    </row>
    <row r="26" spans="1:21" ht="23.25" x14ac:dyDescent="0.35">
      <c r="A26" s="96" t="s">
        <v>2196</v>
      </c>
      <c r="B26" s="97"/>
      <c r="C26" s="97"/>
      <c r="D26" s="97"/>
      <c r="E26" s="97"/>
      <c r="F26" s="97"/>
      <c r="G26" s="97"/>
      <c r="H26" s="97"/>
      <c r="I26" s="97"/>
      <c r="J26" s="97"/>
      <c r="K26" s="97"/>
      <c r="L26" s="97"/>
      <c r="M26" s="97"/>
      <c r="N26" s="97"/>
      <c r="O26" s="97"/>
      <c r="P26" s="97"/>
      <c r="Q26" s="98"/>
      <c r="R26" s="34"/>
      <c r="S26" s="34"/>
      <c r="T26" s="34"/>
      <c r="U26" s="34"/>
    </row>
    <row r="27" spans="1:21" ht="20.25" x14ac:dyDescent="0.2">
      <c r="A27" s="34"/>
      <c r="B27" s="34"/>
      <c r="C27" s="34"/>
      <c r="D27" s="34"/>
      <c r="E27" s="34"/>
      <c r="F27" s="34"/>
      <c r="G27" s="34"/>
      <c r="H27" s="34"/>
      <c r="I27" s="34"/>
      <c r="J27" s="34"/>
      <c r="K27" s="34"/>
      <c r="L27" s="34"/>
      <c r="M27" s="34"/>
      <c r="N27" s="34"/>
      <c r="O27" s="34"/>
      <c r="P27" s="34"/>
      <c r="Q27" s="59"/>
      <c r="R27" s="34"/>
      <c r="S27" s="34"/>
      <c r="T27" s="34"/>
      <c r="U27" s="34"/>
    </row>
    <row r="28" spans="1:21" ht="20.25" x14ac:dyDescent="0.3">
      <c r="A28" s="93" t="s">
        <v>2197</v>
      </c>
      <c r="B28" s="94"/>
      <c r="C28" s="94"/>
      <c r="D28" s="94"/>
      <c r="E28" s="94"/>
      <c r="F28" s="94"/>
      <c r="G28" s="94"/>
      <c r="H28" s="94"/>
      <c r="I28" s="94"/>
      <c r="J28" s="94"/>
      <c r="K28" s="94"/>
      <c r="L28" s="94"/>
      <c r="M28" s="94"/>
      <c r="N28" s="94"/>
      <c r="O28" s="94"/>
      <c r="P28" s="94"/>
      <c r="Q28" s="95"/>
      <c r="R28" s="34"/>
      <c r="S28" s="34"/>
      <c r="T28" s="34"/>
      <c r="U28" s="34"/>
    </row>
    <row r="29" spans="1:21" ht="20.25" x14ac:dyDescent="0.3">
      <c r="A29" s="93" t="s">
        <v>2198</v>
      </c>
      <c r="B29" s="94"/>
      <c r="C29" s="94"/>
      <c r="D29" s="94"/>
      <c r="E29" s="94"/>
      <c r="F29" s="94"/>
      <c r="G29" s="94"/>
      <c r="H29" s="94"/>
      <c r="I29" s="94"/>
      <c r="J29" s="94"/>
      <c r="K29" s="94"/>
      <c r="L29" s="94"/>
      <c r="M29" s="94"/>
      <c r="N29" s="94"/>
      <c r="O29" s="94"/>
      <c r="P29" s="94"/>
      <c r="Q29" s="95"/>
      <c r="R29" s="34"/>
      <c r="S29" s="34"/>
      <c r="T29" s="34"/>
      <c r="U29" s="34"/>
    </row>
    <row r="30" spans="1:21" ht="20.25" x14ac:dyDescent="0.3">
      <c r="A30" s="93" t="s">
        <v>2199</v>
      </c>
      <c r="B30" s="94"/>
      <c r="C30" s="94"/>
      <c r="D30" s="94"/>
      <c r="E30" s="94"/>
      <c r="F30" s="94"/>
      <c r="G30" s="94"/>
      <c r="H30" s="94"/>
      <c r="I30" s="94"/>
      <c r="J30" s="94"/>
      <c r="K30" s="94"/>
      <c r="L30" s="94"/>
      <c r="M30" s="94"/>
      <c r="N30" s="94"/>
      <c r="O30" s="94"/>
      <c r="P30" s="94"/>
      <c r="Q30" s="95"/>
      <c r="R30" s="34"/>
      <c r="S30" s="34"/>
      <c r="T30" s="34"/>
      <c r="U30" s="34"/>
    </row>
    <row r="31" spans="1:21" ht="39.75" customHeight="1" x14ac:dyDescent="0.3">
      <c r="A31" s="93" t="s">
        <v>2200</v>
      </c>
      <c r="B31" s="94"/>
      <c r="C31" s="94"/>
      <c r="D31" s="94"/>
      <c r="E31" s="94"/>
      <c r="F31" s="94"/>
      <c r="G31" s="94"/>
      <c r="H31" s="94"/>
      <c r="I31" s="94"/>
      <c r="J31" s="94"/>
      <c r="K31" s="94"/>
      <c r="L31" s="94"/>
      <c r="M31" s="94"/>
      <c r="N31" s="94"/>
      <c r="O31" s="94"/>
      <c r="P31" s="94"/>
      <c r="Q31" s="95"/>
      <c r="R31" s="34"/>
      <c r="S31" s="34"/>
      <c r="T31" s="34"/>
      <c r="U31" s="34"/>
    </row>
    <row r="32" spans="1:21" ht="20.25" x14ac:dyDescent="0.3">
      <c r="A32" s="93"/>
      <c r="B32" s="94"/>
      <c r="C32" s="94"/>
      <c r="D32" s="94"/>
      <c r="E32" s="94"/>
      <c r="F32" s="94"/>
      <c r="G32" s="94"/>
      <c r="H32" s="94"/>
      <c r="I32" s="94"/>
      <c r="J32" s="94"/>
      <c r="K32" s="94"/>
      <c r="L32" s="94"/>
      <c r="M32" s="94"/>
      <c r="N32" s="94"/>
      <c r="O32" s="94"/>
      <c r="P32" s="94"/>
      <c r="Q32" s="95"/>
      <c r="R32" s="34"/>
      <c r="S32" s="34"/>
      <c r="T32" s="34"/>
      <c r="U32" s="34"/>
    </row>
    <row r="33" spans="1:21" x14ac:dyDescent="0.2">
      <c r="A33" s="45"/>
      <c r="B33" s="46"/>
      <c r="C33" s="46"/>
      <c r="D33" s="46"/>
      <c r="E33" s="46"/>
      <c r="F33" s="46"/>
      <c r="G33" s="46"/>
      <c r="H33" s="46"/>
      <c r="I33" s="46"/>
      <c r="J33" s="46"/>
      <c r="K33" s="46"/>
      <c r="L33" s="46"/>
      <c r="M33" s="46"/>
      <c r="N33" s="46"/>
      <c r="O33" s="46"/>
      <c r="P33" s="46"/>
      <c r="Q33" s="47"/>
      <c r="R33" s="34"/>
      <c r="S33" s="34"/>
      <c r="T33" s="34"/>
      <c r="U33" s="34"/>
    </row>
    <row r="34" spans="1:21" ht="20.25" x14ac:dyDescent="0.2">
      <c r="A34" s="38"/>
      <c r="B34" s="35"/>
      <c r="C34" s="35"/>
      <c r="D34" s="35"/>
      <c r="E34" s="35"/>
      <c r="F34" s="35"/>
      <c r="G34" s="35"/>
      <c r="H34" s="35"/>
      <c r="I34" s="35"/>
      <c r="J34" s="35"/>
      <c r="K34" s="35"/>
      <c r="L34" s="35"/>
      <c r="M34" s="35"/>
      <c r="N34" s="35"/>
      <c r="O34" s="35"/>
      <c r="P34" s="35"/>
      <c r="Q34" s="59"/>
      <c r="R34" s="34"/>
      <c r="S34" s="34"/>
      <c r="T34" s="34"/>
      <c r="U34" s="34"/>
    </row>
    <row r="35" spans="1:21" ht="13.5" thickBot="1" x14ac:dyDescent="0.25">
      <c r="A35" s="42"/>
      <c r="B35" s="43"/>
      <c r="C35" s="43"/>
      <c r="D35" s="43"/>
      <c r="E35" s="43"/>
      <c r="F35" s="43"/>
      <c r="G35" s="43"/>
      <c r="H35" s="43"/>
      <c r="I35" s="43"/>
      <c r="J35" s="43"/>
      <c r="K35" s="43"/>
      <c r="L35" s="43"/>
      <c r="M35" s="43"/>
      <c r="N35" s="43"/>
      <c r="O35" s="43"/>
      <c r="P35" s="43"/>
      <c r="Q35" s="44"/>
      <c r="R35" s="34"/>
      <c r="S35" s="34"/>
      <c r="T35" s="34"/>
      <c r="U35" s="34"/>
    </row>
    <row r="36" spans="1:21" x14ac:dyDescent="0.2">
      <c r="A36" s="34"/>
      <c r="B36" s="34"/>
      <c r="C36" s="34"/>
      <c r="D36" s="34"/>
      <c r="E36" s="34"/>
      <c r="F36" s="34"/>
      <c r="G36" s="34"/>
      <c r="H36" s="34"/>
      <c r="I36" s="34"/>
      <c r="J36" s="34"/>
      <c r="K36" s="34"/>
      <c r="L36" s="34"/>
      <c r="M36" s="34"/>
      <c r="N36" s="34"/>
      <c r="O36" s="34"/>
      <c r="P36" s="34"/>
      <c r="Q36" s="34"/>
      <c r="R36" s="34"/>
      <c r="S36" s="34"/>
      <c r="T36" s="34"/>
      <c r="U36" s="34"/>
    </row>
    <row r="37" spans="1:21" x14ac:dyDescent="0.2">
      <c r="A37" s="34"/>
      <c r="B37" s="34"/>
      <c r="C37" s="34"/>
      <c r="D37" s="34"/>
      <c r="E37" s="34"/>
      <c r="F37" s="34"/>
      <c r="G37" s="34"/>
      <c r="H37" s="34"/>
      <c r="I37" s="34"/>
      <c r="J37" s="34"/>
      <c r="K37" s="34"/>
      <c r="L37" s="34"/>
      <c r="M37" s="34"/>
      <c r="N37" s="34"/>
      <c r="O37" s="34"/>
      <c r="P37" s="34"/>
      <c r="Q37" s="34"/>
      <c r="R37" s="34"/>
      <c r="S37" s="34"/>
      <c r="T37" s="34"/>
      <c r="U37" s="34"/>
    </row>
    <row r="38" spans="1:21" x14ac:dyDescent="0.2">
      <c r="A38" s="34"/>
      <c r="B38" s="34"/>
      <c r="C38" s="34"/>
      <c r="D38" s="34"/>
      <c r="E38" s="34"/>
      <c r="F38" s="34"/>
      <c r="G38" s="34"/>
      <c r="H38" s="34"/>
      <c r="I38" s="34"/>
      <c r="J38" s="34"/>
      <c r="K38" s="34"/>
      <c r="L38" s="34"/>
      <c r="M38" s="34"/>
      <c r="N38" s="34"/>
      <c r="O38" s="34"/>
      <c r="P38" s="34"/>
      <c r="Q38" s="34"/>
      <c r="R38" s="34"/>
      <c r="S38" s="34"/>
      <c r="T38" s="34"/>
      <c r="U38" s="34"/>
    </row>
    <row r="39" spans="1:21" x14ac:dyDescent="0.2">
      <c r="A39" s="34"/>
      <c r="B39" s="34"/>
      <c r="C39" s="34"/>
      <c r="D39" s="34"/>
      <c r="E39" s="34"/>
      <c r="F39" s="34"/>
      <c r="G39" s="34"/>
      <c r="H39" s="34"/>
      <c r="I39" s="34"/>
      <c r="J39" s="34"/>
      <c r="K39" s="34"/>
      <c r="L39" s="34"/>
      <c r="M39" s="34"/>
      <c r="N39" s="34"/>
      <c r="O39" s="34"/>
      <c r="P39" s="34"/>
      <c r="Q39" s="34"/>
      <c r="R39" s="34"/>
      <c r="S39" s="34"/>
      <c r="T39" s="34"/>
      <c r="U39" s="34"/>
    </row>
    <row r="40" spans="1:21" x14ac:dyDescent="0.2">
      <c r="A40" s="34"/>
      <c r="B40" s="34"/>
      <c r="C40" s="34"/>
      <c r="D40" s="34"/>
      <c r="E40" s="34"/>
      <c r="F40" s="34"/>
      <c r="G40" s="34"/>
      <c r="H40" s="34"/>
      <c r="I40" s="34"/>
      <c r="J40" s="34"/>
      <c r="K40" s="34"/>
      <c r="L40" s="34"/>
      <c r="M40" s="34"/>
      <c r="N40" s="34"/>
      <c r="O40" s="34"/>
      <c r="P40" s="34"/>
      <c r="Q40" s="34"/>
      <c r="R40" s="34"/>
      <c r="S40" s="34"/>
      <c r="T40" s="34"/>
      <c r="U40" s="34"/>
    </row>
    <row r="41" spans="1:21" x14ac:dyDescent="0.2">
      <c r="A41" s="34"/>
      <c r="B41" s="34"/>
      <c r="C41" s="34"/>
      <c r="D41" s="34"/>
      <c r="E41" s="34"/>
      <c r="F41" s="34"/>
      <c r="G41" s="34"/>
      <c r="H41" s="34"/>
      <c r="I41" s="34"/>
      <c r="J41" s="34"/>
      <c r="K41" s="34"/>
      <c r="L41" s="34"/>
      <c r="M41" s="34"/>
      <c r="N41" s="34"/>
      <c r="O41" s="34"/>
      <c r="P41" s="34"/>
      <c r="Q41" s="34"/>
      <c r="R41" s="34"/>
      <c r="S41" s="34"/>
      <c r="T41" s="34"/>
      <c r="U41" s="34"/>
    </row>
    <row r="42" spans="1:21" x14ac:dyDescent="0.2">
      <c r="A42" s="34"/>
      <c r="B42" s="34"/>
      <c r="C42" s="34"/>
      <c r="D42" s="34"/>
      <c r="E42" s="34"/>
      <c r="F42" s="34"/>
      <c r="G42" s="34"/>
      <c r="H42" s="34"/>
      <c r="I42" s="34"/>
      <c r="J42" s="34"/>
      <c r="K42" s="34"/>
      <c r="L42" s="34"/>
      <c r="M42" s="34"/>
      <c r="N42" s="34"/>
      <c r="O42" s="34"/>
      <c r="P42" s="34"/>
      <c r="Q42" s="34"/>
      <c r="R42" s="34"/>
      <c r="S42" s="34"/>
      <c r="T42" s="34"/>
      <c r="U42" s="34"/>
    </row>
    <row r="43" spans="1:21" x14ac:dyDescent="0.2">
      <c r="A43" s="34"/>
      <c r="B43" s="34"/>
      <c r="C43" s="34"/>
      <c r="D43" s="34"/>
      <c r="E43" s="34"/>
      <c r="F43" s="34"/>
      <c r="G43" s="34"/>
      <c r="H43" s="34"/>
      <c r="I43" s="34"/>
      <c r="J43" s="34"/>
      <c r="K43" s="34"/>
      <c r="L43" s="34"/>
      <c r="M43" s="34"/>
      <c r="N43" s="34"/>
      <c r="O43" s="34"/>
      <c r="P43" s="34"/>
      <c r="Q43" s="34"/>
      <c r="R43" s="34"/>
      <c r="S43" s="34"/>
      <c r="T43" s="34"/>
      <c r="U43" s="34"/>
    </row>
    <row r="44" spans="1:21" x14ac:dyDescent="0.2">
      <c r="A44" s="34"/>
      <c r="B44" s="34"/>
      <c r="C44" s="34"/>
      <c r="D44" s="34"/>
      <c r="E44" s="34"/>
      <c r="F44" s="34"/>
      <c r="G44" s="34"/>
      <c r="H44" s="34"/>
      <c r="I44" s="34"/>
      <c r="J44" s="34"/>
      <c r="K44" s="34"/>
      <c r="L44" s="34"/>
      <c r="M44" s="34"/>
      <c r="N44" s="34"/>
      <c r="O44" s="34"/>
      <c r="P44" s="34"/>
      <c r="Q44" s="34"/>
      <c r="R44" s="34"/>
      <c r="S44" s="34"/>
      <c r="T44" s="34"/>
      <c r="U44" s="34"/>
    </row>
    <row r="45" spans="1:21" x14ac:dyDescent="0.2">
      <c r="A45" s="34"/>
      <c r="B45" s="34"/>
      <c r="C45" s="34"/>
      <c r="D45" s="34"/>
      <c r="E45" s="34"/>
      <c r="F45" s="34"/>
      <c r="G45" s="34"/>
      <c r="H45" s="34"/>
      <c r="I45" s="34"/>
      <c r="J45" s="34"/>
      <c r="K45" s="34"/>
      <c r="L45" s="34"/>
      <c r="M45" s="34"/>
      <c r="N45" s="34"/>
      <c r="O45" s="34"/>
      <c r="P45" s="34"/>
      <c r="Q45" s="34"/>
      <c r="R45" s="34"/>
      <c r="S45" s="34"/>
      <c r="T45" s="34"/>
      <c r="U45" s="34"/>
    </row>
    <row r="46" spans="1:21" x14ac:dyDescent="0.2">
      <c r="A46" s="34"/>
      <c r="B46" s="34"/>
      <c r="C46" s="34"/>
      <c r="D46" s="34"/>
      <c r="E46" s="34"/>
      <c r="F46" s="34"/>
      <c r="G46" s="34"/>
      <c r="H46" s="34"/>
      <c r="I46" s="34"/>
      <c r="J46" s="34"/>
      <c r="K46" s="34"/>
      <c r="L46" s="34"/>
      <c r="M46" s="34"/>
      <c r="N46" s="34"/>
      <c r="O46" s="34"/>
      <c r="P46" s="34"/>
      <c r="Q46" s="34"/>
      <c r="R46" s="34"/>
      <c r="S46" s="34"/>
      <c r="T46" s="34"/>
      <c r="U46" s="34"/>
    </row>
    <row r="47" spans="1:21" x14ac:dyDescent="0.2">
      <c r="A47" s="34"/>
      <c r="B47" s="34"/>
      <c r="C47" s="34"/>
      <c r="D47" s="34"/>
      <c r="E47" s="34"/>
      <c r="F47" s="34"/>
      <c r="G47" s="34"/>
      <c r="H47" s="34"/>
      <c r="I47" s="34"/>
      <c r="J47" s="34"/>
      <c r="K47" s="34"/>
      <c r="L47" s="34"/>
      <c r="M47" s="34"/>
      <c r="N47" s="34"/>
      <c r="O47" s="34"/>
      <c r="P47" s="34"/>
      <c r="Q47" s="34"/>
      <c r="R47" s="34"/>
      <c r="S47" s="34"/>
      <c r="T47" s="34"/>
      <c r="U47" s="34"/>
    </row>
    <row r="48" spans="1:21" x14ac:dyDescent="0.2">
      <c r="A48" s="34"/>
      <c r="B48" s="34"/>
      <c r="C48" s="34"/>
      <c r="D48" s="34"/>
      <c r="E48" s="34"/>
      <c r="F48" s="34"/>
      <c r="G48" s="34"/>
      <c r="H48" s="34"/>
      <c r="I48" s="34"/>
      <c r="J48" s="34"/>
      <c r="K48" s="34"/>
      <c r="L48" s="34"/>
      <c r="M48" s="34"/>
      <c r="N48" s="34"/>
      <c r="O48" s="34"/>
      <c r="P48" s="34"/>
      <c r="Q48" s="34"/>
      <c r="R48" s="34"/>
      <c r="S48" s="34"/>
      <c r="T48" s="34"/>
      <c r="U48" s="34"/>
    </row>
    <row r="49" spans="1:21" x14ac:dyDescent="0.2">
      <c r="A49" s="34"/>
      <c r="B49" s="34"/>
      <c r="C49" s="34"/>
      <c r="D49" s="34"/>
      <c r="E49" s="34"/>
      <c r="F49" s="34"/>
      <c r="G49" s="34"/>
      <c r="H49" s="34"/>
      <c r="I49" s="34"/>
      <c r="J49" s="34"/>
      <c r="K49" s="34"/>
      <c r="L49" s="34"/>
      <c r="M49" s="34"/>
      <c r="N49" s="34"/>
      <c r="O49" s="34"/>
      <c r="P49" s="34"/>
      <c r="Q49" s="34"/>
      <c r="R49" s="34"/>
      <c r="S49" s="34"/>
      <c r="T49" s="34"/>
      <c r="U49" s="34"/>
    </row>
    <row r="50" spans="1:21" x14ac:dyDescent="0.2">
      <c r="A50" s="34"/>
      <c r="B50" s="34"/>
      <c r="C50" s="34"/>
      <c r="D50" s="34"/>
      <c r="E50" s="34"/>
      <c r="F50" s="34"/>
      <c r="G50" s="34"/>
      <c r="H50" s="34"/>
      <c r="I50" s="34"/>
      <c r="J50" s="34"/>
      <c r="K50" s="34"/>
      <c r="L50" s="34"/>
      <c r="M50" s="34"/>
      <c r="N50" s="34"/>
      <c r="O50" s="34"/>
      <c r="P50" s="34"/>
      <c r="Q50" s="34"/>
      <c r="R50" s="34"/>
      <c r="S50" s="34"/>
      <c r="T50" s="34"/>
      <c r="U50" s="34"/>
    </row>
    <row r="51" spans="1:21" x14ac:dyDescent="0.2">
      <c r="A51" s="34"/>
      <c r="B51" s="34"/>
      <c r="C51" s="34"/>
      <c r="D51" s="34"/>
      <c r="E51" s="34"/>
      <c r="F51" s="34"/>
      <c r="G51" s="34"/>
      <c r="H51" s="34"/>
      <c r="I51" s="34"/>
      <c r="J51" s="34"/>
      <c r="K51" s="34"/>
      <c r="L51" s="34"/>
      <c r="M51" s="34"/>
      <c r="N51" s="34"/>
      <c r="O51" s="34"/>
      <c r="P51" s="34"/>
      <c r="Q51" s="34"/>
      <c r="R51" s="34"/>
      <c r="S51" s="34"/>
      <c r="T51" s="34"/>
      <c r="U51" s="34"/>
    </row>
    <row r="52" spans="1:21" x14ac:dyDescent="0.2">
      <c r="A52" s="34"/>
      <c r="B52" s="34"/>
      <c r="C52" s="34"/>
      <c r="D52" s="34"/>
      <c r="E52" s="34"/>
      <c r="F52" s="34"/>
      <c r="G52" s="34"/>
      <c r="H52" s="34"/>
      <c r="I52" s="34"/>
      <c r="J52" s="34"/>
      <c r="K52" s="34"/>
      <c r="L52" s="34"/>
      <c r="M52" s="34"/>
      <c r="N52" s="34"/>
      <c r="O52" s="34"/>
      <c r="P52" s="34"/>
      <c r="Q52" s="34"/>
      <c r="R52" s="34"/>
      <c r="S52" s="34"/>
      <c r="T52" s="34"/>
      <c r="U52" s="34"/>
    </row>
    <row r="53" spans="1:21" x14ac:dyDescent="0.2">
      <c r="A53" s="34"/>
      <c r="B53" s="34"/>
      <c r="C53" s="34"/>
      <c r="D53" s="34"/>
      <c r="E53" s="34"/>
      <c r="F53" s="34"/>
      <c r="G53" s="34"/>
      <c r="H53" s="34"/>
      <c r="I53" s="34"/>
      <c r="J53" s="34"/>
      <c r="K53" s="34"/>
      <c r="L53" s="34"/>
      <c r="M53" s="34"/>
      <c r="N53" s="34"/>
      <c r="O53" s="34"/>
      <c r="P53" s="34"/>
      <c r="Q53" s="34"/>
      <c r="R53" s="34"/>
      <c r="S53" s="34"/>
      <c r="T53" s="34"/>
      <c r="U53" s="34"/>
    </row>
    <row r="54" spans="1:21" x14ac:dyDescent="0.2">
      <c r="A54" s="34"/>
      <c r="B54" s="34"/>
      <c r="C54" s="34"/>
      <c r="D54" s="34"/>
      <c r="E54" s="34"/>
      <c r="F54" s="34"/>
      <c r="G54" s="34"/>
      <c r="H54" s="34"/>
      <c r="I54" s="34"/>
      <c r="J54" s="34"/>
      <c r="K54" s="34"/>
      <c r="L54" s="34"/>
      <c r="M54" s="34"/>
      <c r="N54" s="34"/>
      <c r="O54" s="34"/>
      <c r="P54" s="34"/>
      <c r="Q54" s="34"/>
      <c r="R54" s="34"/>
      <c r="S54" s="34"/>
      <c r="T54" s="34"/>
      <c r="U54" s="34"/>
    </row>
    <row r="55" spans="1:21" x14ac:dyDescent="0.2">
      <c r="A55" s="34"/>
      <c r="B55" s="34"/>
      <c r="C55" s="34"/>
      <c r="D55" s="34"/>
      <c r="E55" s="34"/>
      <c r="F55" s="34"/>
      <c r="G55" s="34"/>
      <c r="H55" s="34"/>
      <c r="I55" s="34"/>
      <c r="J55" s="34"/>
      <c r="K55" s="34"/>
      <c r="L55" s="34"/>
      <c r="M55" s="34"/>
      <c r="N55" s="34"/>
      <c r="O55" s="34"/>
      <c r="P55" s="34"/>
      <c r="Q55" s="34"/>
      <c r="R55" s="34"/>
      <c r="S55" s="34"/>
      <c r="T55" s="34"/>
      <c r="U55" s="34"/>
    </row>
    <row r="56" spans="1:21" x14ac:dyDescent="0.2">
      <c r="A56" s="34"/>
      <c r="B56" s="34"/>
      <c r="C56" s="34"/>
      <c r="D56" s="34"/>
      <c r="E56" s="34"/>
      <c r="F56" s="34"/>
      <c r="G56" s="34"/>
      <c r="H56" s="34"/>
      <c r="I56" s="34"/>
      <c r="J56" s="34"/>
      <c r="K56" s="34"/>
      <c r="L56" s="34"/>
      <c r="M56" s="34"/>
      <c r="N56" s="34"/>
      <c r="O56" s="34"/>
      <c r="P56" s="34"/>
      <c r="Q56" s="34"/>
      <c r="R56" s="34"/>
      <c r="S56" s="34"/>
      <c r="T56" s="34"/>
      <c r="U56" s="34"/>
    </row>
    <row r="57" spans="1:21" x14ac:dyDescent="0.2">
      <c r="A57" s="34"/>
      <c r="B57" s="34"/>
      <c r="C57" s="34"/>
      <c r="D57" s="34"/>
      <c r="E57" s="34"/>
      <c r="F57" s="34"/>
      <c r="G57" s="34"/>
      <c r="H57" s="34"/>
      <c r="I57" s="34"/>
      <c r="J57" s="34"/>
      <c r="K57" s="34"/>
      <c r="L57" s="34"/>
      <c r="M57" s="34"/>
      <c r="N57" s="34"/>
      <c r="O57" s="34"/>
      <c r="P57" s="34"/>
      <c r="Q57" s="34"/>
      <c r="R57" s="34"/>
      <c r="S57" s="34"/>
      <c r="T57" s="34"/>
      <c r="U57" s="34"/>
    </row>
    <row r="58" spans="1:21" x14ac:dyDescent="0.2">
      <c r="A58" s="34"/>
      <c r="B58" s="34"/>
      <c r="C58" s="34"/>
      <c r="D58" s="34"/>
      <c r="E58" s="34"/>
      <c r="F58" s="34"/>
      <c r="G58" s="34"/>
      <c r="H58" s="34"/>
      <c r="I58" s="34"/>
      <c r="J58" s="34"/>
      <c r="K58" s="34"/>
      <c r="L58" s="34"/>
      <c r="M58" s="34"/>
      <c r="N58" s="34"/>
      <c r="O58" s="34"/>
      <c r="P58" s="34"/>
      <c r="Q58" s="34"/>
      <c r="R58" s="34"/>
      <c r="S58" s="34"/>
      <c r="T58" s="34"/>
      <c r="U58" s="34"/>
    </row>
    <row r="59" spans="1:21" x14ac:dyDescent="0.2">
      <c r="A59" s="34"/>
      <c r="B59" s="34"/>
      <c r="C59" s="34"/>
      <c r="D59" s="34"/>
      <c r="E59" s="34"/>
      <c r="F59" s="34"/>
      <c r="G59" s="34"/>
      <c r="H59" s="34"/>
      <c r="I59" s="34"/>
      <c r="J59" s="34"/>
      <c r="K59" s="34"/>
      <c r="L59" s="34"/>
      <c r="M59" s="34"/>
      <c r="N59" s="34"/>
      <c r="O59" s="34"/>
      <c r="P59" s="34"/>
      <c r="Q59" s="34"/>
      <c r="R59" s="34"/>
      <c r="S59" s="34"/>
      <c r="T59" s="34"/>
      <c r="U59" s="34"/>
    </row>
    <row r="60" spans="1:21" x14ac:dyDescent="0.2">
      <c r="A60" s="34"/>
      <c r="B60" s="34"/>
      <c r="C60" s="34"/>
      <c r="D60" s="34"/>
      <c r="E60" s="34"/>
      <c r="F60" s="34"/>
      <c r="G60" s="34"/>
      <c r="H60" s="34"/>
      <c r="I60" s="34"/>
      <c r="J60" s="34"/>
      <c r="K60" s="34"/>
      <c r="L60" s="34"/>
      <c r="M60" s="34"/>
      <c r="N60" s="34"/>
      <c r="O60" s="34"/>
      <c r="P60" s="34"/>
      <c r="Q60" s="34"/>
      <c r="R60" s="34"/>
      <c r="S60" s="34"/>
      <c r="T60" s="34"/>
      <c r="U60" s="34"/>
    </row>
    <row r="61" spans="1:21" x14ac:dyDescent="0.2">
      <c r="A61" s="34"/>
      <c r="B61" s="34"/>
      <c r="C61" s="34"/>
      <c r="D61" s="34"/>
      <c r="E61" s="34"/>
      <c r="F61" s="34"/>
      <c r="G61" s="34"/>
      <c r="H61" s="34"/>
      <c r="I61" s="34"/>
      <c r="J61" s="34"/>
      <c r="K61" s="34"/>
      <c r="L61" s="34"/>
      <c r="M61" s="34"/>
      <c r="N61" s="34"/>
      <c r="O61" s="34"/>
      <c r="P61" s="34"/>
      <c r="Q61" s="34"/>
      <c r="R61" s="34"/>
      <c r="S61" s="34"/>
      <c r="T61" s="34"/>
      <c r="U61" s="34"/>
    </row>
    <row r="62" spans="1:21" x14ac:dyDescent="0.2">
      <c r="A62" s="34"/>
      <c r="B62" s="34"/>
      <c r="C62" s="34"/>
      <c r="D62" s="34"/>
      <c r="E62" s="34"/>
      <c r="F62" s="34"/>
      <c r="G62" s="34"/>
      <c r="H62" s="34"/>
      <c r="I62" s="34"/>
      <c r="J62" s="34"/>
      <c r="K62" s="34"/>
      <c r="L62" s="34"/>
      <c r="M62" s="34"/>
      <c r="N62" s="34"/>
      <c r="O62" s="34"/>
      <c r="P62" s="34"/>
      <c r="Q62" s="34"/>
      <c r="R62" s="34"/>
      <c r="S62" s="34"/>
      <c r="T62" s="34"/>
      <c r="U62" s="34"/>
    </row>
    <row r="63" spans="1:21" x14ac:dyDescent="0.2">
      <c r="A63" s="34"/>
      <c r="B63" s="34"/>
      <c r="C63" s="34"/>
      <c r="D63" s="34"/>
      <c r="E63" s="34"/>
      <c r="F63" s="34"/>
      <c r="G63" s="34"/>
      <c r="H63" s="34"/>
      <c r="I63" s="34"/>
      <c r="J63" s="34"/>
      <c r="K63" s="34"/>
      <c r="L63" s="34"/>
      <c r="M63" s="34"/>
      <c r="N63" s="34"/>
      <c r="O63" s="34"/>
      <c r="P63" s="34"/>
      <c r="Q63" s="34"/>
      <c r="R63" s="34"/>
      <c r="S63" s="34"/>
      <c r="T63" s="34"/>
      <c r="U63" s="34"/>
    </row>
    <row r="64" spans="1:21" x14ac:dyDescent="0.2">
      <c r="A64" s="34"/>
      <c r="B64" s="34"/>
      <c r="C64" s="34"/>
      <c r="D64" s="34"/>
      <c r="E64" s="34"/>
      <c r="F64" s="34"/>
      <c r="G64" s="34"/>
      <c r="H64" s="34"/>
      <c r="I64" s="34"/>
      <c r="J64" s="34"/>
      <c r="K64" s="34"/>
      <c r="L64" s="34"/>
      <c r="M64" s="34"/>
      <c r="N64" s="34"/>
      <c r="O64" s="34"/>
      <c r="P64" s="34"/>
      <c r="Q64" s="34"/>
      <c r="R64" s="34"/>
      <c r="S64" s="34"/>
      <c r="T64" s="34"/>
      <c r="U64" s="34"/>
    </row>
    <row r="65" spans="1:21" x14ac:dyDescent="0.2">
      <c r="A65" s="34"/>
      <c r="B65" s="34"/>
      <c r="C65" s="34"/>
      <c r="D65" s="34"/>
      <c r="E65" s="34"/>
      <c r="F65" s="34"/>
      <c r="G65" s="34"/>
      <c r="H65" s="34"/>
      <c r="I65" s="34"/>
      <c r="J65" s="34"/>
      <c r="K65" s="34"/>
      <c r="L65" s="34"/>
      <c r="M65" s="34"/>
      <c r="N65" s="34"/>
      <c r="O65" s="34"/>
      <c r="P65" s="34"/>
      <c r="Q65" s="34"/>
      <c r="R65" s="34"/>
      <c r="S65" s="34"/>
      <c r="T65" s="34"/>
      <c r="U65" s="34"/>
    </row>
    <row r="66" spans="1:21" x14ac:dyDescent="0.2">
      <c r="A66" s="34"/>
      <c r="B66" s="34"/>
      <c r="C66" s="34"/>
      <c r="D66" s="34"/>
      <c r="E66" s="34"/>
      <c r="F66" s="34"/>
      <c r="G66" s="34"/>
      <c r="H66" s="34"/>
      <c r="I66" s="34"/>
      <c r="J66" s="34"/>
      <c r="K66" s="34"/>
      <c r="L66" s="34"/>
      <c r="M66" s="34"/>
      <c r="N66" s="34"/>
      <c r="O66" s="34"/>
      <c r="P66" s="34"/>
      <c r="Q66" s="34"/>
      <c r="R66" s="34"/>
      <c r="S66" s="34"/>
      <c r="T66" s="34"/>
      <c r="U66" s="34"/>
    </row>
    <row r="67" spans="1:21" x14ac:dyDescent="0.2">
      <c r="A67" s="34"/>
      <c r="B67" s="34"/>
      <c r="C67" s="34"/>
      <c r="D67" s="34"/>
      <c r="E67" s="34"/>
      <c r="F67" s="34"/>
      <c r="G67" s="34"/>
      <c r="H67" s="34"/>
      <c r="I67" s="34"/>
      <c r="J67" s="34"/>
      <c r="K67" s="34"/>
      <c r="L67" s="34"/>
      <c r="M67" s="34"/>
      <c r="N67" s="34"/>
      <c r="O67" s="34"/>
      <c r="P67" s="34"/>
      <c r="Q67" s="34"/>
      <c r="R67" s="34"/>
      <c r="S67" s="34"/>
      <c r="T67" s="34"/>
      <c r="U67" s="34"/>
    </row>
    <row r="68" spans="1:21" x14ac:dyDescent="0.2">
      <c r="A68" s="34"/>
      <c r="B68" s="34"/>
      <c r="C68" s="34"/>
      <c r="D68" s="34"/>
      <c r="E68" s="34"/>
      <c r="F68" s="34"/>
      <c r="G68" s="34"/>
      <c r="H68" s="34"/>
      <c r="I68" s="34"/>
      <c r="J68" s="34"/>
      <c r="K68" s="34"/>
      <c r="L68" s="34"/>
      <c r="M68" s="34"/>
      <c r="N68" s="34"/>
      <c r="O68" s="34"/>
      <c r="P68" s="34"/>
      <c r="Q68" s="34"/>
      <c r="R68" s="34"/>
      <c r="S68" s="34"/>
      <c r="T68" s="34"/>
      <c r="U68" s="34"/>
    </row>
    <row r="69" spans="1:21" x14ac:dyDescent="0.2">
      <c r="A69" s="34"/>
      <c r="B69" s="34"/>
      <c r="C69" s="34"/>
      <c r="D69" s="34"/>
      <c r="E69" s="34"/>
      <c r="F69" s="34"/>
      <c r="G69" s="34"/>
      <c r="H69" s="34"/>
      <c r="I69" s="34"/>
      <c r="J69" s="34"/>
      <c r="K69" s="34"/>
      <c r="L69" s="34"/>
      <c r="M69" s="34"/>
      <c r="N69" s="34"/>
      <c r="O69" s="34"/>
      <c r="P69" s="34"/>
      <c r="Q69" s="34"/>
      <c r="R69" s="34"/>
      <c r="S69" s="34"/>
      <c r="T69" s="34"/>
      <c r="U69" s="34"/>
    </row>
    <row r="70" spans="1:21" x14ac:dyDescent="0.2">
      <c r="A70" s="34"/>
      <c r="B70" s="34"/>
      <c r="C70" s="34"/>
      <c r="D70" s="34"/>
      <c r="E70" s="34"/>
      <c r="F70" s="34"/>
      <c r="G70" s="34"/>
      <c r="H70" s="34"/>
      <c r="I70" s="34"/>
      <c r="J70" s="34"/>
      <c r="K70" s="34"/>
      <c r="L70" s="34"/>
      <c r="M70" s="34"/>
      <c r="N70" s="34"/>
      <c r="O70" s="34"/>
      <c r="P70" s="34"/>
      <c r="Q70" s="34"/>
      <c r="R70" s="34"/>
      <c r="S70" s="34"/>
      <c r="T70" s="34"/>
      <c r="U70" s="34"/>
    </row>
    <row r="71" spans="1:21" x14ac:dyDescent="0.2">
      <c r="A71" s="34"/>
      <c r="B71" s="34"/>
      <c r="C71" s="34"/>
      <c r="D71" s="34"/>
      <c r="E71" s="34"/>
      <c r="F71" s="34"/>
      <c r="G71" s="34"/>
      <c r="H71" s="34"/>
      <c r="I71" s="34"/>
      <c r="J71" s="34"/>
      <c r="K71" s="34"/>
      <c r="L71" s="34"/>
      <c r="M71" s="34"/>
      <c r="N71" s="34"/>
      <c r="O71" s="34"/>
      <c r="P71" s="34"/>
      <c r="Q71" s="34"/>
      <c r="R71" s="34"/>
      <c r="S71" s="34"/>
      <c r="T71" s="34"/>
      <c r="U71" s="34"/>
    </row>
    <row r="72" spans="1:21" x14ac:dyDescent="0.2">
      <c r="A72" s="34"/>
      <c r="B72" s="34"/>
      <c r="C72" s="34"/>
      <c r="D72" s="34"/>
      <c r="E72" s="34"/>
      <c r="F72" s="34"/>
      <c r="G72" s="34"/>
      <c r="H72" s="34"/>
      <c r="I72" s="34"/>
      <c r="J72" s="34"/>
      <c r="K72" s="34"/>
      <c r="L72" s="34"/>
      <c r="M72" s="34"/>
      <c r="N72" s="34"/>
      <c r="O72" s="34"/>
      <c r="P72" s="34"/>
      <c r="Q72" s="34"/>
      <c r="R72" s="34"/>
      <c r="S72" s="34"/>
      <c r="T72" s="34"/>
      <c r="U72" s="34"/>
    </row>
    <row r="73" spans="1:21" x14ac:dyDescent="0.2">
      <c r="A73" s="34"/>
      <c r="B73" s="34"/>
      <c r="C73" s="34"/>
      <c r="D73" s="34"/>
      <c r="E73" s="34"/>
      <c r="F73" s="34"/>
      <c r="G73" s="34"/>
      <c r="H73" s="34"/>
      <c r="I73" s="34"/>
      <c r="J73" s="34"/>
      <c r="K73" s="34"/>
      <c r="L73" s="34"/>
      <c r="M73" s="34"/>
      <c r="N73" s="34"/>
      <c r="O73" s="34"/>
      <c r="P73" s="34"/>
      <c r="Q73" s="34"/>
      <c r="R73" s="34"/>
      <c r="S73" s="34"/>
      <c r="T73" s="34"/>
      <c r="U73" s="34"/>
    </row>
    <row r="74" spans="1:21" x14ac:dyDescent="0.2">
      <c r="A74" s="34"/>
      <c r="B74" s="34"/>
      <c r="C74" s="34"/>
      <c r="D74" s="34"/>
      <c r="E74" s="34"/>
      <c r="F74" s="34"/>
      <c r="G74" s="34"/>
      <c r="H74" s="34"/>
      <c r="I74" s="34"/>
      <c r="J74" s="34"/>
      <c r="K74" s="34"/>
      <c r="L74" s="34"/>
      <c r="M74" s="34"/>
      <c r="N74" s="34"/>
      <c r="O74" s="34"/>
      <c r="P74" s="34"/>
      <c r="Q74" s="34"/>
      <c r="R74" s="34"/>
      <c r="S74" s="34"/>
      <c r="T74" s="34"/>
      <c r="U74" s="34"/>
    </row>
    <row r="75" spans="1:21" x14ac:dyDescent="0.2">
      <c r="A75" s="34"/>
      <c r="B75" s="34"/>
      <c r="C75" s="34"/>
      <c r="D75" s="34"/>
      <c r="E75" s="34"/>
      <c r="F75" s="34"/>
      <c r="G75" s="34"/>
      <c r="H75" s="34"/>
      <c r="I75" s="34"/>
      <c r="J75" s="34"/>
      <c r="K75" s="34"/>
      <c r="L75" s="34"/>
      <c r="M75" s="34"/>
      <c r="N75" s="34"/>
      <c r="O75" s="34"/>
      <c r="P75" s="34"/>
      <c r="Q75" s="34"/>
      <c r="R75" s="34"/>
      <c r="S75" s="34"/>
      <c r="T75" s="34"/>
      <c r="U75" s="34"/>
    </row>
    <row r="76" spans="1:21" x14ac:dyDescent="0.2">
      <c r="A76" s="34"/>
      <c r="B76" s="34"/>
      <c r="C76" s="34"/>
      <c r="D76" s="34"/>
      <c r="E76" s="34"/>
      <c r="F76" s="34"/>
      <c r="G76" s="34"/>
      <c r="H76" s="34"/>
      <c r="I76" s="34"/>
      <c r="J76" s="34"/>
      <c r="K76" s="34"/>
      <c r="L76" s="34"/>
      <c r="M76" s="34"/>
      <c r="N76" s="34"/>
      <c r="O76" s="34"/>
      <c r="P76" s="34"/>
      <c r="Q76" s="34"/>
      <c r="R76" s="34"/>
      <c r="S76" s="34"/>
      <c r="T76" s="34"/>
      <c r="U76" s="34"/>
    </row>
    <row r="77" spans="1:21" x14ac:dyDescent="0.2">
      <c r="A77" s="34"/>
      <c r="B77" s="34"/>
      <c r="C77" s="34"/>
      <c r="D77" s="34"/>
      <c r="E77" s="34"/>
      <c r="F77" s="34"/>
      <c r="G77" s="34"/>
      <c r="H77" s="34"/>
      <c r="I77" s="34"/>
      <c r="J77" s="34"/>
      <c r="K77" s="34"/>
      <c r="L77" s="34"/>
      <c r="M77" s="34"/>
      <c r="N77" s="34"/>
      <c r="O77" s="34"/>
      <c r="P77" s="34"/>
      <c r="Q77" s="34"/>
      <c r="R77" s="34"/>
      <c r="S77" s="34"/>
      <c r="T77" s="34"/>
      <c r="U77" s="34"/>
    </row>
    <row r="78" spans="1:21" x14ac:dyDescent="0.2">
      <c r="A78" s="34"/>
      <c r="B78" s="34"/>
      <c r="C78" s="34"/>
      <c r="D78" s="34"/>
      <c r="E78" s="34"/>
      <c r="F78" s="34"/>
      <c r="G78" s="34"/>
      <c r="H78" s="34"/>
      <c r="I78" s="34"/>
      <c r="J78" s="34"/>
      <c r="K78" s="34"/>
      <c r="L78" s="34"/>
      <c r="M78" s="34"/>
      <c r="N78" s="34"/>
      <c r="O78" s="34"/>
      <c r="P78" s="34"/>
      <c r="Q78" s="34"/>
      <c r="R78" s="34"/>
      <c r="S78" s="34"/>
      <c r="T78" s="34"/>
      <c r="U78" s="34"/>
    </row>
    <row r="79" spans="1:21" x14ac:dyDescent="0.2">
      <c r="A79" s="34"/>
      <c r="B79" s="34"/>
      <c r="C79" s="34"/>
      <c r="D79" s="34"/>
      <c r="E79" s="34"/>
      <c r="F79" s="34"/>
      <c r="G79" s="34"/>
      <c r="H79" s="34"/>
      <c r="I79" s="34"/>
      <c r="J79" s="34"/>
      <c r="K79" s="34"/>
      <c r="L79" s="34"/>
      <c r="M79" s="34"/>
      <c r="N79" s="34"/>
      <c r="O79" s="34"/>
      <c r="P79" s="34"/>
      <c r="Q79" s="34"/>
      <c r="R79" s="34"/>
      <c r="S79" s="34"/>
      <c r="T79" s="34"/>
      <c r="U79" s="34"/>
    </row>
    <row r="80" spans="1:21" x14ac:dyDescent="0.2">
      <c r="A80" s="34"/>
      <c r="B80" s="34"/>
      <c r="C80" s="34"/>
      <c r="D80" s="34"/>
      <c r="E80" s="34"/>
      <c r="F80" s="34"/>
      <c r="G80" s="34"/>
      <c r="H80" s="34"/>
      <c r="I80" s="34"/>
      <c r="J80" s="34"/>
      <c r="K80" s="34"/>
      <c r="L80" s="34"/>
      <c r="M80" s="34"/>
      <c r="N80" s="34"/>
      <c r="O80" s="34"/>
      <c r="P80" s="34"/>
      <c r="Q80" s="34"/>
      <c r="R80" s="34"/>
      <c r="S80" s="34"/>
      <c r="T80" s="34"/>
      <c r="U80" s="34"/>
    </row>
    <row r="81" spans="1:21" x14ac:dyDescent="0.2">
      <c r="A81" s="34"/>
      <c r="B81" s="34"/>
      <c r="C81" s="34"/>
      <c r="D81" s="34"/>
      <c r="E81" s="34"/>
      <c r="F81" s="34"/>
      <c r="G81" s="34"/>
      <c r="H81" s="34"/>
      <c r="I81" s="34"/>
      <c r="J81" s="34"/>
      <c r="K81" s="34"/>
      <c r="L81" s="34"/>
      <c r="M81" s="34"/>
      <c r="N81" s="34"/>
      <c r="O81" s="34"/>
      <c r="P81" s="34"/>
      <c r="Q81" s="34"/>
      <c r="R81" s="34"/>
      <c r="S81" s="34"/>
      <c r="T81" s="34"/>
      <c r="U81" s="34"/>
    </row>
    <row r="82" spans="1:21" x14ac:dyDescent="0.2">
      <c r="A82" s="34"/>
      <c r="B82" s="34"/>
      <c r="C82" s="34"/>
      <c r="D82" s="34"/>
      <c r="E82" s="34"/>
      <c r="F82" s="34"/>
      <c r="G82" s="34"/>
      <c r="H82" s="34"/>
      <c r="I82" s="34"/>
      <c r="J82" s="34"/>
      <c r="K82" s="34"/>
      <c r="L82" s="34"/>
      <c r="M82" s="34"/>
      <c r="N82" s="34"/>
      <c r="O82" s="34"/>
      <c r="P82" s="34"/>
      <c r="Q82" s="34"/>
      <c r="R82" s="34"/>
      <c r="S82" s="34"/>
      <c r="T82" s="34"/>
      <c r="U82" s="34"/>
    </row>
    <row r="83" spans="1:21" x14ac:dyDescent="0.2">
      <c r="A83" s="34"/>
      <c r="B83" s="34"/>
      <c r="C83" s="34"/>
      <c r="D83" s="34"/>
      <c r="E83" s="34"/>
      <c r="F83" s="34"/>
      <c r="G83" s="34"/>
      <c r="H83" s="34"/>
      <c r="I83" s="34"/>
      <c r="J83" s="34"/>
      <c r="K83" s="34"/>
      <c r="L83" s="34"/>
      <c r="M83" s="34"/>
      <c r="N83" s="34"/>
      <c r="O83" s="34"/>
      <c r="P83" s="34"/>
      <c r="Q83" s="34"/>
      <c r="R83" s="34"/>
      <c r="S83" s="34"/>
      <c r="T83" s="34"/>
      <c r="U83" s="34"/>
    </row>
    <row r="84" spans="1:21" x14ac:dyDescent="0.2">
      <c r="A84" s="34"/>
      <c r="B84" s="34"/>
      <c r="C84" s="34"/>
      <c r="D84" s="34"/>
      <c r="E84" s="34"/>
      <c r="F84" s="34"/>
      <c r="G84" s="34"/>
      <c r="H84" s="34"/>
      <c r="I84" s="34"/>
      <c r="J84" s="34"/>
      <c r="K84" s="34"/>
      <c r="L84" s="34"/>
      <c r="M84" s="34"/>
      <c r="N84" s="34"/>
      <c r="O84" s="34"/>
      <c r="P84" s="34"/>
      <c r="Q84" s="34"/>
      <c r="R84" s="34"/>
      <c r="S84" s="34"/>
      <c r="T84" s="34"/>
      <c r="U84" s="34"/>
    </row>
    <row r="85" spans="1:21" x14ac:dyDescent="0.2">
      <c r="A85" s="34"/>
      <c r="B85" s="34"/>
      <c r="C85" s="34"/>
      <c r="D85" s="34"/>
      <c r="E85" s="34"/>
      <c r="F85" s="34"/>
      <c r="G85" s="34"/>
      <c r="H85" s="34"/>
      <c r="I85" s="34"/>
      <c r="J85" s="34"/>
      <c r="K85" s="34"/>
      <c r="L85" s="34"/>
      <c r="M85" s="34"/>
      <c r="N85" s="34"/>
      <c r="O85" s="34"/>
      <c r="P85" s="34"/>
      <c r="Q85" s="34"/>
      <c r="R85" s="34"/>
      <c r="S85" s="34"/>
      <c r="T85" s="34"/>
      <c r="U85" s="34"/>
    </row>
    <row r="86" spans="1:21" x14ac:dyDescent="0.2">
      <c r="A86" s="34"/>
      <c r="B86" s="34"/>
      <c r="C86" s="34"/>
      <c r="D86" s="34"/>
      <c r="E86" s="34"/>
      <c r="F86" s="34"/>
      <c r="G86" s="34"/>
      <c r="H86" s="34"/>
      <c r="I86" s="34"/>
      <c r="J86" s="34"/>
      <c r="K86" s="34"/>
      <c r="L86" s="34"/>
      <c r="M86" s="34"/>
      <c r="N86" s="34"/>
      <c r="O86" s="34"/>
      <c r="P86" s="34"/>
      <c r="Q86" s="34"/>
      <c r="R86" s="34"/>
      <c r="S86" s="34"/>
      <c r="T86" s="34"/>
      <c r="U86" s="34"/>
    </row>
    <row r="87" spans="1:21" x14ac:dyDescent="0.2">
      <c r="A87" s="34"/>
      <c r="B87" s="34"/>
      <c r="C87" s="34"/>
      <c r="D87" s="34"/>
      <c r="E87" s="34"/>
      <c r="F87" s="34"/>
      <c r="G87" s="34"/>
      <c r="H87" s="34"/>
      <c r="I87" s="34"/>
      <c r="J87" s="34"/>
      <c r="K87" s="34"/>
      <c r="L87" s="34"/>
      <c r="M87" s="34"/>
      <c r="N87" s="34"/>
      <c r="O87" s="34"/>
      <c r="P87" s="34"/>
      <c r="Q87" s="34"/>
      <c r="R87" s="34"/>
      <c r="S87" s="34"/>
      <c r="T87" s="34"/>
      <c r="U87" s="34"/>
    </row>
    <row r="88" spans="1:21" x14ac:dyDescent="0.2">
      <c r="A88" s="34"/>
      <c r="B88" s="34"/>
      <c r="C88" s="34"/>
      <c r="D88" s="34"/>
      <c r="E88" s="34"/>
      <c r="F88" s="34"/>
      <c r="G88" s="34"/>
      <c r="H88" s="34"/>
      <c r="I88" s="34"/>
      <c r="J88" s="34"/>
      <c r="K88" s="34"/>
      <c r="L88" s="34"/>
      <c r="M88" s="34"/>
      <c r="N88" s="34"/>
      <c r="O88" s="34"/>
      <c r="P88" s="34"/>
      <c r="Q88" s="34"/>
      <c r="R88" s="34"/>
      <c r="S88" s="34"/>
      <c r="T88" s="34"/>
      <c r="U88" s="34"/>
    </row>
    <row r="89" spans="1:21" x14ac:dyDescent="0.2">
      <c r="A89" s="34"/>
      <c r="B89" s="34"/>
      <c r="C89" s="34"/>
      <c r="D89" s="34"/>
      <c r="E89" s="34"/>
      <c r="F89" s="34"/>
      <c r="G89" s="34"/>
      <c r="H89" s="34"/>
      <c r="I89" s="34"/>
      <c r="J89" s="34"/>
      <c r="K89" s="34"/>
      <c r="L89" s="34"/>
      <c r="M89" s="34"/>
      <c r="N89" s="34"/>
      <c r="O89" s="34"/>
      <c r="P89" s="34"/>
      <c r="Q89" s="34"/>
      <c r="R89" s="34"/>
      <c r="S89" s="34"/>
      <c r="T89" s="34"/>
      <c r="U89" s="34"/>
    </row>
    <row r="90" spans="1:21" x14ac:dyDescent="0.2">
      <c r="A90" s="34"/>
      <c r="B90" s="34"/>
      <c r="C90" s="34"/>
      <c r="D90" s="34"/>
      <c r="E90" s="34"/>
      <c r="F90" s="34"/>
      <c r="G90" s="34"/>
      <c r="H90" s="34"/>
      <c r="I90" s="34"/>
      <c r="J90" s="34"/>
      <c r="K90" s="34"/>
      <c r="L90" s="34"/>
      <c r="M90" s="34"/>
      <c r="N90" s="34"/>
      <c r="O90" s="34"/>
      <c r="P90" s="34"/>
      <c r="Q90" s="34"/>
      <c r="R90" s="34"/>
      <c r="S90" s="34"/>
      <c r="T90" s="34"/>
      <c r="U90" s="34"/>
    </row>
    <row r="91" spans="1:21" x14ac:dyDescent="0.2">
      <c r="A91" s="34"/>
      <c r="B91" s="34"/>
      <c r="C91" s="34"/>
      <c r="D91" s="34"/>
      <c r="E91" s="34"/>
      <c r="F91" s="34"/>
      <c r="G91" s="34"/>
      <c r="H91" s="34"/>
      <c r="I91" s="34"/>
      <c r="J91" s="34"/>
      <c r="K91" s="34"/>
      <c r="L91" s="34"/>
      <c r="M91" s="34"/>
      <c r="N91" s="34"/>
      <c r="O91" s="34"/>
      <c r="P91" s="34"/>
      <c r="Q91" s="34"/>
      <c r="R91" s="34"/>
      <c r="S91" s="34"/>
      <c r="T91" s="34"/>
      <c r="U91" s="34"/>
    </row>
    <row r="92" spans="1:21" x14ac:dyDescent="0.2">
      <c r="A92" s="34"/>
      <c r="B92" s="34"/>
      <c r="C92" s="34"/>
      <c r="D92" s="34"/>
      <c r="E92" s="34"/>
      <c r="F92" s="34"/>
      <c r="G92" s="34"/>
      <c r="H92" s="34"/>
      <c r="I92" s="34"/>
      <c r="J92" s="34"/>
      <c r="K92" s="34"/>
      <c r="L92" s="34"/>
      <c r="M92" s="34"/>
      <c r="N92" s="34"/>
      <c r="O92" s="34"/>
      <c r="P92" s="34"/>
      <c r="Q92" s="34"/>
      <c r="R92" s="34"/>
      <c r="S92" s="34"/>
      <c r="T92" s="34"/>
      <c r="U92" s="34"/>
    </row>
    <row r="93" spans="1:21" x14ac:dyDescent="0.2">
      <c r="A93" s="34"/>
      <c r="B93" s="34"/>
      <c r="C93" s="34"/>
      <c r="D93" s="34"/>
      <c r="E93" s="34"/>
      <c r="F93" s="34"/>
      <c r="G93" s="34"/>
      <c r="H93" s="34"/>
      <c r="I93" s="34"/>
      <c r="J93" s="34"/>
      <c r="K93" s="34"/>
      <c r="L93" s="34"/>
      <c r="M93" s="34"/>
      <c r="N93" s="34"/>
      <c r="O93" s="34"/>
      <c r="P93" s="34"/>
      <c r="Q93" s="34"/>
      <c r="R93" s="34"/>
      <c r="S93" s="34"/>
      <c r="T93" s="34"/>
      <c r="U93" s="34"/>
    </row>
    <row r="94" spans="1:21" x14ac:dyDescent="0.2">
      <c r="A94" s="34"/>
      <c r="B94" s="34"/>
      <c r="C94" s="34"/>
      <c r="D94" s="34"/>
      <c r="E94" s="34"/>
      <c r="F94" s="34"/>
      <c r="G94" s="34"/>
      <c r="H94" s="34"/>
      <c r="I94" s="34"/>
      <c r="J94" s="34"/>
      <c r="K94" s="34"/>
      <c r="L94" s="34"/>
      <c r="M94" s="34"/>
      <c r="N94" s="34"/>
      <c r="O94" s="34"/>
      <c r="P94" s="34"/>
      <c r="Q94" s="34"/>
      <c r="R94" s="34"/>
      <c r="S94" s="34"/>
      <c r="T94" s="34"/>
      <c r="U94" s="34"/>
    </row>
    <row r="95" spans="1:21" x14ac:dyDescent="0.2">
      <c r="A95" s="34"/>
      <c r="B95" s="34"/>
      <c r="C95" s="34"/>
      <c r="D95" s="34"/>
      <c r="E95" s="34"/>
      <c r="F95" s="34"/>
      <c r="G95" s="34"/>
      <c r="H95" s="34"/>
      <c r="I95" s="34"/>
      <c r="J95" s="34"/>
      <c r="K95" s="34"/>
      <c r="L95" s="34"/>
      <c r="M95" s="34"/>
      <c r="N95" s="34"/>
      <c r="O95" s="34"/>
      <c r="P95" s="34"/>
      <c r="Q95" s="34"/>
      <c r="R95" s="34"/>
      <c r="S95" s="34"/>
      <c r="T95" s="34"/>
      <c r="U95" s="34"/>
    </row>
    <row r="96" spans="1:21" x14ac:dyDescent="0.2">
      <c r="A96" s="34"/>
      <c r="B96" s="34"/>
      <c r="C96" s="34"/>
      <c r="D96" s="34"/>
      <c r="E96" s="34"/>
      <c r="F96" s="34"/>
      <c r="G96" s="34"/>
      <c r="H96" s="34"/>
      <c r="I96" s="34"/>
      <c r="J96" s="34"/>
      <c r="K96" s="34"/>
      <c r="L96" s="34"/>
      <c r="M96" s="34"/>
      <c r="N96" s="34"/>
      <c r="O96" s="34"/>
      <c r="P96" s="34"/>
      <c r="Q96" s="34"/>
      <c r="R96" s="34"/>
      <c r="S96" s="34"/>
      <c r="T96" s="34"/>
      <c r="U96" s="34"/>
    </row>
    <row r="97" spans="1:21" x14ac:dyDescent="0.2">
      <c r="A97" s="34"/>
      <c r="B97" s="34"/>
      <c r="C97" s="34"/>
      <c r="D97" s="34"/>
      <c r="E97" s="34"/>
      <c r="F97" s="34"/>
      <c r="G97" s="34"/>
      <c r="H97" s="34"/>
      <c r="I97" s="34"/>
      <c r="J97" s="34"/>
      <c r="K97" s="34"/>
      <c r="L97" s="34"/>
      <c r="M97" s="34"/>
      <c r="N97" s="34"/>
      <c r="O97" s="34"/>
      <c r="P97" s="34"/>
      <c r="Q97" s="34"/>
      <c r="R97" s="34"/>
      <c r="S97" s="34"/>
      <c r="T97" s="34"/>
      <c r="U97" s="34"/>
    </row>
    <row r="98" spans="1:21" x14ac:dyDescent="0.2">
      <c r="A98" s="34"/>
      <c r="B98" s="34"/>
      <c r="C98" s="34"/>
      <c r="D98" s="34"/>
      <c r="E98" s="34"/>
      <c r="F98" s="34"/>
      <c r="G98" s="34"/>
      <c r="H98" s="34"/>
      <c r="I98" s="34"/>
      <c r="J98" s="34"/>
      <c r="K98" s="34"/>
      <c r="L98" s="34"/>
      <c r="M98" s="34"/>
      <c r="N98" s="34"/>
      <c r="O98" s="34"/>
      <c r="P98" s="34"/>
      <c r="Q98" s="34"/>
      <c r="R98" s="34"/>
      <c r="S98" s="34"/>
      <c r="T98" s="34"/>
      <c r="U98" s="34"/>
    </row>
    <row r="99" spans="1:21" x14ac:dyDescent="0.2">
      <c r="A99" s="34"/>
      <c r="B99" s="34"/>
      <c r="C99" s="34"/>
      <c r="D99" s="34"/>
      <c r="E99" s="34"/>
      <c r="F99" s="34"/>
      <c r="G99" s="34"/>
      <c r="H99" s="34"/>
      <c r="I99" s="34"/>
      <c r="J99" s="34"/>
      <c r="K99" s="34"/>
      <c r="L99" s="34"/>
      <c r="M99" s="34"/>
      <c r="N99" s="34"/>
      <c r="O99" s="34"/>
      <c r="P99" s="34"/>
      <c r="Q99" s="34"/>
      <c r="R99" s="34"/>
      <c r="S99" s="34"/>
      <c r="T99" s="34"/>
      <c r="U99" s="34"/>
    </row>
    <row r="100" spans="1:21" x14ac:dyDescent="0.2">
      <c r="A100" s="34"/>
      <c r="B100" s="34"/>
      <c r="C100" s="34"/>
      <c r="D100" s="34"/>
      <c r="E100" s="34"/>
      <c r="F100" s="34"/>
      <c r="G100" s="34"/>
      <c r="H100" s="34"/>
      <c r="I100" s="34"/>
      <c r="J100" s="34"/>
      <c r="K100" s="34"/>
      <c r="L100" s="34"/>
      <c r="M100" s="34"/>
      <c r="N100" s="34"/>
      <c r="O100" s="34"/>
      <c r="P100" s="34"/>
      <c r="Q100" s="34"/>
      <c r="R100" s="34"/>
      <c r="S100" s="34"/>
      <c r="T100" s="34"/>
      <c r="U100" s="34"/>
    </row>
    <row r="101" spans="1:21" x14ac:dyDescent="0.2">
      <c r="A101" s="34"/>
      <c r="B101" s="34"/>
      <c r="C101" s="34"/>
      <c r="D101" s="34"/>
      <c r="E101" s="34"/>
      <c r="F101" s="34"/>
      <c r="G101" s="34"/>
      <c r="H101" s="34"/>
      <c r="I101" s="34"/>
      <c r="J101" s="34"/>
      <c r="K101" s="34"/>
      <c r="L101" s="34"/>
      <c r="M101" s="34"/>
      <c r="N101" s="34"/>
      <c r="O101" s="34"/>
      <c r="P101" s="34"/>
      <c r="Q101" s="34"/>
      <c r="R101" s="34"/>
      <c r="S101" s="34"/>
      <c r="T101" s="34"/>
      <c r="U101" s="34"/>
    </row>
    <row r="102" spans="1:21" x14ac:dyDescent="0.2">
      <c r="A102" s="34"/>
      <c r="B102" s="34"/>
      <c r="C102" s="34"/>
      <c r="D102" s="34"/>
      <c r="E102" s="34"/>
      <c r="F102" s="34"/>
      <c r="G102" s="34"/>
      <c r="H102" s="34"/>
      <c r="I102" s="34"/>
      <c r="J102" s="34"/>
      <c r="K102" s="34"/>
      <c r="L102" s="34"/>
      <c r="M102" s="34"/>
      <c r="N102" s="34"/>
      <c r="O102" s="34"/>
      <c r="P102" s="34"/>
      <c r="Q102" s="34"/>
      <c r="R102" s="34"/>
      <c r="S102" s="34"/>
      <c r="T102" s="34"/>
      <c r="U102" s="34"/>
    </row>
    <row r="103" spans="1:21" x14ac:dyDescent="0.2">
      <c r="A103" s="34"/>
      <c r="B103" s="34"/>
      <c r="C103" s="34"/>
      <c r="D103" s="34"/>
      <c r="E103" s="34"/>
      <c r="F103" s="34"/>
      <c r="G103" s="34"/>
      <c r="H103" s="34"/>
      <c r="I103" s="34"/>
      <c r="J103" s="34"/>
      <c r="K103" s="34"/>
      <c r="L103" s="34"/>
      <c r="M103" s="34"/>
      <c r="N103" s="34"/>
      <c r="O103" s="34"/>
      <c r="P103" s="34"/>
      <c r="Q103" s="34"/>
      <c r="R103" s="34"/>
      <c r="S103" s="34"/>
      <c r="T103" s="34"/>
      <c r="U103" s="34"/>
    </row>
    <row r="104" spans="1:21" x14ac:dyDescent="0.2">
      <c r="A104" s="34"/>
      <c r="B104" s="34"/>
      <c r="C104" s="34"/>
      <c r="D104" s="34"/>
      <c r="E104" s="34"/>
      <c r="F104" s="34"/>
      <c r="G104" s="34"/>
      <c r="H104" s="34"/>
      <c r="I104" s="34"/>
      <c r="J104" s="34"/>
      <c r="K104" s="34"/>
      <c r="L104" s="34"/>
      <c r="M104" s="34"/>
      <c r="N104" s="34"/>
      <c r="O104" s="34"/>
      <c r="P104" s="34"/>
      <c r="Q104" s="34"/>
      <c r="R104" s="34"/>
      <c r="S104" s="34"/>
      <c r="T104" s="34"/>
      <c r="U104" s="34"/>
    </row>
    <row r="105" spans="1:21" x14ac:dyDescent="0.2">
      <c r="A105" s="34"/>
      <c r="B105" s="34"/>
      <c r="C105" s="34"/>
      <c r="D105" s="34"/>
      <c r="E105" s="34"/>
      <c r="F105" s="34"/>
      <c r="G105" s="34"/>
      <c r="H105" s="34"/>
      <c r="I105" s="34"/>
      <c r="J105" s="34"/>
      <c r="K105" s="34"/>
      <c r="L105" s="34"/>
      <c r="M105" s="34"/>
      <c r="N105" s="34"/>
      <c r="O105" s="34"/>
      <c r="P105" s="34"/>
      <c r="Q105" s="34"/>
      <c r="R105" s="34"/>
      <c r="S105" s="34"/>
      <c r="T105" s="34"/>
      <c r="U105" s="34"/>
    </row>
    <row r="106" spans="1:21" x14ac:dyDescent="0.2">
      <c r="A106" s="34"/>
      <c r="B106" s="34"/>
      <c r="C106" s="34"/>
      <c r="D106" s="34"/>
      <c r="E106" s="34"/>
      <c r="F106" s="34"/>
      <c r="G106" s="34"/>
      <c r="H106" s="34"/>
      <c r="I106" s="34"/>
      <c r="J106" s="34"/>
      <c r="K106" s="34"/>
      <c r="L106" s="34"/>
      <c r="M106" s="34"/>
      <c r="N106" s="34"/>
      <c r="O106" s="34"/>
      <c r="P106" s="34"/>
      <c r="Q106" s="34"/>
      <c r="R106" s="34"/>
      <c r="S106" s="34"/>
      <c r="T106" s="34"/>
      <c r="U106" s="34"/>
    </row>
    <row r="107" spans="1:21" x14ac:dyDescent="0.2">
      <c r="A107" s="34"/>
      <c r="B107" s="34"/>
      <c r="C107" s="34"/>
      <c r="D107" s="34"/>
      <c r="E107" s="34"/>
      <c r="F107" s="34"/>
      <c r="G107" s="34"/>
      <c r="H107" s="34"/>
      <c r="I107" s="34"/>
      <c r="J107" s="34"/>
      <c r="K107" s="34"/>
      <c r="L107" s="34"/>
      <c r="M107" s="34"/>
      <c r="N107" s="34"/>
      <c r="O107" s="34"/>
      <c r="P107" s="34"/>
      <c r="Q107" s="34"/>
      <c r="R107" s="34"/>
      <c r="S107" s="34"/>
      <c r="T107" s="34"/>
      <c r="U107" s="34"/>
    </row>
    <row r="108" spans="1:21" x14ac:dyDescent="0.2">
      <c r="A108" s="34"/>
      <c r="B108" s="34"/>
      <c r="C108" s="34"/>
      <c r="D108" s="34"/>
      <c r="E108" s="34"/>
      <c r="F108" s="34"/>
      <c r="G108" s="34"/>
      <c r="H108" s="34"/>
      <c r="I108" s="34"/>
      <c r="J108" s="34"/>
      <c r="K108" s="34"/>
      <c r="L108" s="34"/>
      <c r="M108" s="34"/>
      <c r="N108" s="34"/>
      <c r="O108" s="34"/>
      <c r="P108" s="34"/>
      <c r="Q108" s="34"/>
      <c r="R108" s="34"/>
      <c r="S108" s="34"/>
      <c r="T108" s="34"/>
      <c r="U108" s="34"/>
    </row>
    <row r="109" spans="1:21" x14ac:dyDescent="0.2">
      <c r="A109" s="34"/>
      <c r="B109" s="34"/>
      <c r="C109" s="34"/>
      <c r="D109" s="34"/>
      <c r="E109" s="34"/>
      <c r="F109" s="34"/>
      <c r="G109" s="34"/>
      <c r="H109" s="34"/>
      <c r="I109" s="34"/>
      <c r="J109" s="34"/>
      <c r="K109" s="34"/>
      <c r="L109" s="34"/>
      <c r="M109" s="34"/>
      <c r="N109" s="34"/>
      <c r="O109" s="34"/>
      <c r="P109" s="34"/>
      <c r="Q109" s="34"/>
      <c r="R109" s="34"/>
      <c r="S109" s="34"/>
      <c r="T109" s="34"/>
      <c r="U109" s="34"/>
    </row>
    <row r="110" spans="1:21" x14ac:dyDescent="0.2">
      <c r="A110" s="34"/>
      <c r="B110" s="34"/>
      <c r="C110" s="34"/>
      <c r="D110" s="34"/>
      <c r="E110" s="34"/>
      <c r="F110" s="34"/>
      <c r="G110" s="34"/>
      <c r="H110" s="34"/>
      <c r="I110" s="34"/>
      <c r="J110" s="34"/>
      <c r="K110" s="34"/>
      <c r="L110" s="34"/>
      <c r="M110" s="34"/>
      <c r="N110" s="34"/>
      <c r="O110" s="34"/>
      <c r="P110" s="34"/>
      <c r="Q110" s="34"/>
      <c r="R110" s="34"/>
      <c r="S110" s="34"/>
      <c r="T110" s="34"/>
      <c r="U110" s="34"/>
    </row>
    <row r="111" spans="1:21" x14ac:dyDescent="0.2">
      <c r="A111" s="34"/>
      <c r="B111" s="34"/>
      <c r="C111" s="34"/>
      <c r="D111" s="34"/>
      <c r="E111" s="34"/>
      <c r="F111" s="34"/>
      <c r="G111" s="34"/>
      <c r="H111" s="34"/>
      <c r="I111" s="34"/>
      <c r="J111" s="34"/>
      <c r="K111" s="34"/>
      <c r="L111" s="34"/>
      <c r="M111" s="34"/>
      <c r="N111" s="34"/>
      <c r="O111" s="34"/>
      <c r="P111" s="34"/>
      <c r="Q111" s="34"/>
      <c r="R111" s="34"/>
      <c r="S111" s="34"/>
      <c r="T111" s="34"/>
      <c r="U111" s="34"/>
    </row>
    <row r="112" spans="1:21" x14ac:dyDescent="0.2">
      <c r="A112" s="34"/>
      <c r="B112" s="34"/>
      <c r="C112" s="34"/>
      <c r="D112" s="34"/>
      <c r="E112" s="34"/>
      <c r="F112" s="34"/>
      <c r="G112" s="34"/>
      <c r="H112" s="34"/>
      <c r="I112" s="34"/>
      <c r="J112" s="34"/>
      <c r="K112" s="34"/>
      <c r="L112" s="34"/>
      <c r="M112" s="34"/>
      <c r="N112" s="34"/>
      <c r="O112" s="34"/>
      <c r="P112" s="34"/>
      <c r="Q112" s="34"/>
      <c r="R112" s="34"/>
      <c r="S112" s="34"/>
      <c r="T112" s="34"/>
      <c r="U112" s="34"/>
    </row>
    <row r="113" spans="1:21" x14ac:dyDescent="0.2">
      <c r="A113" s="34"/>
      <c r="B113" s="34"/>
      <c r="C113" s="34"/>
      <c r="D113" s="34"/>
      <c r="E113" s="34"/>
      <c r="F113" s="34"/>
      <c r="G113" s="34"/>
      <c r="H113" s="34"/>
      <c r="I113" s="34"/>
      <c r="J113" s="34"/>
      <c r="K113" s="34"/>
      <c r="L113" s="34"/>
      <c r="M113" s="34"/>
      <c r="N113" s="34"/>
      <c r="O113" s="34"/>
      <c r="P113" s="34"/>
      <c r="Q113" s="34"/>
      <c r="R113" s="34"/>
      <c r="S113" s="34"/>
      <c r="T113" s="34"/>
      <c r="U113" s="34"/>
    </row>
    <row r="114" spans="1:21" x14ac:dyDescent="0.2">
      <c r="A114" s="34"/>
      <c r="B114" s="34"/>
      <c r="C114" s="34"/>
      <c r="D114" s="34"/>
      <c r="E114" s="34"/>
      <c r="F114" s="34"/>
      <c r="G114" s="34"/>
      <c r="H114" s="34"/>
      <c r="I114" s="34"/>
      <c r="J114" s="34"/>
      <c r="K114" s="34"/>
      <c r="L114" s="34"/>
      <c r="M114" s="34"/>
      <c r="N114" s="34"/>
      <c r="O114" s="34"/>
      <c r="P114" s="34"/>
      <c r="Q114" s="34"/>
      <c r="R114" s="34"/>
      <c r="S114" s="34"/>
      <c r="T114" s="34"/>
      <c r="U114" s="34"/>
    </row>
    <row r="115" spans="1:21" x14ac:dyDescent="0.2">
      <c r="A115" s="34"/>
      <c r="B115" s="34"/>
      <c r="C115" s="34"/>
      <c r="D115" s="34"/>
      <c r="E115" s="34"/>
      <c r="F115" s="34"/>
      <c r="G115" s="34"/>
      <c r="H115" s="34"/>
      <c r="I115" s="34"/>
      <c r="J115" s="34"/>
      <c r="K115" s="34"/>
      <c r="L115" s="34"/>
      <c r="M115" s="34"/>
      <c r="N115" s="34"/>
      <c r="O115" s="34"/>
      <c r="P115" s="34"/>
      <c r="Q115" s="34"/>
      <c r="R115" s="34"/>
      <c r="S115" s="34"/>
      <c r="T115" s="34"/>
      <c r="U115" s="34"/>
    </row>
    <row r="116" spans="1:21" x14ac:dyDescent="0.2">
      <c r="A116" s="34"/>
      <c r="B116" s="34"/>
      <c r="C116" s="34"/>
      <c r="D116" s="34"/>
      <c r="E116" s="34"/>
      <c r="F116" s="34"/>
      <c r="G116" s="34"/>
      <c r="H116" s="34"/>
      <c r="I116" s="34"/>
      <c r="J116" s="34"/>
      <c r="K116" s="34"/>
      <c r="L116" s="34"/>
      <c r="M116" s="34"/>
      <c r="N116" s="34"/>
      <c r="O116" s="34"/>
      <c r="P116" s="34"/>
      <c r="Q116" s="34"/>
      <c r="R116" s="34"/>
      <c r="S116" s="34"/>
      <c r="T116" s="34"/>
      <c r="U116" s="34"/>
    </row>
    <row r="117" spans="1:21" x14ac:dyDescent="0.2">
      <c r="A117" s="34"/>
      <c r="B117" s="34"/>
      <c r="C117" s="34"/>
      <c r="D117" s="34"/>
      <c r="E117" s="34"/>
      <c r="F117" s="34"/>
      <c r="G117" s="34"/>
      <c r="H117" s="34"/>
      <c r="I117" s="34"/>
      <c r="J117" s="34"/>
      <c r="K117" s="34"/>
      <c r="L117" s="34"/>
      <c r="M117" s="34"/>
      <c r="N117" s="34"/>
      <c r="O117" s="34"/>
      <c r="P117" s="34"/>
      <c r="Q117" s="34"/>
      <c r="R117" s="34"/>
      <c r="S117" s="34"/>
      <c r="T117" s="34"/>
      <c r="U117" s="34"/>
    </row>
    <row r="118" spans="1:21" x14ac:dyDescent="0.2">
      <c r="A118" s="34"/>
      <c r="B118" s="34"/>
      <c r="C118" s="34"/>
      <c r="D118" s="34"/>
      <c r="E118" s="34"/>
      <c r="F118" s="34"/>
      <c r="G118" s="34"/>
      <c r="H118" s="34"/>
      <c r="I118" s="34"/>
      <c r="J118" s="34"/>
      <c r="K118" s="34"/>
      <c r="L118" s="34"/>
      <c r="M118" s="34"/>
      <c r="N118" s="34"/>
      <c r="O118" s="34"/>
      <c r="P118" s="34"/>
      <c r="Q118" s="34"/>
      <c r="R118" s="34"/>
      <c r="S118" s="34"/>
      <c r="T118" s="34"/>
      <c r="U118" s="34"/>
    </row>
    <row r="119" spans="1:21" x14ac:dyDescent="0.2">
      <c r="A119" s="34"/>
      <c r="B119" s="34"/>
      <c r="C119" s="34"/>
      <c r="D119" s="34"/>
      <c r="E119" s="34"/>
      <c r="F119" s="34"/>
      <c r="G119" s="34"/>
      <c r="H119" s="34"/>
      <c r="I119" s="34"/>
      <c r="J119" s="34"/>
      <c r="K119" s="34"/>
      <c r="L119" s="34"/>
      <c r="M119" s="34"/>
      <c r="N119" s="34"/>
      <c r="O119" s="34"/>
      <c r="P119" s="34"/>
      <c r="Q119" s="34"/>
      <c r="R119" s="34"/>
      <c r="S119" s="34"/>
      <c r="T119" s="34"/>
      <c r="U119" s="34"/>
    </row>
    <row r="120" spans="1:21" x14ac:dyDescent="0.2">
      <c r="A120" s="34"/>
      <c r="B120" s="34"/>
      <c r="C120" s="34"/>
      <c r="D120" s="34"/>
      <c r="E120" s="34"/>
      <c r="F120" s="34"/>
      <c r="G120" s="34"/>
      <c r="H120" s="34"/>
      <c r="I120" s="34"/>
      <c r="J120" s="34"/>
      <c r="K120" s="34"/>
      <c r="L120" s="34"/>
      <c r="M120" s="34"/>
      <c r="N120" s="34"/>
      <c r="O120" s="34"/>
      <c r="P120" s="34"/>
      <c r="Q120" s="34"/>
      <c r="R120" s="34"/>
      <c r="S120" s="34"/>
      <c r="T120" s="34"/>
      <c r="U120" s="34"/>
    </row>
    <row r="121" spans="1:21" x14ac:dyDescent="0.2">
      <c r="A121" s="34"/>
      <c r="B121" s="34"/>
      <c r="C121" s="34"/>
      <c r="D121" s="34"/>
      <c r="E121" s="34"/>
      <c r="F121" s="34"/>
      <c r="G121" s="34"/>
      <c r="H121" s="34"/>
      <c r="I121" s="34"/>
      <c r="J121" s="34"/>
      <c r="K121" s="34"/>
      <c r="L121" s="34"/>
      <c r="M121" s="34"/>
      <c r="N121" s="34"/>
      <c r="O121" s="34"/>
      <c r="P121" s="34"/>
      <c r="Q121" s="34"/>
      <c r="R121" s="34"/>
      <c r="S121" s="34"/>
      <c r="T121" s="34"/>
      <c r="U121" s="34"/>
    </row>
    <row r="122" spans="1:21" x14ac:dyDescent="0.2">
      <c r="A122" s="34"/>
      <c r="B122" s="34"/>
      <c r="C122" s="34"/>
      <c r="D122" s="34"/>
      <c r="E122" s="34"/>
      <c r="F122" s="34"/>
      <c r="G122" s="34"/>
      <c r="H122" s="34"/>
      <c r="I122" s="34"/>
      <c r="J122" s="34"/>
      <c r="K122" s="34"/>
      <c r="L122" s="34"/>
      <c r="M122" s="34"/>
      <c r="N122" s="34"/>
      <c r="O122" s="34"/>
      <c r="P122" s="34"/>
      <c r="Q122" s="34"/>
      <c r="R122" s="34"/>
      <c r="S122" s="34"/>
      <c r="T122" s="34"/>
      <c r="U122" s="34"/>
    </row>
    <row r="123" spans="1:21" x14ac:dyDescent="0.2">
      <c r="A123" s="34"/>
      <c r="B123" s="34"/>
      <c r="C123" s="34"/>
      <c r="D123" s="34"/>
      <c r="E123" s="34"/>
      <c r="F123" s="34"/>
      <c r="G123" s="34"/>
      <c r="H123" s="34"/>
      <c r="I123" s="34"/>
      <c r="J123" s="34"/>
      <c r="K123" s="34"/>
      <c r="L123" s="34"/>
      <c r="M123" s="34"/>
      <c r="N123" s="34"/>
      <c r="O123" s="34"/>
      <c r="P123" s="34"/>
      <c r="Q123" s="34"/>
      <c r="R123" s="34"/>
      <c r="S123" s="34"/>
      <c r="T123" s="34"/>
      <c r="U123" s="34"/>
    </row>
    <row r="124" spans="1:21" x14ac:dyDescent="0.2">
      <c r="A124" s="34"/>
      <c r="B124" s="34"/>
      <c r="C124" s="34"/>
      <c r="D124" s="34"/>
      <c r="E124" s="34"/>
      <c r="F124" s="34"/>
      <c r="G124" s="34"/>
      <c r="H124" s="34"/>
      <c r="I124" s="34"/>
      <c r="J124" s="34"/>
      <c r="K124" s="34"/>
      <c r="L124" s="34"/>
      <c r="M124" s="34"/>
      <c r="N124" s="34"/>
      <c r="O124" s="34"/>
      <c r="P124" s="34"/>
      <c r="Q124" s="34"/>
      <c r="R124" s="34"/>
      <c r="S124" s="34"/>
      <c r="T124" s="34"/>
      <c r="U124" s="34"/>
    </row>
    <row r="125" spans="1:21" x14ac:dyDescent="0.2">
      <c r="A125" s="34"/>
      <c r="B125" s="34"/>
      <c r="C125" s="34"/>
      <c r="D125" s="34"/>
      <c r="E125" s="34"/>
      <c r="F125" s="34"/>
      <c r="G125" s="34"/>
      <c r="H125" s="34"/>
      <c r="I125" s="34"/>
      <c r="J125" s="34"/>
      <c r="K125" s="34"/>
      <c r="L125" s="34"/>
      <c r="M125" s="34"/>
      <c r="N125" s="34"/>
      <c r="O125" s="34"/>
      <c r="P125" s="34"/>
      <c r="Q125" s="34"/>
      <c r="R125" s="34"/>
      <c r="S125" s="34"/>
      <c r="T125" s="34"/>
      <c r="U125" s="34"/>
    </row>
    <row r="126" spans="1:21" x14ac:dyDescent="0.2">
      <c r="A126" s="34"/>
      <c r="B126" s="34"/>
      <c r="C126" s="34"/>
      <c r="D126" s="34"/>
      <c r="E126" s="34"/>
      <c r="F126" s="34"/>
      <c r="G126" s="34"/>
      <c r="H126" s="34"/>
      <c r="I126" s="34"/>
      <c r="J126" s="34"/>
      <c r="K126" s="34"/>
      <c r="L126" s="34"/>
      <c r="M126" s="34"/>
      <c r="N126" s="34"/>
      <c r="O126" s="34"/>
      <c r="P126" s="34"/>
      <c r="Q126" s="34"/>
      <c r="R126" s="34"/>
      <c r="S126" s="34"/>
      <c r="T126" s="34"/>
      <c r="U126" s="34"/>
    </row>
    <row r="127" spans="1:21" x14ac:dyDescent="0.2">
      <c r="A127" s="34"/>
      <c r="B127" s="34"/>
      <c r="C127" s="34"/>
      <c r="D127" s="34"/>
      <c r="E127" s="34"/>
      <c r="F127" s="34"/>
      <c r="G127" s="34"/>
      <c r="H127" s="34"/>
      <c r="I127" s="34"/>
      <c r="J127" s="34"/>
      <c r="K127" s="34"/>
      <c r="L127" s="34"/>
      <c r="M127" s="34"/>
      <c r="N127" s="34"/>
      <c r="O127" s="34"/>
      <c r="P127" s="34"/>
      <c r="Q127" s="34"/>
      <c r="R127" s="34"/>
      <c r="S127" s="34"/>
      <c r="T127" s="34"/>
      <c r="U127" s="34"/>
    </row>
    <row r="128" spans="1:21" x14ac:dyDescent="0.2">
      <c r="A128" s="34"/>
      <c r="B128" s="34"/>
      <c r="C128" s="34"/>
      <c r="D128" s="34"/>
      <c r="E128" s="34"/>
      <c r="F128" s="34"/>
      <c r="G128" s="34"/>
      <c r="H128" s="34"/>
      <c r="I128" s="34"/>
      <c r="J128" s="34"/>
      <c r="K128" s="34"/>
      <c r="L128" s="34"/>
      <c r="M128" s="34"/>
      <c r="N128" s="34"/>
      <c r="O128" s="34"/>
      <c r="P128" s="34"/>
      <c r="Q128" s="34"/>
      <c r="R128" s="34"/>
      <c r="S128" s="34"/>
      <c r="T128" s="34"/>
      <c r="U128" s="34"/>
    </row>
    <row r="129" spans="1:21" x14ac:dyDescent="0.2">
      <c r="A129" s="34"/>
      <c r="B129" s="34"/>
      <c r="C129" s="34"/>
      <c r="D129" s="34"/>
      <c r="E129" s="34"/>
      <c r="F129" s="34"/>
      <c r="G129" s="34"/>
      <c r="H129" s="34"/>
      <c r="I129" s="34"/>
      <c r="J129" s="34"/>
      <c r="K129" s="34"/>
      <c r="L129" s="34"/>
      <c r="M129" s="34"/>
      <c r="N129" s="34"/>
      <c r="O129" s="34"/>
      <c r="P129" s="34"/>
      <c r="Q129" s="34"/>
      <c r="R129" s="34"/>
      <c r="S129" s="34"/>
      <c r="T129" s="34"/>
      <c r="U129" s="34"/>
    </row>
    <row r="130" spans="1:21" x14ac:dyDescent="0.2">
      <c r="A130" s="34"/>
      <c r="B130" s="34"/>
      <c r="C130" s="34"/>
      <c r="D130" s="34"/>
      <c r="E130" s="34"/>
      <c r="F130" s="34"/>
      <c r="G130" s="34"/>
      <c r="H130" s="34"/>
      <c r="I130" s="34"/>
      <c r="J130" s="34"/>
      <c r="K130" s="34"/>
      <c r="L130" s="34"/>
      <c r="M130" s="34"/>
      <c r="N130" s="34"/>
      <c r="O130" s="34"/>
      <c r="P130" s="34"/>
      <c r="Q130" s="34"/>
      <c r="R130" s="34"/>
      <c r="S130" s="34"/>
      <c r="T130" s="34"/>
      <c r="U130" s="34"/>
    </row>
    <row r="131" spans="1:21" x14ac:dyDescent="0.2">
      <c r="A131" s="34"/>
      <c r="B131" s="34"/>
      <c r="C131" s="34"/>
      <c r="D131" s="34"/>
      <c r="E131" s="34"/>
      <c r="F131" s="34"/>
      <c r="G131" s="34"/>
      <c r="H131" s="34"/>
      <c r="I131" s="34"/>
      <c r="J131" s="34"/>
      <c r="K131" s="34"/>
      <c r="L131" s="34"/>
      <c r="M131" s="34"/>
      <c r="N131" s="34"/>
      <c r="O131" s="34"/>
      <c r="P131" s="34"/>
      <c r="Q131" s="34"/>
      <c r="R131" s="34"/>
      <c r="S131" s="34"/>
      <c r="T131" s="34"/>
      <c r="U131" s="34"/>
    </row>
    <row r="132" spans="1:21" x14ac:dyDescent="0.2">
      <c r="A132" s="34"/>
      <c r="B132" s="34"/>
      <c r="C132" s="34"/>
      <c r="D132" s="34"/>
      <c r="E132" s="34"/>
      <c r="F132" s="34"/>
      <c r="G132" s="34"/>
      <c r="H132" s="34"/>
      <c r="I132" s="34"/>
      <c r="J132" s="34"/>
      <c r="K132" s="34"/>
      <c r="L132" s="34"/>
      <c r="M132" s="34"/>
      <c r="N132" s="34"/>
      <c r="O132" s="34"/>
      <c r="P132" s="34"/>
      <c r="Q132" s="34"/>
      <c r="R132" s="34"/>
      <c r="S132" s="34"/>
      <c r="T132" s="34"/>
      <c r="U132" s="34"/>
    </row>
    <row r="133" spans="1:21" x14ac:dyDescent="0.2">
      <c r="A133" s="34"/>
      <c r="B133" s="34"/>
      <c r="C133" s="34"/>
      <c r="D133" s="34"/>
      <c r="E133" s="34"/>
      <c r="F133" s="34"/>
      <c r="G133" s="34"/>
      <c r="H133" s="34"/>
      <c r="I133" s="34"/>
      <c r="J133" s="34"/>
      <c r="K133" s="34"/>
      <c r="L133" s="34"/>
      <c r="M133" s="34"/>
      <c r="N133" s="34"/>
      <c r="O133" s="34"/>
      <c r="P133" s="34"/>
      <c r="Q133" s="34"/>
      <c r="R133" s="34"/>
      <c r="S133" s="34"/>
      <c r="T133" s="34"/>
      <c r="U133" s="34"/>
    </row>
    <row r="134" spans="1:21" x14ac:dyDescent="0.2">
      <c r="A134" s="34"/>
      <c r="B134" s="34"/>
      <c r="C134" s="34"/>
      <c r="D134" s="34"/>
      <c r="E134" s="34"/>
      <c r="F134" s="34"/>
      <c r="G134" s="34"/>
      <c r="H134" s="34"/>
      <c r="I134" s="34"/>
      <c r="J134" s="34"/>
      <c r="K134" s="34"/>
      <c r="L134" s="34"/>
      <c r="M134" s="34"/>
      <c r="N134" s="34"/>
      <c r="O134" s="34"/>
      <c r="P134" s="34"/>
      <c r="Q134" s="34"/>
      <c r="R134" s="34"/>
      <c r="S134" s="34"/>
      <c r="T134" s="34"/>
      <c r="U134" s="34"/>
    </row>
    <row r="135" spans="1:21" x14ac:dyDescent="0.2">
      <c r="A135" s="34"/>
      <c r="B135" s="34"/>
      <c r="C135" s="34"/>
      <c r="D135" s="34"/>
      <c r="E135" s="34"/>
      <c r="F135" s="34"/>
      <c r="G135" s="34"/>
      <c r="H135" s="34"/>
      <c r="I135" s="34"/>
      <c r="J135" s="34"/>
      <c r="K135" s="34"/>
      <c r="L135" s="34"/>
      <c r="M135" s="34"/>
      <c r="N135" s="34"/>
      <c r="O135" s="34"/>
      <c r="P135" s="34"/>
      <c r="Q135" s="34"/>
      <c r="R135" s="34"/>
      <c r="S135" s="34"/>
      <c r="T135" s="34"/>
      <c r="U135" s="34"/>
    </row>
    <row r="136" spans="1:21" x14ac:dyDescent="0.2">
      <c r="A136" s="34"/>
      <c r="B136" s="34"/>
      <c r="C136" s="34"/>
      <c r="D136" s="34"/>
      <c r="E136" s="34"/>
      <c r="F136" s="34"/>
      <c r="G136" s="34"/>
      <c r="H136" s="34"/>
      <c r="I136" s="34"/>
      <c r="J136" s="34"/>
      <c r="K136" s="34"/>
      <c r="L136" s="34"/>
      <c r="M136" s="34"/>
      <c r="N136" s="34"/>
      <c r="O136" s="34"/>
      <c r="P136" s="34"/>
      <c r="Q136" s="34"/>
      <c r="R136" s="34"/>
      <c r="S136" s="34"/>
      <c r="T136" s="34"/>
      <c r="U136" s="34"/>
    </row>
    <row r="137" spans="1:21" x14ac:dyDescent="0.2">
      <c r="A137" s="34"/>
      <c r="B137" s="34"/>
      <c r="C137" s="34"/>
      <c r="D137" s="34"/>
      <c r="E137" s="34"/>
      <c r="F137" s="34"/>
      <c r="G137" s="34"/>
      <c r="H137" s="34"/>
      <c r="I137" s="34"/>
      <c r="J137" s="34"/>
      <c r="K137" s="34"/>
      <c r="L137" s="34"/>
      <c r="M137" s="34"/>
      <c r="N137" s="34"/>
      <c r="O137" s="34"/>
      <c r="P137" s="34"/>
      <c r="Q137" s="34"/>
      <c r="R137" s="34"/>
      <c r="S137" s="34"/>
      <c r="T137" s="34"/>
      <c r="U137" s="34"/>
    </row>
    <row r="138" spans="1:21" x14ac:dyDescent="0.2">
      <c r="A138" s="34"/>
      <c r="B138" s="34"/>
      <c r="C138" s="34"/>
      <c r="D138" s="34"/>
      <c r="E138" s="34"/>
      <c r="F138" s="34"/>
      <c r="G138" s="34"/>
      <c r="H138" s="34"/>
      <c r="I138" s="34"/>
      <c r="J138" s="34"/>
      <c r="K138" s="34"/>
      <c r="L138" s="34"/>
      <c r="M138" s="34"/>
      <c r="N138" s="34"/>
      <c r="O138" s="34"/>
      <c r="P138" s="34"/>
      <c r="Q138" s="34"/>
      <c r="R138" s="34"/>
      <c r="S138" s="34"/>
      <c r="T138" s="34"/>
      <c r="U138" s="34"/>
    </row>
    <row r="139" spans="1:21" x14ac:dyDescent="0.2">
      <c r="A139" s="34"/>
      <c r="B139" s="34"/>
      <c r="C139" s="34"/>
      <c r="D139" s="34"/>
      <c r="E139" s="34"/>
      <c r="F139" s="34"/>
      <c r="G139" s="34"/>
      <c r="H139" s="34"/>
      <c r="I139" s="34"/>
      <c r="J139" s="34"/>
      <c r="K139" s="34"/>
      <c r="L139" s="34"/>
      <c r="M139" s="34"/>
      <c r="N139" s="34"/>
      <c r="O139" s="34"/>
      <c r="P139" s="34"/>
      <c r="Q139" s="34"/>
      <c r="R139" s="34"/>
      <c r="S139" s="34"/>
      <c r="T139" s="34"/>
      <c r="U139" s="34"/>
    </row>
    <row r="140" spans="1:21" x14ac:dyDescent="0.2">
      <c r="A140" s="34"/>
      <c r="B140" s="34"/>
      <c r="C140" s="34"/>
      <c r="D140" s="34"/>
      <c r="E140" s="34"/>
      <c r="F140" s="34"/>
      <c r="G140" s="34"/>
      <c r="H140" s="34"/>
      <c r="I140" s="34"/>
      <c r="J140" s="34"/>
      <c r="K140" s="34"/>
      <c r="L140" s="34"/>
      <c r="M140" s="34"/>
      <c r="N140" s="34"/>
      <c r="O140" s="34"/>
      <c r="P140" s="34"/>
      <c r="Q140" s="34"/>
      <c r="R140" s="34"/>
      <c r="S140" s="34"/>
      <c r="T140" s="34"/>
      <c r="U140" s="34"/>
    </row>
    <row r="141" spans="1:21" x14ac:dyDescent="0.2">
      <c r="A141" s="34"/>
      <c r="B141" s="34"/>
      <c r="C141" s="34"/>
      <c r="D141" s="34"/>
      <c r="E141" s="34"/>
      <c r="F141" s="34"/>
      <c r="G141" s="34"/>
      <c r="H141" s="34"/>
      <c r="I141" s="34"/>
      <c r="J141" s="34"/>
      <c r="K141" s="34"/>
      <c r="L141" s="34"/>
      <c r="M141" s="34"/>
      <c r="N141" s="34"/>
      <c r="O141" s="34"/>
      <c r="P141" s="34"/>
      <c r="Q141" s="34"/>
      <c r="R141" s="34"/>
      <c r="S141" s="34"/>
      <c r="T141" s="34"/>
      <c r="U141" s="34"/>
    </row>
    <row r="142" spans="1:21" x14ac:dyDescent="0.2">
      <c r="A142" s="34"/>
      <c r="B142" s="34"/>
      <c r="C142" s="34"/>
      <c r="D142" s="34"/>
      <c r="E142" s="34"/>
      <c r="F142" s="34"/>
      <c r="G142" s="34"/>
      <c r="H142" s="34"/>
      <c r="I142" s="34"/>
      <c r="J142" s="34"/>
      <c r="K142" s="34"/>
      <c r="L142" s="34"/>
      <c r="M142" s="34"/>
      <c r="N142" s="34"/>
      <c r="O142" s="34"/>
      <c r="P142" s="34"/>
      <c r="Q142" s="34"/>
      <c r="R142" s="34"/>
      <c r="S142" s="34"/>
      <c r="T142" s="34"/>
      <c r="U142" s="34"/>
    </row>
    <row r="143" spans="1:21" x14ac:dyDescent="0.2">
      <c r="A143" s="34"/>
      <c r="B143" s="34"/>
      <c r="C143" s="34"/>
      <c r="D143" s="34"/>
      <c r="E143" s="34"/>
      <c r="F143" s="34"/>
      <c r="G143" s="34"/>
      <c r="H143" s="34"/>
      <c r="I143" s="34"/>
      <c r="J143" s="34"/>
      <c r="K143" s="34"/>
      <c r="L143" s="34"/>
      <c r="M143" s="34"/>
      <c r="N143" s="34"/>
      <c r="O143" s="34"/>
      <c r="P143" s="34"/>
      <c r="Q143" s="34"/>
      <c r="R143" s="34"/>
      <c r="S143" s="34"/>
      <c r="T143" s="34"/>
      <c r="U143" s="34"/>
    </row>
    <row r="144" spans="1:21" x14ac:dyDescent="0.2">
      <c r="A144" s="34"/>
      <c r="B144" s="34"/>
      <c r="C144" s="34"/>
      <c r="D144" s="34"/>
      <c r="E144" s="34"/>
      <c r="F144" s="34"/>
      <c r="G144" s="34"/>
      <c r="H144" s="34"/>
      <c r="I144" s="34"/>
      <c r="J144" s="34"/>
      <c r="K144" s="34"/>
      <c r="L144" s="34"/>
      <c r="M144" s="34"/>
      <c r="N144" s="34"/>
      <c r="O144" s="34"/>
      <c r="P144" s="34"/>
      <c r="Q144" s="34"/>
      <c r="R144" s="34"/>
      <c r="S144" s="34"/>
      <c r="T144" s="34"/>
      <c r="U144" s="34"/>
    </row>
    <row r="145" spans="1:21" x14ac:dyDescent="0.2">
      <c r="A145" s="34"/>
      <c r="B145" s="34"/>
      <c r="C145" s="34"/>
      <c r="D145" s="34"/>
      <c r="E145" s="34"/>
      <c r="F145" s="34"/>
      <c r="G145" s="34"/>
      <c r="H145" s="34"/>
      <c r="I145" s="34"/>
      <c r="J145" s="34"/>
      <c r="K145" s="34"/>
      <c r="L145" s="34"/>
      <c r="M145" s="34"/>
      <c r="N145" s="34"/>
      <c r="O145" s="34"/>
      <c r="P145" s="34"/>
      <c r="Q145" s="34"/>
      <c r="R145" s="34"/>
      <c r="S145" s="34"/>
      <c r="T145" s="34"/>
      <c r="U145" s="34"/>
    </row>
    <row r="146" spans="1:21" x14ac:dyDescent="0.2">
      <c r="A146" s="34"/>
      <c r="B146" s="34"/>
      <c r="C146" s="34"/>
      <c r="D146" s="34"/>
      <c r="E146" s="34"/>
      <c r="F146" s="34"/>
      <c r="G146" s="34"/>
      <c r="H146" s="34"/>
      <c r="I146" s="34"/>
      <c r="J146" s="34"/>
      <c r="K146" s="34"/>
      <c r="L146" s="34"/>
      <c r="M146" s="34"/>
      <c r="N146" s="34"/>
      <c r="O146" s="34"/>
      <c r="P146" s="34"/>
      <c r="Q146" s="34"/>
      <c r="R146" s="34"/>
      <c r="S146" s="34"/>
      <c r="T146" s="34"/>
      <c r="U146" s="34"/>
    </row>
    <row r="147" spans="1:21" x14ac:dyDescent="0.2">
      <c r="A147" s="34"/>
      <c r="B147" s="34"/>
      <c r="C147" s="34"/>
      <c r="D147" s="34"/>
      <c r="E147" s="34"/>
      <c r="F147" s="34"/>
      <c r="G147" s="34"/>
      <c r="H147" s="34"/>
      <c r="I147" s="34"/>
      <c r="J147" s="34"/>
      <c r="K147" s="34"/>
      <c r="L147" s="34"/>
      <c r="M147" s="34"/>
      <c r="N147" s="34"/>
      <c r="O147" s="34"/>
      <c r="P147" s="34"/>
      <c r="Q147" s="34"/>
      <c r="R147" s="34"/>
      <c r="S147" s="34"/>
      <c r="T147" s="34"/>
      <c r="U147" s="34"/>
    </row>
    <row r="148" spans="1:21" x14ac:dyDescent="0.2">
      <c r="A148" s="34"/>
      <c r="B148" s="34"/>
      <c r="C148" s="34"/>
      <c r="D148" s="34"/>
      <c r="E148" s="34"/>
      <c r="F148" s="34"/>
      <c r="G148" s="34"/>
      <c r="H148" s="34"/>
      <c r="I148" s="34"/>
      <c r="J148" s="34"/>
      <c r="K148" s="34"/>
      <c r="L148" s="34"/>
      <c r="M148" s="34"/>
      <c r="N148" s="34"/>
      <c r="O148" s="34"/>
      <c r="P148" s="34"/>
      <c r="Q148" s="34"/>
      <c r="R148" s="34"/>
      <c r="S148" s="34"/>
      <c r="T148" s="34"/>
      <c r="U148" s="34"/>
    </row>
    <row r="149" spans="1:21" x14ac:dyDescent="0.2">
      <c r="A149" s="34"/>
      <c r="B149" s="34"/>
      <c r="C149" s="34"/>
      <c r="D149" s="34"/>
      <c r="E149" s="34"/>
      <c r="F149" s="34"/>
      <c r="G149" s="34"/>
      <c r="H149" s="34"/>
      <c r="I149" s="34"/>
      <c r="J149" s="34"/>
      <c r="K149" s="34"/>
      <c r="L149" s="34"/>
      <c r="M149" s="34"/>
      <c r="N149" s="34"/>
      <c r="O149" s="34"/>
      <c r="P149" s="34"/>
      <c r="Q149" s="34"/>
      <c r="R149" s="34"/>
      <c r="S149" s="34"/>
      <c r="T149" s="34"/>
      <c r="U149" s="34"/>
    </row>
    <row r="150" spans="1:21" x14ac:dyDescent="0.2">
      <c r="A150" s="34"/>
      <c r="B150" s="34"/>
      <c r="C150" s="34"/>
      <c r="D150" s="34"/>
      <c r="E150" s="34"/>
      <c r="F150" s="34"/>
      <c r="G150" s="34"/>
      <c r="H150" s="34"/>
      <c r="I150" s="34"/>
      <c r="J150" s="34"/>
      <c r="K150" s="34"/>
      <c r="L150" s="34"/>
      <c r="M150" s="34"/>
      <c r="N150" s="34"/>
      <c r="O150" s="34"/>
      <c r="P150" s="34"/>
      <c r="Q150" s="34"/>
      <c r="R150" s="34"/>
      <c r="S150" s="34"/>
      <c r="T150" s="34"/>
      <c r="U150" s="34"/>
    </row>
    <row r="151" spans="1:21" x14ac:dyDescent="0.2">
      <c r="A151" s="34"/>
      <c r="B151" s="34"/>
      <c r="C151" s="34"/>
      <c r="D151" s="34"/>
      <c r="E151" s="34"/>
      <c r="F151" s="34"/>
      <c r="G151" s="34"/>
      <c r="H151" s="34"/>
      <c r="I151" s="34"/>
      <c r="J151" s="34"/>
      <c r="K151" s="34"/>
      <c r="L151" s="34"/>
      <c r="M151" s="34"/>
      <c r="N151" s="34"/>
      <c r="O151" s="34"/>
      <c r="P151" s="34"/>
      <c r="Q151" s="34"/>
      <c r="R151" s="34"/>
      <c r="S151" s="34"/>
      <c r="T151" s="34"/>
      <c r="U151" s="34"/>
    </row>
    <row r="152" spans="1:21" x14ac:dyDescent="0.2">
      <c r="A152" s="34"/>
      <c r="B152" s="34"/>
      <c r="C152" s="34"/>
      <c r="D152" s="34"/>
      <c r="E152" s="34"/>
      <c r="F152" s="34"/>
      <c r="G152" s="34"/>
      <c r="H152" s="34"/>
      <c r="I152" s="34"/>
      <c r="J152" s="34"/>
      <c r="K152" s="34"/>
      <c r="L152" s="34"/>
      <c r="M152" s="34"/>
      <c r="N152" s="34"/>
      <c r="O152" s="34"/>
      <c r="P152" s="34"/>
      <c r="Q152" s="34"/>
      <c r="R152" s="34"/>
      <c r="S152" s="34"/>
      <c r="T152" s="34"/>
      <c r="U152" s="34"/>
    </row>
    <row r="153" spans="1:21" x14ac:dyDescent="0.2">
      <c r="A153" s="34"/>
      <c r="B153" s="34"/>
      <c r="C153" s="34"/>
      <c r="D153" s="34"/>
      <c r="E153" s="34"/>
      <c r="F153" s="34"/>
      <c r="G153" s="34"/>
      <c r="H153" s="34"/>
      <c r="I153" s="34"/>
      <c r="J153" s="34"/>
      <c r="K153" s="34"/>
      <c r="L153" s="34"/>
      <c r="M153" s="34"/>
      <c r="N153" s="34"/>
      <c r="O153" s="34"/>
      <c r="P153" s="34"/>
      <c r="Q153" s="34"/>
      <c r="R153" s="34"/>
      <c r="S153" s="34"/>
      <c r="T153" s="34"/>
      <c r="U153" s="34"/>
    </row>
    <row r="154" spans="1:21" x14ac:dyDescent="0.2">
      <c r="A154" s="34"/>
      <c r="B154" s="34"/>
      <c r="C154" s="34"/>
      <c r="D154" s="34"/>
      <c r="E154" s="34"/>
      <c r="F154" s="34"/>
      <c r="G154" s="34"/>
      <c r="H154" s="34"/>
      <c r="I154" s="34"/>
      <c r="J154" s="34"/>
      <c r="K154" s="34"/>
      <c r="L154" s="34"/>
      <c r="M154" s="34"/>
      <c r="N154" s="34"/>
      <c r="O154" s="34"/>
      <c r="P154" s="34"/>
      <c r="Q154" s="34"/>
      <c r="R154" s="34"/>
      <c r="S154" s="34"/>
      <c r="T154" s="34"/>
      <c r="U154" s="34"/>
    </row>
    <row r="155" spans="1:21" x14ac:dyDescent="0.2">
      <c r="A155" s="34"/>
      <c r="B155" s="34"/>
      <c r="C155" s="34"/>
      <c r="D155" s="34"/>
      <c r="E155" s="34"/>
      <c r="F155" s="34"/>
      <c r="G155" s="34"/>
      <c r="H155" s="34"/>
      <c r="I155" s="34"/>
      <c r="J155" s="34"/>
      <c r="K155" s="34"/>
      <c r="L155" s="34"/>
      <c r="M155" s="34"/>
      <c r="N155" s="34"/>
      <c r="O155" s="34"/>
      <c r="P155" s="34"/>
      <c r="Q155" s="34"/>
      <c r="R155" s="34"/>
      <c r="S155" s="34"/>
      <c r="T155" s="34"/>
      <c r="U155" s="34"/>
    </row>
    <row r="156" spans="1:21" x14ac:dyDescent="0.2">
      <c r="A156" s="34"/>
      <c r="B156" s="34"/>
      <c r="C156" s="34"/>
      <c r="D156" s="34"/>
      <c r="E156" s="34"/>
      <c r="F156" s="34"/>
      <c r="G156" s="34"/>
      <c r="H156" s="34"/>
      <c r="I156" s="34"/>
      <c r="J156" s="34"/>
      <c r="K156" s="34"/>
      <c r="L156" s="34"/>
      <c r="M156" s="34"/>
      <c r="N156" s="34"/>
      <c r="O156" s="34"/>
      <c r="P156" s="34"/>
      <c r="Q156" s="34"/>
      <c r="R156" s="34"/>
      <c r="S156" s="34"/>
      <c r="T156" s="34"/>
      <c r="U156" s="34"/>
    </row>
  </sheetData>
  <mergeCells count="24">
    <mergeCell ref="A16:Q16"/>
    <mergeCell ref="A1:Q1"/>
    <mergeCell ref="A5:Q6"/>
    <mergeCell ref="A7:Q7"/>
    <mergeCell ref="A8:Q8"/>
    <mergeCell ref="A10:Q10"/>
    <mergeCell ref="A11:Q11"/>
    <mergeCell ref="A13:Q13"/>
    <mergeCell ref="A15:Q15"/>
    <mergeCell ref="A3:Q3"/>
    <mergeCell ref="A12:Q12"/>
    <mergeCell ref="A14:Q14"/>
    <mergeCell ref="A32:Q32"/>
    <mergeCell ref="A18:Q18"/>
    <mergeCell ref="A20:Q20"/>
    <mergeCell ref="A21:Q21"/>
    <mergeCell ref="A23:Q23"/>
    <mergeCell ref="A22:Q22"/>
    <mergeCell ref="A24:Q24"/>
    <mergeCell ref="A26:Q26"/>
    <mergeCell ref="A28:Q28"/>
    <mergeCell ref="A29:Q29"/>
    <mergeCell ref="A30:Q30"/>
    <mergeCell ref="A31:Q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1C039-2E19-435C-A69B-D05E17092C84}">
  <dimension ref="A1:U27"/>
  <sheetViews>
    <sheetView workbookViewId="0">
      <selection activeCell="D20" sqref="D20"/>
    </sheetView>
  </sheetViews>
  <sheetFormatPr baseColWidth="10" defaultRowHeight="12.75" x14ac:dyDescent="0.2"/>
  <cols>
    <col min="1" max="1" width="55" bestFit="1" customWidth="1"/>
    <col min="11" max="11" width="33" customWidth="1"/>
    <col min="17" max="17" width="13" customWidth="1"/>
  </cols>
  <sheetData>
    <row r="1" spans="1:21" ht="80.25" customHeight="1" thickBot="1" x14ac:dyDescent="0.25">
      <c r="A1" s="111" t="s">
        <v>2160</v>
      </c>
      <c r="B1" s="112"/>
      <c r="C1" s="112"/>
      <c r="D1" s="112"/>
      <c r="E1" s="112"/>
      <c r="F1" s="112"/>
      <c r="G1" s="112"/>
      <c r="H1" s="112"/>
      <c r="I1" s="112"/>
      <c r="J1" s="112"/>
      <c r="K1" s="112"/>
      <c r="L1" s="112"/>
      <c r="M1" s="112"/>
      <c r="N1" s="112"/>
      <c r="O1" s="112"/>
      <c r="P1" s="112"/>
      <c r="Q1" s="113"/>
      <c r="R1" s="41"/>
      <c r="S1" s="34"/>
      <c r="T1" s="34"/>
      <c r="U1" s="34"/>
    </row>
    <row r="2" spans="1:21" x14ac:dyDescent="0.2">
      <c r="A2" s="36"/>
      <c r="B2" s="34"/>
      <c r="C2" s="34"/>
      <c r="D2" s="34"/>
      <c r="E2" s="34"/>
      <c r="F2" s="34"/>
      <c r="G2" s="34"/>
      <c r="H2" s="34"/>
      <c r="I2" s="34"/>
      <c r="J2" s="34"/>
      <c r="K2" s="34"/>
      <c r="L2" s="34"/>
      <c r="M2" s="34"/>
      <c r="N2" s="34"/>
      <c r="O2" s="34"/>
      <c r="P2" s="34"/>
      <c r="Q2" s="37"/>
      <c r="R2" s="34"/>
      <c r="S2" s="34"/>
      <c r="T2" s="34"/>
      <c r="U2" s="34"/>
    </row>
    <row r="3" spans="1:21" x14ac:dyDescent="0.2">
      <c r="A3" s="36"/>
      <c r="B3" s="34"/>
      <c r="C3" s="34"/>
      <c r="D3" s="34"/>
      <c r="E3" s="34"/>
      <c r="F3" s="34"/>
      <c r="G3" s="34"/>
      <c r="H3" s="34"/>
      <c r="I3" s="34"/>
      <c r="J3" s="34"/>
      <c r="K3" s="34"/>
      <c r="L3" s="34"/>
      <c r="M3" s="34"/>
      <c r="N3" s="34"/>
      <c r="O3" s="34"/>
      <c r="P3" s="34"/>
      <c r="Q3" s="37"/>
      <c r="R3" s="34"/>
      <c r="S3" s="34"/>
      <c r="T3" s="34"/>
      <c r="U3" s="34"/>
    </row>
    <row r="4" spans="1:21" x14ac:dyDescent="0.2">
      <c r="A4" s="96" t="s">
        <v>2161</v>
      </c>
      <c r="B4" s="97"/>
      <c r="C4" s="97"/>
      <c r="D4" s="97"/>
      <c r="E4" s="97"/>
      <c r="F4" s="97"/>
      <c r="G4" s="97"/>
      <c r="H4" s="97"/>
      <c r="I4" s="97"/>
      <c r="J4" s="97"/>
      <c r="K4" s="97"/>
      <c r="L4" s="97"/>
      <c r="M4" s="97"/>
      <c r="N4" s="97"/>
      <c r="O4" s="97"/>
      <c r="P4" s="97"/>
      <c r="Q4" s="98"/>
      <c r="R4" s="34"/>
      <c r="S4" s="34"/>
      <c r="T4" s="34"/>
      <c r="U4" s="34"/>
    </row>
    <row r="5" spans="1:21" ht="21.75" customHeight="1" x14ac:dyDescent="0.35">
      <c r="A5" s="96"/>
      <c r="B5" s="97"/>
      <c r="C5" s="97"/>
      <c r="D5" s="97"/>
      <c r="E5" s="97"/>
      <c r="F5" s="97"/>
      <c r="G5" s="97"/>
      <c r="H5" s="97"/>
      <c r="I5" s="97"/>
      <c r="J5" s="97"/>
      <c r="K5" s="97"/>
      <c r="L5" s="97"/>
      <c r="M5" s="97"/>
      <c r="N5" s="97"/>
      <c r="O5" s="97"/>
      <c r="P5" s="97"/>
      <c r="Q5" s="98"/>
      <c r="R5" s="40"/>
      <c r="S5" s="34"/>
      <c r="T5" s="34"/>
      <c r="U5" s="34"/>
    </row>
    <row r="6" spans="1:21" ht="69" customHeight="1" x14ac:dyDescent="0.2">
      <c r="A6" s="99" t="s">
        <v>2167</v>
      </c>
      <c r="B6" s="100"/>
      <c r="C6" s="100"/>
      <c r="D6" s="100"/>
      <c r="E6" s="100"/>
      <c r="F6" s="100"/>
      <c r="G6" s="100"/>
      <c r="H6" s="100"/>
      <c r="I6" s="100"/>
      <c r="J6" s="100"/>
      <c r="K6" s="100"/>
      <c r="L6" s="100"/>
      <c r="M6" s="100"/>
      <c r="N6" s="100"/>
      <c r="O6" s="100"/>
      <c r="P6" s="100"/>
      <c r="Q6" s="101"/>
      <c r="R6" s="39"/>
      <c r="S6" s="34"/>
      <c r="T6" s="34"/>
      <c r="U6" s="34"/>
    </row>
    <row r="7" spans="1:21" ht="40.5" customHeight="1" x14ac:dyDescent="0.2">
      <c r="A7" s="99" t="s">
        <v>2166</v>
      </c>
      <c r="B7" s="100"/>
      <c r="C7" s="100"/>
      <c r="D7" s="100"/>
      <c r="E7" s="100"/>
      <c r="F7" s="100"/>
      <c r="G7" s="100"/>
      <c r="H7" s="100"/>
      <c r="I7" s="100"/>
      <c r="J7" s="100"/>
      <c r="K7" s="100"/>
      <c r="L7" s="100"/>
      <c r="M7" s="100"/>
      <c r="N7" s="100"/>
      <c r="O7" s="100"/>
      <c r="P7" s="100"/>
      <c r="Q7" s="101"/>
      <c r="R7" s="39"/>
      <c r="S7" s="34"/>
      <c r="T7" s="34"/>
      <c r="U7" s="34"/>
    </row>
    <row r="8" spans="1:21" ht="27.75" customHeight="1" x14ac:dyDescent="0.2">
      <c r="A8" s="38"/>
      <c r="B8" s="35"/>
      <c r="C8" s="35"/>
      <c r="D8" s="35"/>
      <c r="E8" s="35"/>
      <c r="F8" s="35"/>
      <c r="G8" s="35"/>
      <c r="H8" s="35"/>
      <c r="I8" s="35"/>
      <c r="J8" s="35"/>
      <c r="K8" s="35"/>
      <c r="L8" s="34"/>
      <c r="M8" s="34"/>
      <c r="N8" s="34"/>
      <c r="O8" s="34"/>
      <c r="P8" s="34"/>
      <c r="Q8" s="37"/>
      <c r="R8" s="34"/>
      <c r="S8" s="34"/>
      <c r="T8" s="34"/>
      <c r="U8" s="34"/>
    </row>
    <row r="9" spans="1:21" ht="23.25" x14ac:dyDescent="0.35">
      <c r="A9" s="96" t="s">
        <v>2162</v>
      </c>
      <c r="B9" s="97"/>
      <c r="C9" s="97"/>
      <c r="D9" s="97"/>
      <c r="E9" s="97"/>
      <c r="F9" s="97"/>
      <c r="G9" s="97"/>
      <c r="H9" s="97"/>
      <c r="I9" s="97"/>
      <c r="J9" s="97"/>
      <c r="K9" s="97"/>
      <c r="L9" s="97"/>
      <c r="M9" s="97"/>
      <c r="N9" s="97"/>
      <c r="O9" s="97"/>
      <c r="P9" s="97"/>
      <c r="Q9" s="98"/>
      <c r="R9" s="40"/>
      <c r="S9" s="34"/>
      <c r="T9" s="34"/>
      <c r="U9" s="34"/>
    </row>
    <row r="10" spans="1:21" ht="54.75" customHeight="1" x14ac:dyDescent="0.2">
      <c r="A10" s="99" t="s">
        <v>2165</v>
      </c>
      <c r="B10" s="100"/>
      <c r="C10" s="100"/>
      <c r="D10" s="100"/>
      <c r="E10" s="100"/>
      <c r="F10" s="100"/>
      <c r="G10" s="100"/>
      <c r="H10" s="100"/>
      <c r="I10" s="100"/>
      <c r="J10" s="100"/>
      <c r="K10" s="100"/>
      <c r="L10" s="100"/>
      <c r="M10" s="100"/>
      <c r="N10" s="100"/>
      <c r="O10" s="100"/>
      <c r="P10" s="100"/>
      <c r="Q10" s="101"/>
      <c r="R10" s="34"/>
      <c r="S10" s="34"/>
      <c r="T10" s="34"/>
      <c r="U10" s="34"/>
    </row>
    <row r="11" spans="1:21" ht="7.5" customHeight="1" x14ac:dyDescent="0.2">
      <c r="A11" s="45"/>
      <c r="B11" s="46"/>
      <c r="C11" s="46"/>
      <c r="D11" s="46"/>
      <c r="E11" s="46"/>
      <c r="F11" s="46"/>
      <c r="G11" s="46"/>
      <c r="H11" s="46"/>
      <c r="I11" s="46"/>
      <c r="J11" s="46"/>
      <c r="K11" s="46"/>
      <c r="L11" s="46"/>
      <c r="M11" s="46"/>
      <c r="N11" s="46"/>
      <c r="O11" s="46"/>
      <c r="P11" s="46"/>
      <c r="Q11" s="47"/>
      <c r="R11" s="34"/>
      <c r="S11" s="34"/>
      <c r="T11" s="34"/>
      <c r="U11" s="34"/>
    </row>
    <row r="12" spans="1:21" ht="47.25" customHeight="1" x14ac:dyDescent="0.2">
      <c r="A12" s="99" t="s">
        <v>2163</v>
      </c>
      <c r="B12" s="100"/>
      <c r="C12" s="100"/>
      <c r="D12" s="100"/>
      <c r="E12" s="100"/>
      <c r="F12" s="100"/>
      <c r="G12" s="100"/>
      <c r="H12" s="100"/>
      <c r="I12" s="100"/>
      <c r="J12" s="100"/>
      <c r="K12" s="100"/>
      <c r="L12" s="100"/>
      <c r="M12" s="100"/>
      <c r="N12" s="100"/>
      <c r="O12" s="100"/>
      <c r="P12" s="100"/>
      <c r="Q12" s="101"/>
      <c r="R12" s="34"/>
      <c r="S12" s="34"/>
      <c r="T12" s="34"/>
      <c r="U12" s="34"/>
    </row>
    <row r="13" spans="1:21" x14ac:dyDescent="0.2">
      <c r="A13" s="45"/>
      <c r="B13" s="46"/>
      <c r="C13" s="46"/>
      <c r="D13" s="46"/>
      <c r="E13" s="46"/>
      <c r="F13" s="46"/>
      <c r="G13" s="46"/>
      <c r="H13" s="46"/>
      <c r="I13" s="46"/>
      <c r="J13" s="46"/>
      <c r="K13" s="46"/>
      <c r="L13" s="46"/>
      <c r="M13" s="46"/>
      <c r="N13" s="46"/>
      <c r="O13" s="46"/>
      <c r="P13" s="46"/>
      <c r="Q13" s="47"/>
      <c r="R13" s="34"/>
      <c r="S13" s="34"/>
      <c r="T13" s="34"/>
      <c r="U13" s="34"/>
    </row>
    <row r="14" spans="1:21" ht="46.5" customHeight="1" x14ac:dyDescent="0.2">
      <c r="A14" s="99" t="s">
        <v>2164</v>
      </c>
      <c r="B14" s="100"/>
      <c r="C14" s="100"/>
      <c r="D14" s="100"/>
      <c r="E14" s="100"/>
      <c r="F14" s="100"/>
      <c r="G14" s="100"/>
      <c r="H14" s="100"/>
      <c r="I14" s="100"/>
      <c r="J14" s="100"/>
      <c r="K14" s="100"/>
      <c r="L14" s="100"/>
      <c r="M14" s="100"/>
      <c r="N14" s="100"/>
      <c r="O14" s="100"/>
      <c r="P14" s="100"/>
      <c r="Q14" s="101"/>
      <c r="R14" s="34"/>
      <c r="S14" s="34"/>
      <c r="T14" s="34"/>
      <c r="U14" s="34"/>
    </row>
    <row r="15" spans="1:21" x14ac:dyDescent="0.2">
      <c r="A15" s="36"/>
      <c r="B15" s="34"/>
      <c r="C15" s="34"/>
      <c r="D15" s="34"/>
      <c r="E15" s="34"/>
      <c r="F15" s="34"/>
      <c r="G15" s="34"/>
      <c r="H15" s="34"/>
      <c r="I15" s="34"/>
      <c r="J15" s="34"/>
      <c r="K15" s="34"/>
      <c r="L15" s="34"/>
      <c r="M15" s="34"/>
      <c r="N15" s="34"/>
      <c r="O15" s="34"/>
      <c r="P15" s="34"/>
      <c r="Q15" s="37"/>
      <c r="R15" s="34"/>
      <c r="S15" s="34"/>
      <c r="T15" s="34"/>
      <c r="U15" s="34"/>
    </row>
    <row r="16" spans="1:21" x14ac:dyDescent="0.2">
      <c r="A16" s="36"/>
      <c r="B16" s="34"/>
      <c r="C16" s="34"/>
      <c r="D16" s="34"/>
      <c r="E16" s="34"/>
      <c r="F16" s="34"/>
      <c r="G16" s="34"/>
      <c r="H16" s="34"/>
      <c r="I16" s="34"/>
      <c r="J16" s="34"/>
      <c r="K16" s="34"/>
      <c r="L16" s="34"/>
      <c r="M16" s="34"/>
      <c r="N16" s="34"/>
      <c r="O16" s="34"/>
      <c r="P16" s="34"/>
      <c r="Q16" s="37"/>
      <c r="R16" s="34"/>
      <c r="S16" s="34"/>
      <c r="T16" s="34"/>
      <c r="U16" s="34"/>
    </row>
    <row r="17" spans="1:21" x14ac:dyDescent="0.2">
      <c r="A17" s="36"/>
      <c r="B17" s="34"/>
      <c r="C17" s="34"/>
      <c r="D17" s="34"/>
      <c r="E17" s="34"/>
      <c r="F17" s="34"/>
      <c r="G17" s="34"/>
      <c r="H17" s="34"/>
      <c r="I17" s="34"/>
      <c r="J17" s="34"/>
      <c r="K17" s="34"/>
      <c r="L17" s="34"/>
      <c r="M17" s="34"/>
      <c r="N17" s="34"/>
      <c r="O17" s="34"/>
      <c r="P17" s="34"/>
      <c r="Q17" s="37"/>
      <c r="R17" s="34"/>
      <c r="S17" s="34"/>
      <c r="T17" s="34"/>
      <c r="U17" s="34"/>
    </row>
    <row r="18" spans="1:21" x14ac:dyDescent="0.2">
      <c r="A18" s="36"/>
      <c r="B18" s="34"/>
      <c r="C18" s="34"/>
      <c r="D18" s="34"/>
      <c r="E18" s="34"/>
      <c r="F18" s="34"/>
      <c r="G18" s="34"/>
      <c r="H18" s="34"/>
      <c r="I18" s="34"/>
      <c r="J18" s="34"/>
      <c r="K18" s="34"/>
      <c r="L18" s="34"/>
      <c r="M18" s="34"/>
      <c r="N18" s="34"/>
      <c r="O18" s="34"/>
      <c r="P18" s="34"/>
      <c r="Q18" s="37"/>
      <c r="R18" s="34"/>
      <c r="S18" s="34"/>
      <c r="T18" s="34"/>
      <c r="U18" s="34"/>
    </row>
    <row r="19" spans="1:21" x14ac:dyDescent="0.2">
      <c r="A19" s="36"/>
      <c r="B19" s="34"/>
      <c r="C19" s="34"/>
      <c r="D19" s="34"/>
      <c r="E19" s="34"/>
      <c r="F19" s="34"/>
      <c r="G19" s="34"/>
      <c r="H19" s="34"/>
      <c r="I19" s="34"/>
      <c r="J19" s="34"/>
      <c r="K19" s="34"/>
      <c r="L19" s="34"/>
      <c r="M19" s="34"/>
      <c r="N19" s="34"/>
      <c r="O19" s="34"/>
      <c r="P19" s="34"/>
      <c r="Q19" s="37"/>
      <c r="R19" s="34"/>
      <c r="S19" s="34"/>
      <c r="T19" s="34"/>
      <c r="U19" s="34"/>
    </row>
    <row r="20" spans="1:21" ht="13.5" thickBot="1" x14ac:dyDescent="0.25">
      <c r="A20" s="42"/>
      <c r="B20" s="43"/>
      <c r="C20" s="43"/>
      <c r="D20" s="43"/>
      <c r="E20" s="43"/>
      <c r="F20" s="43"/>
      <c r="G20" s="43"/>
      <c r="H20" s="43"/>
      <c r="I20" s="43"/>
      <c r="J20" s="43"/>
      <c r="K20" s="43"/>
      <c r="L20" s="43"/>
      <c r="M20" s="43"/>
      <c r="N20" s="43"/>
      <c r="O20" s="43"/>
      <c r="P20" s="43"/>
      <c r="Q20" s="44"/>
      <c r="R20" s="34"/>
      <c r="S20" s="34"/>
      <c r="T20" s="34"/>
      <c r="U20" s="34"/>
    </row>
    <row r="21" spans="1:21" x14ac:dyDescent="0.2">
      <c r="A21" s="34"/>
      <c r="B21" s="34"/>
      <c r="C21" s="34"/>
      <c r="D21" s="34"/>
      <c r="E21" s="34"/>
      <c r="F21" s="34"/>
      <c r="G21" s="34"/>
      <c r="H21" s="34"/>
      <c r="I21" s="34"/>
      <c r="J21" s="34"/>
      <c r="K21" s="34"/>
      <c r="L21" s="34"/>
      <c r="M21" s="34"/>
      <c r="N21" s="34"/>
      <c r="O21" s="34"/>
      <c r="P21" s="34"/>
      <c r="Q21" s="34"/>
      <c r="R21" s="34"/>
      <c r="S21" s="34"/>
      <c r="T21" s="34"/>
      <c r="U21" s="34"/>
    </row>
    <row r="22" spans="1:21" x14ac:dyDescent="0.2">
      <c r="A22" s="34"/>
      <c r="B22" s="34"/>
      <c r="C22" s="34"/>
      <c r="D22" s="34"/>
      <c r="E22" s="34"/>
      <c r="F22" s="34"/>
      <c r="G22" s="34"/>
      <c r="H22" s="34"/>
      <c r="I22" s="34"/>
      <c r="J22" s="34"/>
      <c r="K22" s="34"/>
      <c r="L22" s="34"/>
      <c r="M22" s="34"/>
      <c r="N22" s="34"/>
      <c r="O22" s="34"/>
      <c r="P22" s="34"/>
      <c r="Q22" s="34"/>
      <c r="R22" s="34"/>
      <c r="S22" s="34"/>
      <c r="T22" s="34"/>
      <c r="U22" s="34"/>
    </row>
    <row r="23" spans="1:21" x14ac:dyDescent="0.2">
      <c r="A23" s="34"/>
      <c r="B23" s="34"/>
      <c r="C23" s="34"/>
      <c r="D23" s="34"/>
      <c r="E23" s="34"/>
      <c r="F23" s="34"/>
      <c r="G23" s="34"/>
      <c r="H23" s="34"/>
      <c r="I23" s="34"/>
      <c r="J23" s="34"/>
      <c r="K23" s="34"/>
      <c r="L23" s="34"/>
      <c r="M23" s="34"/>
      <c r="N23" s="34"/>
      <c r="O23" s="34"/>
      <c r="P23" s="34"/>
      <c r="Q23" s="34"/>
      <c r="R23" s="34"/>
      <c r="S23" s="34"/>
      <c r="T23" s="34"/>
      <c r="U23" s="34"/>
    </row>
    <row r="24" spans="1:21" x14ac:dyDescent="0.2">
      <c r="A24" s="34"/>
      <c r="B24" s="34"/>
      <c r="C24" s="34"/>
      <c r="D24" s="34"/>
      <c r="E24" s="34"/>
      <c r="F24" s="34"/>
      <c r="G24" s="34"/>
      <c r="H24" s="34"/>
      <c r="I24" s="34"/>
      <c r="J24" s="34"/>
      <c r="K24" s="34"/>
      <c r="L24" s="34"/>
      <c r="M24" s="34"/>
      <c r="N24" s="34"/>
      <c r="O24" s="34"/>
      <c r="P24" s="34"/>
      <c r="Q24" s="34"/>
      <c r="R24" s="34"/>
      <c r="S24" s="34"/>
      <c r="T24" s="34"/>
      <c r="U24" s="34"/>
    </row>
    <row r="25" spans="1:21" x14ac:dyDescent="0.2">
      <c r="A25" s="34"/>
      <c r="B25" s="34"/>
      <c r="C25" s="34"/>
      <c r="D25" s="34"/>
      <c r="E25" s="34"/>
      <c r="F25" s="34"/>
      <c r="G25" s="34"/>
      <c r="H25" s="34"/>
      <c r="I25" s="34"/>
      <c r="J25" s="34"/>
      <c r="K25" s="34"/>
      <c r="L25" s="34"/>
      <c r="M25" s="34"/>
      <c r="N25" s="34"/>
      <c r="O25" s="34"/>
      <c r="P25" s="34"/>
      <c r="Q25" s="34"/>
      <c r="R25" s="34"/>
      <c r="S25" s="34"/>
      <c r="T25" s="34"/>
      <c r="U25" s="34"/>
    </row>
    <row r="26" spans="1:21" x14ac:dyDescent="0.2">
      <c r="A26" s="34"/>
      <c r="B26" s="34"/>
      <c r="C26" s="34"/>
      <c r="D26" s="34"/>
      <c r="E26" s="34"/>
      <c r="F26" s="34"/>
      <c r="G26" s="34"/>
      <c r="H26" s="34"/>
      <c r="I26" s="34"/>
      <c r="J26" s="34"/>
      <c r="K26" s="34"/>
      <c r="L26" s="34"/>
      <c r="M26" s="34"/>
      <c r="N26" s="34"/>
      <c r="O26" s="34"/>
      <c r="P26" s="34"/>
      <c r="Q26" s="34"/>
      <c r="R26" s="34"/>
      <c r="S26" s="34"/>
      <c r="T26" s="34"/>
      <c r="U26" s="34"/>
    </row>
    <row r="27" spans="1:21" x14ac:dyDescent="0.2">
      <c r="L27" s="34"/>
      <c r="M27" s="34"/>
      <c r="N27" s="34"/>
      <c r="O27" s="34"/>
      <c r="P27" s="34"/>
      <c r="Q27" s="34"/>
      <c r="R27" s="34"/>
      <c r="S27" s="34"/>
      <c r="T27" s="34"/>
      <c r="U27" s="34"/>
    </row>
  </sheetData>
  <mergeCells count="8">
    <mergeCell ref="A1:Q1"/>
    <mergeCell ref="A10:Q10"/>
    <mergeCell ref="A12:Q12"/>
    <mergeCell ref="A14:Q14"/>
    <mergeCell ref="A7:Q7"/>
    <mergeCell ref="A9:Q9"/>
    <mergeCell ref="A6:Q6"/>
    <mergeCell ref="A4:Q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69241-0D07-4325-B64C-68640132C46C}">
  <dimension ref="A1:K46"/>
  <sheetViews>
    <sheetView topLeftCell="B4" zoomScaleNormal="100" workbookViewId="0">
      <selection activeCell="J22" sqref="J22:K22"/>
    </sheetView>
  </sheetViews>
  <sheetFormatPr baseColWidth="10" defaultRowHeight="12.75" x14ac:dyDescent="0.2"/>
  <cols>
    <col min="1" max="1" width="15.28515625" bestFit="1" customWidth="1"/>
    <col min="2" max="2" width="96.28515625" customWidth="1"/>
    <col min="3" max="3" width="7.28515625" customWidth="1"/>
    <col min="4" max="4" width="15.28515625" bestFit="1" customWidth="1"/>
    <col min="5" max="5" width="37.28515625" bestFit="1" customWidth="1"/>
    <col min="6" max="6" width="25.7109375" customWidth="1"/>
    <col min="7" max="7" width="24.140625" customWidth="1"/>
    <col min="8" max="8" width="19.7109375" customWidth="1"/>
    <col min="9" max="9" width="21.140625" bestFit="1" customWidth="1"/>
    <col min="10" max="10" width="29" customWidth="1"/>
    <col min="11" max="11" width="11.42578125" customWidth="1"/>
  </cols>
  <sheetData>
    <row r="1" spans="1:10" ht="35.25" thickBot="1" x14ac:dyDescent="0.5">
      <c r="A1" s="118" t="s">
        <v>140</v>
      </c>
      <c r="B1" s="119"/>
      <c r="D1" s="122" t="s">
        <v>124</v>
      </c>
      <c r="E1" s="123"/>
      <c r="F1" s="123"/>
      <c r="G1" s="123"/>
      <c r="H1" s="124"/>
      <c r="I1" s="78" t="s">
        <v>2207</v>
      </c>
      <c r="J1" s="78" t="s">
        <v>2227</v>
      </c>
    </row>
    <row r="2" spans="1:10" ht="41.25" thickBot="1" x14ac:dyDescent="0.35">
      <c r="A2" s="14" t="s">
        <v>123</v>
      </c>
      <c r="B2" s="73" t="s">
        <v>2146</v>
      </c>
      <c r="D2" s="50" t="s">
        <v>126</v>
      </c>
      <c r="E2" s="63" t="s">
        <v>2145</v>
      </c>
      <c r="F2" s="63" t="s">
        <v>2181</v>
      </c>
      <c r="G2" s="63" t="s">
        <v>2168</v>
      </c>
      <c r="H2" s="63" t="s">
        <v>2147</v>
      </c>
      <c r="I2" s="64" t="s">
        <v>2210</v>
      </c>
      <c r="J2" s="125" t="s">
        <v>2232</v>
      </c>
    </row>
    <row r="3" spans="1:10" ht="40.5" x14ac:dyDescent="0.3">
      <c r="A3" s="15" t="s">
        <v>124</v>
      </c>
      <c r="B3" s="74" t="s">
        <v>2180</v>
      </c>
      <c r="D3" s="48" t="s">
        <v>5</v>
      </c>
      <c r="E3" s="49">
        <f>COUNTIFS('Dataset - Casos covid 19'!I:I,"confirmado",'Dataset - Casos covid 19'!D:D,"Buenos Aires")</f>
        <v>511</v>
      </c>
      <c r="F3" s="49">
        <f>COUNTIFS('Dataset - Casos covid 19'!I:I,"descartado",'Dataset - Casos covid 19'!D:D,"Buenos Aires")</f>
        <v>156</v>
      </c>
      <c r="G3" s="49">
        <f>COUNTIFS('Dataset - Casos covid 19'!I:I,"sospechoso",'Dataset - Casos covid 19'!D:D,"Buenos Aires")</f>
        <v>15</v>
      </c>
      <c r="H3" s="65">
        <f>COUNTIFS('Dataset - Casos covid 19'!K:K,"si",'Dataset - Casos covid 19'!D:D,"Buenos Aires")</f>
        <v>76</v>
      </c>
      <c r="I3" s="68">
        <f>IF(H3=0,"No hay fallecidos",H3/E3)</f>
        <v>0.14872798434442269</v>
      </c>
      <c r="J3" s="126">
        <f>SUM(COUNTIFS('Dataset - Casos covid 19'!I:I,"descartado",'Dataset - Casos covid 19'!D:D,"Buenos Aires"),COUNTIFS('Dataset - Casos covid 19'!I:I,"sospechoso",'Dataset - Casos covid 19'!D:D,"Buenos Aires"))</f>
        <v>171</v>
      </c>
    </row>
    <row r="4" spans="1:10" ht="40.5" x14ac:dyDescent="0.3">
      <c r="A4" s="71" t="s">
        <v>125</v>
      </c>
      <c r="B4" s="75" t="s">
        <v>2150</v>
      </c>
      <c r="D4" s="18" t="s">
        <v>0</v>
      </c>
      <c r="E4" s="19">
        <f>COUNTIFS('Dataset - Casos covid 19'!I:I,"confirmado",'Dataset - Casos covid 19'!D:D,"CABA")</f>
        <v>1099</v>
      </c>
      <c r="F4" s="19">
        <f>COUNTIFS('Dataset - Casos covid 19'!I:I,"descartado",'Dataset - Casos covid 19'!D:D,"CABA")</f>
        <v>185</v>
      </c>
      <c r="G4" s="19">
        <f>COUNTIFS('Dataset - Casos covid 19'!I:I,"sospechoso",'Dataset - Casos covid 19'!D:D,"CABA")</f>
        <v>7</v>
      </c>
      <c r="H4" s="66">
        <f>COUNTIFS('Dataset - Casos covid 19'!K:K,"si",'Dataset - Casos covid 19'!D:D,"CABA")</f>
        <v>240</v>
      </c>
      <c r="I4" s="69">
        <f t="shared" ref="I4:I5" si="0">IF(H4=0,"No hay fallecidos",H4/E4)</f>
        <v>0.2183803457688808</v>
      </c>
      <c r="J4" s="127">
        <f>SUM(COUNTIFS('Dataset - Casos covid 19'!I:I,"descartado",'Dataset - Casos covid 19'!D:D,"CABA"),COUNTIFS('Dataset - Casos covid 19'!I:I,"sospechoso",'Dataset - Casos covid 19'!D:D,"CABA"))</f>
        <v>192</v>
      </c>
    </row>
    <row r="5" spans="1:10" ht="40.5" x14ac:dyDescent="0.3">
      <c r="A5" s="71" t="s">
        <v>2202</v>
      </c>
      <c r="B5" s="75" t="s">
        <v>2209</v>
      </c>
      <c r="D5" s="18" t="s">
        <v>72</v>
      </c>
      <c r="E5" s="19">
        <f>COUNTIFS('Dataset - Casos covid 19'!I:I,"confirmado",'Dataset - Casos covid 19'!D:D,"Chaco")</f>
        <v>4</v>
      </c>
      <c r="F5" s="19">
        <f>COUNTIFS('Dataset - Casos covid 19'!I:I,"descartado",'Dataset - Casos covid 19'!D:D,"Chaco")</f>
        <v>1</v>
      </c>
      <c r="G5" s="19">
        <f>COUNTIFS('Dataset - Casos covid 19'!I:I,"sospechoso",'Dataset - Casos covid 19'!D:D,"Chaco")</f>
        <v>0</v>
      </c>
      <c r="H5" s="66">
        <f>COUNTIFS('Dataset - Casos covid 19'!K:K,"si",'Dataset - Casos covid 19'!D:D,"Chaco")</f>
        <v>0</v>
      </c>
      <c r="I5" s="69" t="str">
        <f t="shared" si="0"/>
        <v>No hay fallecidos</v>
      </c>
      <c r="J5" s="127">
        <f>SUM(COUNTIFS('Dataset - Casos covid 19'!I:I,"descartado",'Dataset - Casos covid 19'!D:D,"Chaco"),COUNTIFS('Dataset - Casos covid 19'!I:I,"sospechoso",'Dataset - Casos covid 19'!D:D,"Chaco"))</f>
        <v>1</v>
      </c>
    </row>
    <row r="6" spans="1:10" ht="20.25" x14ac:dyDescent="0.3">
      <c r="A6" s="71" t="s">
        <v>2207</v>
      </c>
      <c r="B6" s="75" t="s">
        <v>2203</v>
      </c>
      <c r="D6" s="18" t="s">
        <v>62</v>
      </c>
      <c r="E6" s="19">
        <f>COUNTIFS('Dataset - Casos covid 19'!I:I,"confirmado",'Dataset - Casos covid 19'!D:D,"Chubut")</f>
        <v>1</v>
      </c>
      <c r="F6" s="19">
        <f>COUNTIFS('Dataset - Casos covid 19'!I:I,"descartado",'Dataset - Casos covid 19'!D:D,"Chubut")</f>
        <v>1</v>
      </c>
      <c r="G6" s="19">
        <f>COUNTIFS('Dataset - Casos covid 19'!I:I,"sospechoso",'Dataset - Casos covid 19'!D:D,"Chubut")</f>
        <v>0</v>
      </c>
      <c r="H6" s="66">
        <f>COUNTIFS('Dataset - Casos covid 19'!K:K,"si",'Dataset - Casos covid 19'!D:D,"Chubut")</f>
        <v>0</v>
      </c>
      <c r="I6" s="69" t="str">
        <f>IF(H6=0,"No hay fallecidos",H6/E6)</f>
        <v>No hay fallecidos</v>
      </c>
      <c r="J6" s="127">
        <f>SUM(COUNTIFS('Dataset - Casos covid 19'!I:I,"descartado",'Dataset - Casos covid 19'!D:D,"Chubut"),COUNTIFS('Dataset - Casos covid 19'!I:I,"sospechoso",'Dataset - Casos covid 19'!D:D,"Chubut"))</f>
        <v>1</v>
      </c>
    </row>
    <row r="7" spans="1:10" ht="20.25" x14ac:dyDescent="0.3">
      <c r="A7" s="71" t="s">
        <v>2227</v>
      </c>
      <c r="B7" s="75" t="s">
        <v>2233</v>
      </c>
      <c r="D7" s="18" t="s">
        <v>49</v>
      </c>
      <c r="E7" s="19">
        <f>COUNTIFS('Dataset - Casos covid 19'!I:I,"confirmado",'Dataset - Casos covid 19'!D:D,"Córdoba")</f>
        <v>0</v>
      </c>
      <c r="F7" s="19">
        <f>COUNTIFS('Dataset - Casos covid 19'!I:I,"descartado",'Dataset - Casos covid 19'!D:D,"Córdoba")</f>
        <v>4</v>
      </c>
      <c r="G7" s="19">
        <f>COUNTIFS('Dataset - Casos covid 19'!I:I,"sospechoso",'Dataset - Casos covid 19'!D:D,"Córdoba")</f>
        <v>0</v>
      </c>
      <c r="H7" s="66">
        <f>COUNTIFS('Dataset - Casos covid 19'!K:K,"si",'Dataset - Casos covid 19'!D:D,"Córdoba")</f>
        <v>0</v>
      </c>
      <c r="I7" s="69" t="str">
        <f>IF(H7=0,"No hay fallecidos",H7/E7)</f>
        <v>No hay fallecidos</v>
      </c>
      <c r="J7" s="127">
        <f>SUM(COUNTIFS('Dataset - Casos covid 19'!I:I,"descartado",'Dataset - Casos covid 19'!D:D,"Cordoba"),COUNTIFS('Dataset - Casos covid 19'!I:I,"sospechoso",'Dataset - Casos covid 19'!D:D,"Cordoba"))</f>
        <v>0</v>
      </c>
    </row>
    <row r="8" spans="1:10" ht="21" thickBot="1" x14ac:dyDescent="0.35">
      <c r="A8" s="33" t="s">
        <v>2228</v>
      </c>
      <c r="B8" s="76" t="s">
        <v>2229</v>
      </c>
      <c r="D8" s="18" t="s">
        <v>63</v>
      </c>
      <c r="E8" s="19">
        <f>COUNTIFS('Dataset - Casos covid 19'!I:I,"confirmado",'Dataset - Casos covid 19'!D:D,"Corrientes")</f>
        <v>0</v>
      </c>
      <c r="F8" s="19">
        <f>COUNTIFS('Dataset - Casos covid 19'!I:I,"descartado",'Dataset - Casos covid 19'!D:D,"Corrientes")</f>
        <v>3</v>
      </c>
      <c r="G8" s="19">
        <f>COUNTIFS('Dataset - Casos covid 19'!I:I,"sospechoso",'Dataset - Casos covid 19'!D:D,"Corrientes")</f>
        <v>0</v>
      </c>
      <c r="H8" s="66">
        <f>COUNTIFS('Dataset - Casos covid 19'!K:K,"si",'Dataset - Casos covid 19'!D:D,"Corrientes")</f>
        <v>0</v>
      </c>
      <c r="I8" s="69" t="str">
        <f>IF(H8=0,"No hay fallecidos",H8/E8)</f>
        <v>No hay fallecidos</v>
      </c>
      <c r="J8" s="127">
        <f>SUM(COUNTIFS('Dataset - Casos covid 19'!I:I,"descartado",'Dataset - Casos covid 19'!D:D,"Corrientes"),COUNTIFS('Dataset - Casos covid 19'!I:I,"sospechoso",'Dataset - Casos covid 19'!D:D,"Corrientes"))</f>
        <v>3</v>
      </c>
    </row>
    <row r="9" spans="1:10" ht="17.25" thickBot="1" x14ac:dyDescent="0.3">
      <c r="D9" s="18" t="s">
        <v>66</v>
      </c>
      <c r="E9" s="19">
        <f>COUNTIFS('Dataset - Casos covid 19'!I:I,"confirmado",'Dataset - Casos covid 19'!D:D,"Formosa")</f>
        <v>0</v>
      </c>
      <c r="F9" s="19">
        <f>COUNTIFS('Dataset - Casos covid 19'!I:I,"descartado",'Dataset - Casos covid 19'!D:D,"Formosa")</f>
        <v>1</v>
      </c>
      <c r="G9" s="19">
        <f>COUNTIFS('Dataset - Casos covid 19'!I:I,"sospechoso",'Dataset - Casos covid 19'!D:D,"Formosa")</f>
        <v>0</v>
      </c>
      <c r="H9" s="66">
        <f>COUNTIFS('Dataset - Casos covid 19'!K:K,"si",'Dataset - Casos covid 19'!D:D,"Formosa")</f>
        <v>0</v>
      </c>
      <c r="I9" s="69" t="str">
        <f>IF(H9=0,"No hay fallecidos",H9/E9)</f>
        <v>No hay fallecidos</v>
      </c>
      <c r="J9" s="127">
        <f>SUM(COUNTIFS('Dataset - Casos covid 19'!I:I,"descartado",'Dataset - Casos covid 19'!D:D,"Formosa"),COUNTIFS('Dataset - Casos covid 19'!I:I,"sospechoso",'Dataset - Casos covid 19'!D:D,"Formosa"))</f>
        <v>1</v>
      </c>
    </row>
    <row r="10" spans="1:10" ht="16.5" customHeight="1" x14ac:dyDescent="0.25">
      <c r="A10" s="120" t="s">
        <v>2148</v>
      </c>
      <c r="B10" s="121"/>
      <c r="D10" s="18" t="s">
        <v>60</v>
      </c>
      <c r="E10" s="19">
        <f>COUNTIFS('Dataset - Casos covid 19'!I:I,"confirmado",'Dataset - Casos covid 19'!D:D,"Jujuy")</f>
        <v>0</v>
      </c>
      <c r="F10" s="19">
        <f>COUNTIFS('Dataset - Casos covid 19'!I:I,"descartado",'Dataset - Casos covid 19'!D:D,"Jujuy")</f>
        <v>2</v>
      </c>
      <c r="G10" s="19">
        <f>COUNTIFS('Dataset - Casos covid 19'!I:I,"sospechoso",'Dataset - Casos covid 19'!D:D,"Jujuy")</f>
        <v>0</v>
      </c>
      <c r="H10" s="66">
        <f>COUNTIFS('Dataset - Casos covid 19'!K:K,"si",'Dataset - Casos covid 19'!D:D,"Jujuy")</f>
        <v>0</v>
      </c>
      <c r="I10" s="69" t="str">
        <f>IF(H10=0,"No hay fallecidos",H10/E10)</f>
        <v>No hay fallecidos</v>
      </c>
      <c r="J10" s="127">
        <f>SUM(COUNTIFS('Dataset - Casos covid 19'!I:I,"descartado",'Dataset - Casos covid 19'!D:D,"Jujuy"),COUNTIFS('Dataset - Casos covid 19'!I:I,"sospechoso",'Dataset - Casos covid 19'!D:D,"Jujuy"))</f>
        <v>2</v>
      </c>
    </row>
    <row r="11" spans="1:10" ht="29.25" x14ac:dyDescent="0.25">
      <c r="A11" s="25" t="s">
        <v>123</v>
      </c>
      <c r="B11" s="77" t="s">
        <v>2155</v>
      </c>
      <c r="D11" s="18" t="s">
        <v>57</v>
      </c>
      <c r="E11" s="19">
        <f>COUNTIFS('Dataset - Casos covid 19'!I:I,"confirmado",'Dataset - Casos covid 19'!D:D,"La Rioja")</f>
        <v>2</v>
      </c>
      <c r="F11" s="19">
        <f>COUNTIFS('Dataset - Casos covid 19'!I:I,"descartado",'Dataset - Casos covid 19'!D:D,"La Rioja")</f>
        <v>0</v>
      </c>
      <c r="G11" s="19">
        <f>COUNTIFS('Dataset - Casos covid 19'!I:I,"sospechoso",'Dataset - Casos covid 19'!D:D,"La Rioja")</f>
        <v>0</v>
      </c>
      <c r="H11" s="66">
        <f>COUNTIFS('Dataset - Casos covid 19'!K:K,"si",'Dataset - Casos covid 19'!D:D,"La Rioja")</f>
        <v>1</v>
      </c>
      <c r="I11" s="69">
        <f>IF(H11=0,"No hay fallecidos",H11/E11)</f>
        <v>0.5</v>
      </c>
      <c r="J11" s="127">
        <f>SUM(COUNTIFS('Dataset - Casos covid 19'!I:I,"descartado",'Dataset - Casos covid 19'!D:D,"La Rioja"),COUNTIFS('Dataset - Casos covid 19'!I:I,"sospechoso",'Dataset - Casos covid 19'!D:D,"La Rioja"))</f>
        <v>0</v>
      </c>
    </row>
    <row r="12" spans="1:10" ht="16.5" x14ac:dyDescent="0.25">
      <c r="A12" s="25" t="s">
        <v>123</v>
      </c>
      <c r="B12" s="77" t="s">
        <v>2153</v>
      </c>
      <c r="D12" s="18" t="s">
        <v>64</v>
      </c>
      <c r="E12" s="19">
        <f>COUNTIFS('Dataset - Casos covid 19'!I:I,"confirmado",'Dataset - Casos covid 19'!D:D,"Mendoza")</f>
        <v>0</v>
      </c>
      <c r="F12" s="19">
        <f>COUNTIFS('Dataset - Casos covid 19'!I:I,"descartado",'Dataset - Casos covid 19'!D:D,"Mendoza")</f>
        <v>1</v>
      </c>
      <c r="G12" s="19">
        <f>COUNTIFS('Dataset - Casos covid 19'!I:I,"sospechoso",'Dataset - Casos covid 19'!D:D,"Mendoza")</f>
        <v>0</v>
      </c>
      <c r="H12" s="66">
        <f>COUNTIFS('Dataset - Casos covid 19'!K:K,"si",'Dataset - Casos covid 19'!D:D,"Mendoza")</f>
        <v>0</v>
      </c>
      <c r="I12" s="69" t="str">
        <f>IF(H12=0,"No hay fallecidos",H12/E12)</f>
        <v>No hay fallecidos</v>
      </c>
      <c r="J12" s="127">
        <f>SUM(COUNTIFS('Dataset - Casos covid 19'!I:I,"descartado",'Dataset - Casos covid 19'!D:D,"Mendoza"),COUNTIFS('Dataset - Casos covid 19'!I:I,"sospechoso",'Dataset - Casos covid 19'!D:D,"Mendoza"))</f>
        <v>1</v>
      </c>
    </row>
    <row r="13" spans="1:10" ht="16.5" x14ac:dyDescent="0.25">
      <c r="A13" s="25" t="s">
        <v>123</v>
      </c>
      <c r="B13" s="77" t="s">
        <v>2179</v>
      </c>
      <c r="D13" s="18" t="s">
        <v>59</v>
      </c>
      <c r="E13" s="19">
        <f>COUNTIFS('Dataset - Casos covid 19'!I:I,"confirmado",'Dataset - Casos covid 19'!D:D,"Misiones")</f>
        <v>0</v>
      </c>
      <c r="F13" s="19">
        <f>COUNTIFS('Dataset - Casos covid 19'!I:I,"descartado",'Dataset - Casos covid 19'!D:D,"Misiones")</f>
        <v>3</v>
      </c>
      <c r="G13" s="19">
        <f>COUNTIFS('Dataset - Casos covid 19'!I:I,"sospechoso",'Dataset - Casos covid 19'!D:D,"Misiones")</f>
        <v>0</v>
      </c>
      <c r="H13" s="66">
        <f>COUNTIFS('Dataset - Casos covid 19'!K:K,"si",'Dataset - Casos covid 19'!D:D,"Misiones")</f>
        <v>0</v>
      </c>
      <c r="I13" s="69" t="str">
        <f>IF(H13=0,"No hay fallecidos",H13/E13)</f>
        <v>No hay fallecidos</v>
      </c>
      <c r="J13" s="127">
        <f>SUM(COUNTIFS('Dataset - Casos covid 19'!I:I,"descartado",'Dataset - Casos covid 19'!D:D,"Misiones"),COUNTIFS('Dataset - Casos covid 19'!I:I,"sospechoso",'Dataset - Casos covid 19'!D:D,"Misiones"))</f>
        <v>3</v>
      </c>
    </row>
    <row r="14" spans="1:10" ht="16.5" x14ac:dyDescent="0.25">
      <c r="A14" s="25" t="s">
        <v>123</v>
      </c>
      <c r="B14" s="77" t="s">
        <v>2149</v>
      </c>
      <c r="D14" s="18" t="s">
        <v>71</v>
      </c>
      <c r="E14" s="19">
        <f>COUNTIFS('Dataset - Casos covid 19'!I:I,"confirmado",'Dataset - Casos covid 19'!D:D,"Río Negro")</f>
        <v>1</v>
      </c>
      <c r="F14" s="19">
        <f>COUNTIFS('Dataset - Casos covid 19'!I:I,"descartado",'Dataset - Casos covid 19'!D:D,"Río Negro")</f>
        <v>0</v>
      </c>
      <c r="G14" s="19">
        <f>COUNTIFS('Dataset - Casos covid 19'!I:I,"sospechoso",'Dataset - Casos covid 19'!D:D,"Río Negro")</f>
        <v>0</v>
      </c>
      <c r="H14" s="66">
        <f>COUNTIFS('Dataset - Casos covid 19'!K:K,"si",'Dataset - Casos covid 19'!D:D,"Río Negro")</f>
        <v>0</v>
      </c>
      <c r="I14" s="69" t="str">
        <f>IF(H14=0,"No hay fallecidos",H14/E14)</f>
        <v>No hay fallecidos</v>
      </c>
      <c r="J14" s="127">
        <f>SUM(COUNTIFS('Dataset - Casos covid 19'!I:I,"descartado",'Dataset - Casos covid 19'!D:D,"Rio Negro"),COUNTIFS('Dataset - Casos covid 19'!I:I,"sospechoso",'Dataset - Casos covid 19'!D:D,"Rio Negro"))</f>
        <v>0</v>
      </c>
    </row>
    <row r="15" spans="1:10" ht="16.5" x14ac:dyDescent="0.25">
      <c r="A15" s="25"/>
      <c r="B15" s="77"/>
      <c r="D15" s="18" t="s">
        <v>68</v>
      </c>
      <c r="E15" s="19">
        <f>COUNTIFS('Dataset - Casos covid 19'!I:I,"confirmado",'Dataset - Casos covid 19'!D:D,"Salta")</f>
        <v>0</v>
      </c>
      <c r="F15" s="19">
        <f>COUNTIFS('Dataset - Casos covid 19'!I:I,"descartado",'Dataset - Casos covid 19'!D:D,"Salta")</f>
        <v>2</v>
      </c>
      <c r="G15" s="19">
        <f>COUNTIFS('Dataset - Casos covid 19'!I:I,"sospechoso",'Dataset - Casos covid 19'!D:D,"Salta")</f>
        <v>0</v>
      </c>
      <c r="H15" s="66">
        <f>COUNTIFS('Dataset - Casos covid 19'!K:K,"si",'Dataset - Casos covid 19'!D:D,"Salta")</f>
        <v>0</v>
      </c>
      <c r="I15" s="69" t="str">
        <f>IF(H15=0,"No hay fallecidos",H15/E15)</f>
        <v>No hay fallecidos</v>
      </c>
      <c r="J15" s="127">
        <f>SUM(COUNTIFS('Dataset - Casos covid 19'!I:I,"descartado",'Dataset - Casos covid 19'!D:D,"Salta"),COUNTIFS('Dataset - Casos covid 19'!I:I,"sospechoso",'Dataset - Casos covid 19'!D:D,"Salta"))</f>
        <v>2</v>
      </c>
    </row>
    <row r="16" spans="1:10" ht="29.25" x14ac:dyDescent="0.25">
      <c r="A16" s="25" t="s">
        <v>124</v>
      </c>
      <c r="B16" s="77" t="s">
        <v>2154</v>
      </c>
      <c r="C16" s="16"/>
      <c r="D16" s="18" t="s">
        <v>70</v>
      </c>
      <c r="E16" s="19">
        <f>COUNTIFS('Dataset - Casos covid 19'!I:I,"confirmado",'Dataset - Casos covid 19'!D:D,"San Juan")</f>
        <v>1</v>
      </c>
      <c r="F16" s="19">
        <f>COUNTIFS('Dataset - Casos covid 19'!I:I,"descartado",'Dataset - Casos covid 19'!D:D,"San Juan")</f>
        <v>0</v>
      </c>
      <c r="G16" s="19">
        <f>COUNTIFS('Dataset - Casos covid 19'!I:I,"sospechoso",'Dataset - Casos covid 19'!D:D,"San Juan")</f>
        <v>0</v>
      </c>
      <c r="H16" s="66">
        <f>COUNTIFS('Dataset - Casos covid 19'!K:K,"si",'Dataset - Casos covid 19'!D:D,"San Juan")</f>
        <v>0</v>
      </c>
      <c r="I16" s="69" t="str">
        <f>IF(H16=0,"No hay fallecidos",H16/E16)</f>
        <v>No hay fallecidos</v>
      </c>
      <c r="J16" s="127">
        <f>SUM(COUNTIFS('Dataset - Casos covid 19'!I:I,"descartado",'Dataset - Casos covid 19'!D:D,"San Juan"),COUNTIFS('Dataset - Casos covid 19'!I:I,"sospechoso",'Dataset - Casos covid 19'!D:D,"San Juan"))</f>
        <v>0</v>
      </c>
    </row>
    <row r="17" spans="1:11" ht="29.25" x14ac:dyDescent="0.25">
      <c r="A17" s="25" t="s">
        <v>124</v>
      </c>
      <c r="B17" s="77" t="s">
        <v>2169</v>
      </c>
      <c r="D17" s="18" t="s">
        <v>65</v>
      </c>
      <c r="E17" s="19">
        <f>COUNTIFS('Dataset - Casos covid 19'!I:I,"confirmado",'Dataset - Casos covid 19'!D:D,"San Luis")</f>
        <v>1</v>
      </c>
      <c r="F17" s="19">
        <f>COUNTIFS('Dataset - Casos covid 19'!I:I,"descartado",'Dataset - Casos covid 19'!D:D,"San Luis")</f>
        <v>0</v>
      </c>
      <c r="G17" s="19">
        <f>COUNTIFS('Dataset - Casos covid 19'!I:I,"sospechoso",'Dataset - Casos covid 19'!D:D,"San Luis")</f>
        <v>0</v>
      </c>
      <c r="H17" s="66">
        <f>COUNTIFS('Dataset - Casos covid 19'!K:K,"si",'Dataset - Casos covid 19'!D:D,"San Luis")</f>
        <v>0</v>
      </c>
      <c r="I17" s="69" t="str">
        <f>IF(H17=0,"No hay fallecidos",H17/E17)</f>
        <v>No hay fallecidos</v>
      </c>
      <c r="J17" s="127">
        <f>SUM(COUNTIFS('Dataset - Casos covid 19'!I:I,"descartado",'Dataset - Casos covid 19'!D:D,"San Luis"),COUNTIFS('Dataset - Casos covid 19'!I:I,"sospechoso",'Dataset - Casos covid 19'!D:D,"San Luis"))</f>
        <v>0</v>
      </c>
    </row>
    <row r="18" spans="1:11" ht="30" thickBot="1" x14ac:dyDescent="0.3">
      <c r="A18" s="25" t="s">
        <v>124</v>
      </c>
      <c r="B18" s="77" t="s">
        <v>2182</v>
      </c>
      <c r="D18" s="20" t="s">
        <v>67</v>
      </c>
      <c r="E18" s="21">
        <f>COUNTIFS('Dataset - Casos covid 19'!I:I,"confirmado",'Dataset - Casos covid 19'!D:D,"Tucumán")</f>
        <v>1</v>
      </c>
      <c r="F18" s="21">
        <f>COUNTIFS('Dataset - Casos covid 19'!I:I,"descartado",'Dataset - Casos covid 19'!D:D,"Tucumán")</f>
        <v>1</v>
      </c>
      <c r="G18" s="21">
        <f>COUNTIFS('Dataset - Casos covid 19'!I:I,"sospechoso",'Dataset - Casos covid 19'!D:D,"Tucumán")</f>
        <v>0</v>
      </c>
      <c r="H18" s="67">
        <f>COUNTIFS('Dataset - Casos covid 19'!K:K,"si",'Dataset - Casos covid 19'!D:D,"Tucumán")</f>
        <v>0</v>
      </c>
      <c r="I18" s="70" t="str">
        <f>IF(H18=0,"No hay fallecidos",H18/E18)</f>
        <v>No hay fallecidos</v>
      </c>
      <c r="J18" s="127">
        <f>SUM(COUNTIFS('Dataset - Casos covid 19'!I:I,"descartado",'Dataset - Casos covid 19'!D:D,"Tucumán"),COUNTIFS('Dataset - Casos covid 19'!I:I,"sospechoso",'Dataset - Casos covid 19'!D:D,"Tucumán"))</f>
        <v>1</v>
      </c>
    </row>
    <row r="19" spans="1:11" ht="15" x14ac:dyDescent="0.2">
      <c r="A19" s="25"/>
      <c r="B19" s="77"/>
    </row>
    <row r="20" spans="1:11" ht="15.75" thickBot="1" x14ac:dyDescent="0.25">
      <c r="A20" s="25" t="s">
        <v>125</v>
      </c>
      <c r="B20" s="77" t="s">
        <v>2151</v>
      </c>
    </row>
    <row r="21" spans="1:11" ht="15.75" x14ac:dyDescent="0.2">
      <c r="A21" s="25" t="s">
        <v>125</v>
      </c>
      <c r="B21" s="77" t="s">
        <v>2152</v>
      </c>
      <c r="D21" s="114" t="s">
        <v>2159</v>
      </c>
      <c r="E21" s="115"/>
      <c r="G21" s="114" t="s">
        <v>2156</v>
      </c>
      <c r="H21" s="115"/>
      <c r="J21" s="114" t="s">
        <v>2230</v>
      </c>
      <c r="K21" s="115"/>
    </row>
    <row r="22" spans="1:11" ht="16.5" thickBot="1" x14ac:dyDescent="0.3">
      <c r="A22" s="25"/>
      <c r="B22" s="77"/>
      <c r="D22" s="23" t="str">
        <f ca="1">_xlfn.XLOOKUP(E22,E3:E24,D3:D24,"",0,1)</f>
        <v>CABA</v>
      </c>
      <c r="E22" s="24">
        <f ca="1">MAX(E3:E24)</f>
        <v>1099</v>
      </c>
      <c r="G22" s="116">
        <f>SUM(H3:H24)</f>
        <v>317</v>
      </c>
      <c r="H22" s="117"/>
      <c r="J22" s="128">
        <f>SUM(COUNTIFS('Dataset - Casos covid 19'!K:K,"si",'Dataset - Casos covid 19'!D:D,"CABA"), COUNTIFS('Dataset - Casos covid 19'!K:K,"si",'Dataset - Casos covid 19'!D:D,"Buenos Aires"))</f>
        <v>316</v>
      </c>
      <c r="K22" s="129"/>
    </row>
    <row r="23" spans="1:11" ht="15.75" thickBot="1" x14ac:dyDescent="0.25">
      <c r="A23" s="25" t="s">
        <v>2207</v>
      </c>
      <c r="B23" s="77" t="s">
        <v>2211</v>
      </c>
    </row>
    <row r="24" spans="1:11" ht="16.5" thickBot="1" x14ac:dyDescent="0.25">
      <c r="A24" s="25"/>
      <c r="B24" s="26"/>
      <c r="J24" s="114" t="s">
        <v>2231</v>
      </c>
      <c r="K24" s="115"/>
    </row>
    <row r="25" spans="1:11" ht="16.5" thickBot="1" x14ac:dyDescent="0.3">
      <c r="A25" s="22"/>
      <c r="B25" s="27"/>
      <c r="D25" s="114" t="s">
        <v>2158</v>
      </c>
      <c r="E25" s="115"/>
      <c r="G25" s="114" t="s">
        <v>2157</v>
      </c>
      <c r="H25" s="115"/>
      <c r="J25" s="128">
        <f>SUM(COUNTIFS('Dataset - Casos covid 19'!K:K,"no",'Dataset - Casos covid 19'!D:D,"CABA"), COUNTIFS('Dataset - Casos covid 19'!K:K,"no",'Dataset - Casos covid 19'!D:D,"Buenos Aires"))</f>
        <v>1657</v>
      </c>
      <c r="K25" s="129"/>
    </row>
    <row r="26" spans="1:11" ht="16.5" thickBot="1" x14ac:dyDescent="0.25">
      <c r="D26" s="23" t="str">
        <f>_xlfn.XLOOKUP(E26,H3:H24,D3:D24,"",0,1)</f>
        <v>CABA</v>
      </c>
      <c r="E26" s="24">
        <f>MAX(H3:H24)</f>
        <v>240</v>
      </c>
      <c r="G26" s="116">
        <f ca="1">SUM(E3:E24)</f>
        <v>1621</v>
      </c>
      <c r="H26" s="117"/>
    </row>
    <row r="28" spans="1:11" ht="13.5" thickBot="1" x14ac:dyDescent="0.25"/>
    <row r="29" spans="1:11" ht="17.25" thickBot="1" x14ac:dyDescent="0.25">
      <c r="A29" s="16"/>
      <c r="D29" s="50" t="s">
        <v>2212</v>
      </c>
      <c r="E29" s="79" t="s">
        <v>2145</v>
      </c>
      <c r="F29" s="79" t="s">
        <v>2147</v>
      </c>
    </row>
    <row r="30" spans="1:11" ht="15" x14ac:dyDescent="0.2">
      <c r="D30" s="86">
        <v>43831</v>
      </c>
      <c r="E30" s="80">
        <f>COUNTIFS('Dataset - Casos covid 19'!B:B,"&gt;=01/01/2020",'Dataset - Casos covid 19'!B:B,"&lt;=31/01/2020",'Dataset - Casos covid 19'!I:I,"confirmado")</f>
        <v>0</v>
      </c>
      <c r="F30" s="85">
        <f>COUNTIFS('Dataset - Casos covid 19'!B:B,"&gt;=01/01/2020",'Dataset - Casos covid 19'!B:B,"&lt;=31/01/2020",'Dataset - Casos covid 19'!K:K,"si")</f>
        <v>0</v>
      </c>
    </row>
    <row r="31" spans="1:11" ht="15" x14ac:dyDescent="0.2">
      <c r="D31" s="87">
        <v>43862</v>
      </c>
      <c r="E31" s="81">
        <f>COUNTIFS('Dataset - Casos covid 19'!B:B,"&gt;=01/02/2020",'Dataset - Casos covid 19'!B:B,"&lt;=28/02/2020",'Dataset - Casos covid 19'!I:I,"confirmado")</f>
        <v>0</v>
      </c>
      <c r="F31" s="83">
        <f>COUNTIFS('Dataset - Casos covid 19'!B:B,"&gt;=01/02/2020",'Dataset - Casos covid 19'!B:B,"&lt;=28/02/2020",'Dataset - Casos covid 19'!K:K,"si")</f>
        <v>0</v>
      </c>
    </row>
    <row r="32" spans="1:11" ht="15" x14ac:dyDescent="0.2">
      <c r="D32" s="87">
        <v>43891</v>
      </c>
      <c r="E32" s="81">
        <f>COUNTIFS('Dataset - Casos covid 19'!B:B,"&gt;=01/03/2020",'Dataset - Casos covid 19'!B:B,"&lt;=31/03/2020",'Dataset - Casos covid 19'!I:I,"confirmado")</f>
        <v>2</v>
      </c>
      <c r="F32" s="83">
        <f>COUNTIFS('Dataset - Casos covid 19'!B:B,"&gt;=01/03/2020",'Dataset - Casos covid 19'!B:B,"&lt;=31/03/2020",'Dataset - Casos covid 19'!K:K,"si")</f>
        <v>2</v>
      </c>
    </row>
    <row r="33" spans="3:6" ht="15" x14ac:dyDescent="0.2">
      <c r="D33" s="87">
        <v>43922</v>
      </c>
      <c r="E33" s="81">
        <f>COUNTIFS('Dataset - Casos covid 19'!B:B,"&gt;=01/04/2020",'Dataset - Casos covid 19'!B:B,"&lt;=30/04/2020",'Dataset - Casos covid 19'!I:I,"confirmado")</f>
        <v>8</v>
      </c>
      <c r="F33" s="83">
        <f>COUNTIFS('Dataset - Casos covid 19'!B:B,"&gt;=01/04/2020",'Dataset - Casos covid 19'!B:B,"&lt;=30/04/2020",'Dataset - Casos covid 19'!K:K,"si")</f>
        <v>6</v>
      </c>
    </row>
    <row r="34" spans="3:6" ht="15" x14ac:dyDescent="0.2">
      <c r="D34" s="87">
        <v>43952</v>
      </c>
      <c r="E34" s="81">
        <f>COUNTIFS('Dataset - Casos covid 19'!B:B,"&gt;=01/05/2020",'Dataset - Casos covid 19'!B:B,"&lt;=31/05/2020",'Dataset - Casos covid 19'!I:I,"confirmado")</f>
        <v>21</v>
      </c>
      <c r="F34" s="83">
        <f>COUNTIFS('Dataset - Casos covid 19'!B:B,"&gt;=01/05/2020",'Dataset - Casos covid 19'!B:B,"&lt;=31/05/2020",'Dataset - Casos covid 19'!K:K,"si")</f>
        <v>11</v>
      </c>
    </row>
    <row r="35" spans="3:6" ht="15" x14ac:dyDescent="0.2">
      <c r="D35" s="87">
        <v>43983</v>
      </c>
      <c r="E35" s="81">
        <f>COUNTIFS('Dataset - Casos covid 19'!B:B,"&gt;=01/06/2020",'Dataset - Casos covid 19'!B:B,"&lt;=30/06/2020",'Dataset - Casos covid 19'!I:I,"confirmado")</f>
        <v>64</v>
      </c>
      <c r="F35" s="83">
        <f>COUNTIFS('Dataset - Casos covid 19'!B:B,"&gt;=01/06/2020",'Dataset - Casos covid 19'!B:B,"&lt;=30/06/2020",'Dataset - Casos covid 19'!K:K,"si")</f>
        <v>36</v>
      </c>
    </row>
    <row r="36" spans="3:6" ht="15" x14ac:dyDescent="0.2">
      <c r="D36" s="87">
        <v>44013</v>
      </c>
      <c r="E36" s="81">
        <f>COUNTIFS('Dataset - Casos covid 19'!B:B,"&gt;=01/07/2020",'Dataset - Casos covid 19'!B:B,"&lt;=31/07/2020",'Dataset - Casos covid 19'!I:I,"confirmado")</f>
        <v>442</v>
      </c>
      <c r="F36" s="83">
        <f>COUNTIFS('Dataset - Casos covid 19'!B:B,"&gt;=01/07/2020",'Dataset - Casos covid 19'!B:B,"&lt;=31/07/2020",'Dataset - Casos covid 19'!K:K,"si")</f>
        <v>78</v>
      </c>
    </row>
    <row r="37" spans="3:6" ht="15" x14ac:dyDescent="0.2">
      <c r="D37" s="87">
        <v>44044</v>
      </c>
      <c r="E37" s="81">
        <f>COUNTIFS('Dataset - Casos covid 19'!B:B,"&gt;=01/08/2020",'Dataset - Casos covid 19'!B:B,"&lt;=31/08/2020",'Dataset - Casos covid 19'!I:I,"confirmado")</f>
        <v>428</v>
      </c>
      <c r="F37" s="83">
        <f>COUNTIFS('Dataset - Casos covid 19'!B:B,"&gt;=01/08/2020",'Dataset - Casos covid 19'!B:B,"&lt;=31/08/2020",'Dataset - Casos covid 19'!K:K,"si")</f>
        <v>69</v>
      </c>
    </row>
    <row r="38" spans="3:6" ht="15" x14ac:dyDescent="0.2">
      <c r="D38" s="87">
        <v>44075</v>
      </c>
      <c r="E38" s="81">
        <f>COUNTIFS('Dataset - Casos covid 19'!B:B,"&gt;=01/9/2020",'Dataset - Casos covid 19'!B:B,"&lt;=30/9/2020",'Dataset - Casos covid 19'!I:I,"confirmado")</f>
        <v>489</v>
      </c>
      <c r="F38" s="83">
        <f>COUNTIFS('Dataset - Casos covid 19'!B:B,"&gt;=01/9/2020",'Dataset - Casos covid 19'!B:B,"&lt;=30/9/2020",'Dataset - Casos covid 19'!K:K,"si")</f>
        <v>50</v>
      </c>
    </row>
    <row r="39" spans="3:6" ht="20.25" x14ac:dyDescent="0.3">
      <c r="C39" s="17"/>
      <c r="D39" s="87">
        <v>44105</v>
      </c>
      <c r="E39" s="81">
        <f>COUNTIFS('Dataset - Casos covid 19'!B:B,"&gt;=01/10/2020",'Dataset - Casos covid 19'!B:B,"&lt;=31/10/2020",'Dataset - Casos covid 19'!I:I,"confirmado")</f>
        <v>69</v>
      </c>
      <c r="F39" s="83">
        <f>COUNTIFS('Dataset - Casos covid 19'!B:B,"&gt;=01/10/2020",'Dataset - Casos covid 19'!B:B,"&lt;=31/10/2020",'Dataset - Casos covid 19'!K:K,"si")</f>
        <v>28</v>
      </c>
    </row>
    <row r="40" spans="3:6" ht="15" x14ac:dyDescent="0.2">
      <c r="D40" s="87">
        <v>44136</v>
      </c>
      <c r="E40" s="81">
        <f>COUNTIFS('Dataset - Casos covid 19'!B:B,"&gt;=01/11/2020",'Dataset - Casos covid 19'!B:B,"&lt;=30/11/2020",'Dataset - Casos covid 19'!I:I,"confirmado")</f>
        <v>43</v>
      </c>
      <c r="F40" s="83">
        <f>COUNTIFS('Dataset - Casos covid 19'!B:B,"&gt;=01/11/2020",'Dataset - Casos covid 19'!B:B,"&lt;=30/11/2020",'Dataset - Casos covid 19'!K:K,"si")</f>
        <v>17</v>
      </c>
    </row>
    <row r="41" spans="3:6" ht="15" x14ac:dyDescent="0.2">
      <c r="D41" s="87">
        <v>44166</v>
      </c>
      <c r="E41" s="81">
        <f>COUNTIFS('Dataset - Casos covid 19'!B:B,"&gt;=01/12/2020",'Dataset - Casos covid 19'!B:B,"&lt;=31/12/2020",'Dataset - Casos covid 19'!I:I,"confirmado")</f>
        <v>47</v>
      </c>
      <c r="F41" s="83">
        <f>COUNTIFS('Dataset - Casos covid 19'!B:B,"&gt;=01/12/2020",'Dataset - Casos covid 19'!B:B,"&lt;=31/12/2020",'Dataset - Casos covid 19'!K:K,"si")</f>
        <v>18</v>
      </c>
    </row>
    <row r="42" spans="3:6" ht="15" x14ac:dyDescent="0.2">
      <c r="D42" s="87">
        <v>44197</v>
      </c>
      <c r="E42" s="81">
        <f>COUNTIFS('Dataset - Casos covid 19'!B:B,"&gt;=01/01/2021",'Dataset - Casos covid 19'!B:B,"&lt;=31/01/2021",'Dataset - Casos covid 19'!I:I,"confirmado")</f>
        <v>4</v>
      </c>
      <c r="F42" s="83">
        <f>COUNTIFS('Dataset - Casos covid 19'!B:B,"&gt;=01/01/2021",'Dataset - Casos covid 19'!B:B,"&lt;=31/01/2021",'Dataset - Casos covid 19'!K:K,"si")</f>
        <v>0</v>
      </c>
    </row>
    <row r="43" spans="3:6" ht="15" x14ac:dyDescent="0.2">
      <c r="D43" s="87">
        <v>44228</v>
      </c>
      <c r="E43" s="81">
        <f>COUNTIFS('Dataset - Casos covid 19'!B:B,"&gt;=01/02/2021",'Dataset - Casos covid 19'!B:B,"&lt;=28/02/2021",'Dataset - Casos covid 19'!I:I,"confirmado")</f>
        <v>0</v>
      </c>
      <c r="F43" s="83">
        <f>COUNTIFS('Dataset - Casos covid 19'!B:B,"&gt;=01/02/2021",'Dataset - Casos covid 19'!B:B,"&lt;=28/02/2021",'Dataset - Casos covid 19'!K:K,"si")</f>
        <v>0</v>
      </c>
    </row>
    <row r="44" spans="3:6" ht="15" x14ac:dyDescent="0.2">
      <c r="D44" s="87">
        <v>44256</v>
      </c>
      <c r="E44" s="81">
        <f>COUNTIFS('Dataset - Casos covid 19'!B:B,"&gt;=01/03/2021",'Dataset - Casos covid 19'!B:B,"&lt;=31/03/2021",'Dataset - Casos covid 19'!I:I,"confirmado")</f>
        <v>1</v>
      </c>
      <c r="F44" s="83">
        <f>COUNTIFS('Dataset - Casos covid 19'!B:B,"&gt;=01/03/2021",'Dataset - Casos covid 19'!B:B,"&lt;=31/03/2021",'Dataset - Casos covid 19'!K:K,"si")</f>
        <v>0</v>
      </c>
    </row>
    <row r="45" spans="3:6" ht="15" x14ac:dyDescent="0.2">
      <c r="D45" s="87">
        <v>44287</v>
      </c>
      <c r="E45" s="81">
        <f>COUNTIFS('Dataset - Casos covid 19'!B:B,"&gt;=01/04/2021",'Dataset - Casos covid 19'!B:B,"&lt;=30/04/2021",'Dataset - Casos covid 19'!I:I,"confirmado")</f>
        <v>2</v>
      </c>
      <c r="F45" s="83">
        <f>COUNTIFS('Dataset - Casos covid 19'!B:B,"&gt;=01/04/2021",'Dataset - Casos covid 19'!B:B,"&lt;=30/04/2021",'Dataset - Casos covid 19'!K:K,"si")</f>
        <v>1</v>
      </c>
    </row>
    <row r="46" spans="3:6" ht="15.75" thickBot="1" x14ac:dyDescent="0.25">
      <c r="D46" s="88">
        <v>44317</v>
      </c>
      <c r="E46" s="82">
        <f>COUNTIFS('Dataset - Casos covid 19'!B:B,"&gt;=01/05/2021",'Dataset - Casos covid 19'!B:B,"&lt;=31/05/2021",'Dataset - Casos covid 19'!I:I,"confirmado")</f>
        <v>1</v>
      </c>
      <c r="F46" s="84">
        <f>COUNTIFS('Dataset - Casos covid 19'!B:B,"&gt;=01/05/2021",'Dataset - Casos covid 19'!B:B,"&lt;=31/05/2021",'Dataset - Casos covid 19'!K:K,"si")</f>
        <v>1</v>
      </c>
    </row>
  </sheetData>
  <sortState xmlns:xlrd2="http://schemas.microsoft.com/office/spreadsheetml/2017/richdata2" ref="D3:G26">
    <sortCondition ref="D3:D26"/>
  </sortState>
  <mergeCells count="13">
    <mergeCell ref="J21:K21"/>
    <mergeCell ref="J22:K22"/>
    <mergeCell ref="J24:K24"/>
    <mergeCell ref="J25:K25"/>
    <mergeCell ref="G25:H25"/>
    <mergeCell ref="G26:H26"/>
    <mergeCell ref="A1:B1"/>
    <mergeCell ref="D21:E21"/>
    <mergeCell ref="D25:E25"/>
    <mergeCell ref="G21:H21"/>
    <mergeCell ref="G22:H22"/>
    <mergeCell ref="A10:B10"/>
    <mergeCell ref="D1:H1"/>
  </mergeCells>
  <phoneticPr fontId="20" type="noConversion"/>
  <conditionalFormatting sqref="F3:F18">
    <cfRule type="dataBar" priority="11">
      <dataBar>
        <cfvo type="min"/>
        <cfvo type="max"/>
        <color rgb="FF63C384"/>
      </dataBar>
      <extLst>
        <ext xmlns:x14="http://schemas.microsoft.com/office/spreadsheetml/2009/9/main" uri="{B025F937-C7B1-47D3-B67F-A62EFF666E3E}">
          <x14:id>{E18D48FD-F849-49B4-BCF0-50D4B6195C5C}</x14:id>
        </ext>
      </extLst>
    </cfRule>
  </conditionalFormatting>
  <conditionalFormatting sqref="G3:G18">
    <cfRule type="dataBar" priority="14">
      <dataBar>
        <cfvo type="min"/>
        <cfvo type="max"/>
        <color rgb="FFFFB628"/>
      </dataBar>
      <extLst>
        <ext xmlns:x14="http://schemas.microsoft.com/office/spreadsheetml/2009/9/main" uri="{B025F937-C7B1-47D3-B67F-A62EFF666E3E}">
          <x14:id>{9BD12339-33B5-4077-850B-D976A28DE371}</x14:id>
        </ext>
      </extLst>
    </cfRule>
  </conditionalFormatting>
  <conditionalFormatting sqref="H3:H18">
    <cfRule type="dataBar" priority="17">
      <dataBar>
        <cfvo type="min"/>
        <cfvo type="max"/>
        <color rgb="FFFF555A"/>
      </dataBar>
      <extLst>
        <ext xmlns:x14="http://schemas.microsoft.com/office/spreadsheetml/2009/9/main" uri="{B025F937-C7B1-47D3-B67F-A62EFF666E3E}">
          <x14:id>{BF69F84F-5C5E-4FB3-BC8C-05A98F7405F0}</x14:id>
        </ext>
      </extLst>
    </cfRule>
  </conditionalFormatting>
  <pageMargins left="0.7" right="0.7" top="0.75" bottom="0.75" header="0.3" footer="0.3"/>
  <pageSetup orientation="portrait" verticalDpi="0" r:id="rId1"/>
  <extLst>
    <ext xmlns:x14="http://schemas.microsoft.com/office/spreadsheetml/2009/9/main" uri="{78C0D931-6437-407d-A8EE-F0AAD7539E65}">
      <x14:conditionalFormattings>
        <x14:conditionalFormatting xmlns:xm="http://schemas.microsoft.com/office/excel/2006/main">
          <x14:cfRule type="dataBar" id="{E18D48FD-F849-49B4-BCF0-50D4B6195C5C}">
            <x14:dataBar minLength="0" maxLength="100" border="1" negativeBarBorderColorSameAsPositive="0">
              <x14:cfvo type="autoMin"/>
              <x14:cfvo type="autoMax"/>
              <x14:borderColor rgb="FF63C384"/>
              <x14:negativeFillColor rgb="FFFF0000"/>
              <x14:negativeBorderColor rgb="FFFF0000"/>
              <x14:axisColor rgb="FF000000"/>
            </x14:dataBar>
          </x14:cfRule>
          <xm:sqref>F3:F18</xm:sqref>
        </x14:conditionalFormatting>
        <x14:conditionalFormatting xmlns:xm="http://schemas.microsoft.com/office/excel/2006/main">
          <x14:cfRule type="dataBar" id="{9BD12339-33B5-4077-850B-D976A28DE371}">
            <x14:dataBar minLength="0" maxLength="100" border="1" negativeBarBorderColorSameAsPositive="0">
              <x14:cfvo type="autoMin"/>
              <x14:cfvo type="autoMax"/>
              <x14:borderColor rgb="FFFFB628"/>
              <x14:negativeFillColor rgb="FFFF0000"/>
              <x14:negativeBorderColor rgb="FFFF0000"/>
              <x14:axisColor rgb="FF000000"/>
            </x14:dataBar>
          </x14:cfRule>
          <xm:sqref>G3:G18</xm:sqref>
        </x14:conditionalFormatting>
        <x14:conditionalFormatting xmlns:xm="http://schemas.microsoft.com/office/excel/2006/main">
          <x14:cfRule type="dataBar" id="{BF69F84F-5C5E-4FB3-BC8C-05A98F7405F0}">
            <x14:dataBar minLength="0" maxLength="100" border="1" negativeBarBorderColorSameAsPositive="0">
              <x14:cfvo type="autoMin"/>
              <x14:cfvo type="autoMax"/>
              <x14:borderColor rgb="FFFF555A"/>
              <x14:negativeFillColor rgb="FFFF0000"/>
              <x14:negativeBorderColor rgb="FFFF0000"/>
              <x14:axisColor rgb="FF000000"/>
            </x14:dataBar>
          </x14:cfRule>
          <xm:sqref>H3:H18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004"/>
  <sheetViews>
    <sheetView zoomScaleNormal="100" workbookViewId="0"/>
  </sheetViews>
  <sheetFormatPr baseColWidth="10" defaultColWidth="12.5703125" defaultRowHeight="15.75" customHeight="1" x14ac:dyDescent="0.2"/>
  <cols>
    <col min="1" max="1" width="18" style="1" bestFit="1" customWidth="1"/>
    <col min="2" max="2" width="22" style="1" bestFit="1" customWidth="1"/>
    <col min="3" max="3" width="20.85546875" style="1" bestFit="1" customWidth="1"/>
    <col min="4" max="4" width="12.140625" style="1" bestFit="1" customWidth="1"/>
    <col min="5" max="5" width="25.42578125" style="1" bestFit="1" customWidth="1"/>
    <col min="6" max="6" width="10.85546875" style="1" bestFit="1" customWidth="1"/>
    <col min="7" max="7" width="10" style="1" bestFit="1" customWidth="1"/>
    <col min="8" max="8" width="7.85546875" style="1" bestFit="1" customWidth="1"/>
    <col min="9" max="9" width="14.85546875" style="1" bestFit="1" customWidth="1"/>
    <col min="10" max="10" width="24.42578125" style="1" customWidth="1"/>
    <col min="11" max="11" width="11.7109375" style="1" bestFit="1" customWidth="1"/>
    <col min="12" max="12" width="15.7109375" style="1" bestFit="1" customWidth="1"/>
    <col min="13" max="13" width="19.5703125" style="1" bestFit="1" customWidth="1"/>
  </cols>
  <sheetData>
    <row r="1" spans="1:13" ht="12.75" x14ac:dyDescent="0.2">
      <c r="A1" s="10" t="s">
        <v>127</v>
      </c>
      <c r="B1" s="10" t="s">
        <v>137</v>
      </c>
      <c r="C1" s="10" t="s">
        <v>138</v>
      </c>
      <c r="D1" s="10" t="s">
        <v>126</v>
      </c>
      <c r="E1" s="10" t="s">
        <v>128</v>
      </c>
      <c r="F1" s="10" t="s">
        <v>129</v>
      </c>
      <c r="G1" s="10" t="s">
        <v>130</v>
      </c>
      <c r="H1" s="10" t="s">
        <v>131</v>
      </c>
      <c r="I1" s="10" t="s">
        <v>132</v>
      </c>
      <c r="J1" s="10" t="s">
        <v>133</v>
      </c>
      <c r="K1" s="10" t="s">
        <v>134</v>
      </c>
      <c r="L1" s="10" t="s">
        <v>135</v>
      </c>
      <c r="M1" s="10" t="s">
        <v>136</v>
      </c>
    </row>
    <row r="2" spans="1:13" ht="12.75" x14ac:dyDescent="0.2">
      <c r="A2" s="3">
        <v>1723045</v>
      </c>
      <c r="B2" s="4">
        <v>44048</v>
      </c>
      <c r="C2" s="4">
        <v>44049</v>
      </c>
      <c r="D2" s="3" t="s">
        <v>0</v>
      </c>
      <c r="E2" s="3" t="s">
        <v>55</v>
      </c>
      <c r="F2" s="3">
        <v>15</v>
      </c>
      <c r="G2" s="3" t="s">
        <v>1</v>
      </c>
      <c r="H2" s="3">
        <v>60</v>
      </c>
      <c r="I2" s="3" t="s">
        <v>2</v>
      </c>
      <c r="J2" s="4">
        <v>44084</v>
      </c>
      <c r="K2" s="3" t="s">
        <v>3</v>
      </c>
      <c r="L2" s="4"/>
      <c r="M2" s="3" t="s">
        <v>4</v>
      </c>
    </row>
    <row r="3" spans="1:13" ht="12.75" x14ac:dyDescent="0.2">
      <c r="A3" s="1">
        <v>2399359</v>
      </c>
      <c r="B3" s="2">
        <v>44080</v>
      </c>
      <c r="C3" s="2">
        <v>44080</v>
      </c>
      <c r="D3" s="1" t="s">
        <v>5</v>
      </c>
      <c r="E3" s="1" t="s">
        <v>73</v>
      </c>
      <c r="G3" s="1" t="s">
        <v>6</v>
      </c>
      <c r="H3" s="1">
        <v>78</v>
      </c>
      <c r="I3" s="1" t="s">
        <v>2</v>
      </c>
      <c r="J3" s="2">
        <v>44087</v>
      </c>
      <c r="K3" s="1" t="s">
        <v>3</v>
      </c>
      <c r="L3" s="2"/>
      <c r="M3" s="1" t="s">
        <v>4</v>
      </c>
    </row>
    <row r="4" spans="1:13" ht="12.75" x14ac:dyDescent="0.2">
      <c r="A4" s="5">
        <v>1060680</v>
      </c>
      <c r="B4" s="6">
        <v>43993</v>
      </c>
      <c r="C4" s="6">
        <v>43993</v>
      </c>
      <c r="D4" s="5" t="s">
        <v>0</v>
      </c>
      <c r="E4" s="5" t="s">
        <v>7</v>
      </c>
      <c r="F4" s="5">
        <v>3</v>
      </c>
      <c r="G4" s="5" t="s">
        <v>6</v>
      </c>
      <c r="H4" s="5">
        <v>59</v>
      </c>
      <c r="I4" s="5" t="s">
        <v>2</v>
      </c>
      <c r="J4" s="6">
        <v>44050</v>
      </c>
      <c r="K4" s="5" t="s">
        <v>3</v>
      </c>
      <c r="L4" s="6"/>
      <c r="M4" s="5" t="s">
        <v>4</v>
      </c>
    </row>
    <row r="5" spans="1:13" ht="12.75" x14ac:dyDescent="0.2">
      <c r="A5" s="1">
        <v>2145842</v>
      </c>
      <c r="B5" s="2">
        <v>44069</v>
      </c>
      <c r="C5" s="2">
        <v>44070</v>
      </c>
      <c r="D5" s="1" t="s">
        <v>0</v>
      </c>
      <c r="E5" s="1" t="s">
        <v>25</v>
      </c>
      <c r="F5" s="1">
        <v>13</v>
      </c>
      <c r="G5" s="1" t="s">
        <v>6</v>
      </c>
      <c r="H5" s="1">
        <v>63</v>
      </c>
      <c r="I5" s="1" t="s">
        <v>2</v>
      </c>
      <c r="J5" s="2">
        <v>44086</v>
      </c>
      <c r="K5" s="1" t="s">
        <v>3</v>
      </c>
      <c r="L5" s="2"/>
      <c r="M5" s="1" t="s">
        <v>4</v>
      </c>
    </row>
    <row r="6" spans="1:13" ht="12.75" x14ac:dyDescent="0.2">
      <c r="A6" s="5">
        <v>1194644</v>
      </c>
      <c r="B6" s="6">
        <v>44022</v>
      </c>
      <c r="C6" s="6">
        <v>44022</v>
      </c>
      <c r="D6" s="5" t="s">
        <v>0</v>
      </c>
      <c r="E6" s="5" t="s">
        <v>8</v>
      </c>
      <c r="F6" s="5">
        <v>7</v>
      </c>
      <c r="G6" s="5" t="s">
        <v>6</v>
      </c>
      <c r="H6" s="5">
        <v>83</v>
      </c>
      <c r="I6" s="5" t="s">
        <v>2</v>
      </c>
      <c r="J6" s="6">
        <v>44024</v>
      </c>
      <c r="K6" s="5" t="s">
        <v>3</v>
      </c>
      <c r="L6" s="6"/>
      <c r="M6" s="5" t="s">
        <v>4</v>
      </c>
    </row>
    <row r="7" spans="1:13" ht="12.75" x14ac:dyDescent="0.2">
      <c r="A7" s="1">
        <v>1054863</v>
      </c>
      <c r="B7" s="2">
        <v>43992</v>
      </c>
      <c r="C7" s="2">
        <v>43993</v>
      </c>
      <c r="D7" s="1" t="s">
        <v>0</v>
      </c>
      <c r="E7" s="1" t="s">
        <v>8</v>
      </c>
      <c r="F7" s="1">
        <v>7</v>
      </c>
      <c r="G7" s="1" t="s">
        <v>1</v>
      </c>
      <c r="H7" s="1">
        <v>83</v>
      </c>
      <c r="I7" s="1" t="s">
        <v>2</v>
      </c>
      <c r="J7" s="2">
        <v>44000</v>
      </c>
      <c r="K7" s="1" t="s">
        <v>3</v>
      </c>
      <c r="L7" s="2"/>
      <c r="M7" s="1" t="s">
        <v>9</v>
      </c>
    </row>
    <row r="8" spans="1:13" ht="12.75" x14ac:dyDescent="0.2">
      <c r="A8" s="5">
        <v>2546740</v>
      </c>
      <c r="B8" s="6">
        <v>44085</v>
      </c>
      <c r="C8" s="6">
        <v>44086</v>
      </c>
      <c r="D8" s="5" t="s">
        <v>5</v>
      </c>
      <c r="E8" s="5" t="s">
        <v>74</v>
      </c>
      <c r="F8" s="5"/>
      <c r="G8" s="5" t="s">
        <v>6</v>
      </c>
      <c r="H8" s="5">
        <v>65</v>
      </c>
      <c r="I8" s="5" t="s">
        <v>2</v>
      </c>
      <c r="J8" s="6">
        <v>44095</v>
      </c>
      <c r="K8" s="5" t="s">
        <v>3</v>
      </c>
      <c r="L8" s="6"/>
      <c r="M8" s="5" t="s">
        <v>4</v>
      </c>
    </row>
    <row r="9" spans="1:13" ht="12.75" x14ac:dyDescent="0.2">
      <c r="A9" s="1">
        <v>1516977</v>
      </c>
      <c r="B9" s="2">
        <v>44036</v>
      </c>
      <c r="C9" s="2">
        <v>44036</v>
      </c>
      <c r="D9" s="1" t="s">
        <v>0</v>
      </c>
      <c r="E9" s="1" t="s">
        <v>10</v>
      </c>
      <c r="F9" s="1">
        <v>5</v>
      </c>
      <c r="G9" s="1" t="s">
        <v>1</v>
      </c>
      <c r="H9" s="1">
        <v>85</v>
      </c>
      <c r="I9" s="1" t="s">
        <v>2</v>
      </c>
      <c r="J9" s="2">
        <v>44037</v>
      </c>
      <c r="K9" s="1" t="s">
        <v>3</v>
      </c>
      <c r="L9" s="2"/>
      <c r="M9" s="1" t="s">
        <v>4</v>
      </c>
    </row>
    <row r="10" spans="1:13" ht="12.75" x14ac:dyDescent="0.2">
      <c r="A10" s="5">
        <v>2146461</v>
      </c>
      <c r="B10" s="6">
        <v>44078</v>
      </c>
      <c r="C10" s="6">
        <v>44083</v>
      </c>
      <c r="D10" s="5" t="s">
        <v>0</v>
      </c>
      <c r="E10" s="5" t="s">
        <v>11</v>
      </c>
      <c r="F10" s="5">
        <v>6</v>
      </c>
      <c r="G10" s="5" t="s">
        <v>1</v>
      </c>
      <c r="H10" s="5">
        <v>77</v>
      </c>
      <c r="I10" s="5" t="s">
        <v>2</v>
      </c>
      <c r="J10" s="6">
        <v>44092</v>
      </c>
      <c r="K10" s="5" t="s">
        <v>3</v>
      </c>
      <c r="L10" s="6"/>
      <c r="M10" s="5" t="s">
        <v>4</v>
      </c>
    </row>
    <row r="11" spans="1:13" ht="12.75" x14ac:dyDescent="0.2">
      <c r="A11" s="1">
        <v>1780895</v>
      </c>
      <c r="B11" s="2">
        <v>44052</v>
      </c>
      <c r="C11" s="2">
        <v>44053</v>
      </c>
      <c r="D11" s="1" t="s">
        <v>0</v>
      </c>
      <c r="E11" s="1" t="s">
        <v>12</v>
      </c>
      <c r="F11" s="1">
        <v>1</v>
      </c>
      <c r="G11" s="1" t="s">
        <v>6</v>
      </c>
      <c r="H11" s="1">
        <v>79</v>
      </c>
      <c r="I11" s="1" t="s">
        <v>2</v>
      </c>
      <c r="J11" s="2">
        <v>44109</v>
      </c>
      <c r="K11" s="1" t="s">
        <v>3</v>
      </c>
      <c r="L11" s="2"/>
      <c r="M11" s="1" t="s">
        <v>4</v>
      </c>
    </row>
    <row r="12" spans="1:13" ht="12.75" x14ac:dyDescent="0.2">
      <c r="A12" s="5">
        <v>1326323</v>
      </c>
      <c r="B12" s="6">
        <v>44023</v>
      </c>
      <c r="C12" s="6">
        <v>44023</v>
      </c>
      <c r="D12" s="5" t="s">
        <v>5</v>
      </c>
      <c r="E12" s="5" t="s">
        <v>75</v>
      </c>
      <c r="F12" s="5"/>
      <c r="G12" s="5" t="s">
        <v>6</v>
      </c>
      <c r="H12" s="5">
        <v>84</v>
      </c>
      <c r="I12" s="5" t="s">
        <v>2</v>
      </c>
      <c r="J12" s="6">
        <v>44032</v>
      </c>
      <c r="K12" s="5" t="s">
        <v>3</v>
      </c>
      <c r="L12" s="6"/>
      <c r="M12" s="5" t="s">
        <v>4</v>
      </c>
    </row>
    <row r="13" spans="1:13" ht="12.75" x14ac:dyDescent="0.2">
      <c r="A13" s="1">
        <v>1084184</v>
      </c>
      <c r="B13" s="2">
        <v>43997</v>
      </c>
      <c r="C13" s="2">
        <v>43997</v>
      </c>
      <c r="D13" s="1" t="s">
        <v>0</v>
      </c>
      <c r="E13" s="1" t="s">
        <v>13</v>
      </c>
      <c r="F13" s="1">
        <v>2</v>
      </c>
      <c r="G13" s="1" t="s">
        <v>1</v>
      </c>
      <c r="H13" s="1">
        <v>91</v>
      </c>
      <c r="I13" s="1" t="s">
        <v>2</v>
      </c>
      <c r="J13" s="2">
        <v>44000</v>
      </c>
      <c r="K13" s="1" t="s">
        <v>3</v>
      </c>
      <c r="L13" s="2"/>
      <c r="M13" s="1" t="s">
        <v>4</v>
      </c>
    </row>
    <row r="14" spans="1:13" ht="12.75" x14ac:dyDescent="0.2">
      <c r="A14" s="5">
        <v>2150392</v>
      </c>
      <c r="B14" s="6">
        <v>44063</v>
      </c>
      <c r="C14" s="6">
        <v>44063</v>
      </c>
      <c r="D14" s="5" t="s">
        <v>0</v>
      </c>
      <c r="E14" s="5" t="s">
        <v>14</v>
      </c>
      <c r="F14" s="5">
        <v>14</v>
      </c>
      <c r="G14" s="5" t="s">
        <v>6</v>
      </c>
      <c r="H14" s="5">
        <v>66</v>
      </c>
      <c r="I14" s="5" t="s">
        <v>2</v>
      </c>
      <c r="J14" s="6">
        <v>44096</v>
      </c>
      <c r="K14" s="5" t="s">
        <v>3</v>
      </c>
      <c r="L14" s="6"/>
      <c r="M14" s="5" t="s">
        <v>4</v>
      </c>
    </row>
    <row r="15" spans="1:13" ht="12.75" x14ac:dyDescent="0.2">
      <c r="A15" s="1">
        <v>4995210</v>
      </c>
      <c r="B15" s="2">
        <v>44146</v>
      </c>
      <c r="C15" s="2">
        <v>44147</v>
      </c>
      <c r="D15" s="1" t="s">
        <v>5</v>
      </c>
      <c r="E15" s="1" t="s">
        <v>76</v>
      </c>
      <c r="G15" s="1" t="s">
        <v>1</v>
      </c>
      <c r="H15" s="1">
        <v>64</v>
      </c>
      <c r="I15" s="1" t="s">
        <v>2</v>
      </c>
      <c r="J15" s="2">
        <v>44161</v>
      </c>
      <c r="K15" s="1" t="s">
        <v>3</v>
      </c>
      <c r="L15" s="2"/>
      <c r="M15" s="1" t="s">
        <v>4</v>
      </c>
    </row>
    <row r="16" spans="1:13" ht="12.75" x14ac:dyDescent="0.2">
      <c r="A16" s="5">
        <v>976322</v>
      </c>
      <c r="B16" s="6">
        <v>43961</v>
      </c>
      <c r="C16" s="6">
        <v>43961</v>
      </c>
      <c r="D16" s="5" t="s">
        <v>0</v>
      </c>
      <c r="E16" s="5" t="s">
        <v>11</v>
      </c>
      <c r="F16" s="5">
        <v>6</v>
      </c>
      <c r="G16" s="5" t="s">
        <v>1</v>
      </c>
      <c r="H16" s="5">
        <v>92</v>
      </c>
      <c r="I16" s="5" t="s">
        <v>15</v>
      </c>
      <c r="J16" s="6"/>
      <c r="K16" s="5" t="s">
        <v>121</v>
      </c>
      <c r="L16" s="6"/>
      <c r="M16" s="5"/>
    </row>
    <row r="17" spans="1:13" ht="12.75" x14ac:dyDescent="0.2">
      <c r="A17" s="1">
        <v>2800578</v>
      </c>
      <c r="B17" s="2">
        <v>44096</v>
      </c>
      <c r="C17" s="2">
        <v>44096</v>
      </c>
      <c r="D17" s="1" t="s">
        <v>5</v>
      </c>
      <c r="E17" s="1" t="s">
        <v>77</v>
      </c>
      <c r="G17" s="1" t="s">
        <v>6</v>
      </c>
      <c r="H17" s="1">
        <v>86</v>
      </c>
      <c r="I17" s="1" t="s">
        <v>2</v>
      </c>
      <c r="J17" s="2">
        <v>44110</v>
      </c>
      <c r="K17" s="1" t="s">
        <v>3</v>
      </c>
      <c r="L17" s="2"/>
      <c r="M17" s="1" t="s">
        <v>4</v>
      </c>
    </row>
    <row r="18" spans="1:13" ht="12.75" x14ac:dyDescent="0.2">
      <c r="A18" s="5">
        <v>3860158</v>
      </c>
      <c r="B18" s="6">
        <v>44160</v>
      </c>
      <c r="C18" s="6">
        <v>44161</v>
      </c>
      <c r="D18" s="5" t="s">
        <v>0</v>
      </c>
      <c r="E18" s="5" t="s">
        <v>16</v>
      </c>
      <c r="F18" s="5">
        <v>15</v>
      </c>
      <c r="G18" s="5" t="s">
        <v>1</v>
      </c>
      <c r="H18" s="5">
        <v>84</v>
      </c>
      <c r="I18" s="5" t="s">
        <v>2</v>
      </c>
      <c r="J18" s="6">
        <v>44175</v>
      </c>
      <c r="K18" s="5" t="s">
        <v>3</v>
      </c>
      <c r="L18" s="6"/>
      <c r="M18" s="5" t="s">
        <v>9</v>
      </c>
    </row>
    <row r="19" spans="1:13" ht="12.75" x14ac:dyDescent="0.2">
      <c r="A19" s="1">
        <v>1451243</v>
      </c>
      <c r="B19" s="2">
        <v>44032</v>
      </c>
      <c r="C19" s="2">
        <v>44033</v>
      </c>
      <c r="D19" s="1" t="s">
        <v>0</v>
      </c>
      <c r="E19" s="1" t="s">
        <v>13</v>
      </c>
      <c r="F19" s="1">
        <v>2</v>
      </c>
      <c r="G19" s="1" t="s">
        <v>6</v>
      </c>
      <c r="H19" s="1">
        <v>82</v>
      </c>
      <c r="I19" s="1" t="s">
        <v>2</v>
      </c>
      <c r="J19" s="2">
        <v>44037</v>
      </c>
      <c r="K19" s="1" t="s">
        <v>3</v>
      </c>
      <c r="L19" s="2"/>
      <c r="M19" s="1" t="s">
        <v>4</v>
      </c>
    </row>
    <row r="20" spans="1:13" ht="12.75" x14ac:dyDescent="0.2">
      <c r="A20" s="5">
        <v>1381824</v>
      </c>
      <c r="B20" s="6">
        <v>44027</v>
      </c>
      <c r="C20" s="6">
        <v>44029</v>
      </c>
      <c r="D20" s="5" t="s">
        <v>0</v>
      </c>
      <c r="E20" s="5" t="s">
        <v>14</v>
      </c>
      <c r="F20" s="5">
        <v>14</v>
      </c>
      <c r="G20" s="5" t="s">
        <v>6</v>
      </c>
      <c r="H20" s="5">
        <v>82</v>
      </c>
      <c r="I20" s="5" t="s">
        <v>2</v>
      </c>
      <c r="J20" s="6">
        <v>44044</v>
      </c>
      <c r="K20" s="5" t="s">
        <v>3</v>
      </c>
      <c r="L20" s="6"/>
      <c r="M20" s="5" t="s">
        <v>4</v>
      </c>
    </row>
    <row r="21" spans="1:13" ht="12.75" x14ac:dyDescent="0.2">
      <c r="A21" s="1">
        <v>1349872</v>
      </c>
      <c r="B21" s="2">
        <v>44025</v>
      </c>
      <c r="C21" s="2">
        <v>44026</v>
      </c>
      <c r="D21" s="1" t="s">
        <v>0</v>
      </c>
      <c r="E21" s="1" t="s">
        <v>13</v>
      </c>
      <c r="F21" s="1">
        <v>2</v>
      </c>
      <c r="G21" s="1" t="s">
        <v>6</v>
      </c>
      <c r="H21" s="1">
        <v>67</v>
      </c>
      <c r="I21" s="1" t="s">
        <v>2</v>
      </c>
      <c r="J21" s="2">
        <v>44025</v>
      </c>
      <c r="K21" s="1" t="s">
        <v>3</v>
      </c>
      <c r="L21" s="2"/>
      <c r="M21" s="1" t="s">
        <v>4</v>
      </c>
    </row>
    <row r="22" spans="1:13" ht="12.75" x14ac:dyDescent="0.2">
      <c r="A22" s="5">
        <v>935654</v>
      </c>
      <c r="B22" s="6">
        <v>43969</v>
      </c>
      <c r="C22" s="6">
        <v>43969</v>
      </c>
      <c r="D22" s="5" t="s">
        <v>0</v>
      </c>
      <c r="E22" s="5" t="s">
        <v>7</v>
      </c>
      <c r="F22" s="5">
        <v>3</v>
      </c>
      <c r="G22" s="5" t="s">
        <v>6</v>
      </c>
      <c r="H22" s="5">
        <v>84</v>
      </c>
      <c r="I22" s="5" t="s">
        <v>15</v>
      </c>
      <c r="J22" s="6"/>
      <c r="K22" s="5" t="s">
        <v>121</v>
      </c>
      <c r="L22" s="6"/>
      <c r="M22" s="5"/>
    </row>
    <row r="23" spans="1:13" ht="12.75" x14ac:dyDescent="0.2">
      <c r="A23" s="1">
        <v>1632320</v>
      </c>
      <c r="B23" s="2">
        <v>44040</v>
      </c>
      <c r="C23" s="2">
        <v>44041</v>
      </c>
      <c r="D23" s="1" t="s">
        <v>0</v>
      </c>
      <c r="E23" s="1" t="s">
        <v>17</v>
      </c>
      <c r="F23" s="1">
        <v>1</v>
      </c>
      <c r="G23" s="1" t="s">
        <v>1</v>
      </c>
      <c r="H23" s="1">
        <v>95</v>
      </c>
      <c r="I23" s="1" t="s">
        <v>2</v>
      </c>
      <c r="J23" s="2">
        <v>44056</v>
      </c>
      <c r="K23" s="1" t="s">
        <v>3</v>
      </c>
      <c r="L23" s="2"/>
      <c r="M23" s="1" t="s">
        <v>9</v>
      </c>
    </row>
    <row r="24" spans="1:13" ht="12.75" x14ac:dyDescent="0.2">
      <c r="A24" s="5">
        <v>2981190</v>
      </c>
      <c r="B24" s="6">
        <v>44102</v>
      </c>
      <c r="C24" s="6">
        <v>44103</v>
      </c>
      <c r="D24" s="5" t="s">
        <v>5</v>
      </c>
      <c r="E24" s="5" t="s">
        <v>102</v>
      </c>
      <c r="F24" s="5"/>
      <c r="G24" s="5" t="s">
        <v>1</v>
      </c>
      <c r="H24" s="5">
        <v>53</v>
      </c>
      <c r="I24" s="5" t="s">
        <v>2</v>
      </c>
      <c r="J24" s="6">
        <v>44124</v>
      </c>
      <c r="K24" s="5" t="s">
        <v>3</v>
      </c>
      <c r="L24" s="6"/>
      <c r="M24" s="5" t="s">
        <v>4</v>
      </c>
    </row>
    <row r="25" spans="1:13" ht="12.75" x14ac:dyDescent="0.2">
      <c r="A25" s="1">
        <v>1793396</v>
      </c>
      <c r="B25" s="2">
        <v>44053</v>
      </c>
      <c r="C25" s="2">
        <v>44054</v>
      </c>
      <c r="D25" s="1" t="s">
        <v>0</v>
      </c>
      <c r="E25" s="1" t="s">
        <v>8</v>
      </c>
      <c r="F25" s="1">
        <v>7</v>
      </c>
      <c r="G25" s="1" t="s">
        <v>1</v>
      </c>
      <c r="H25" s="1">
        <v>74</v>
      </c>
      <c r="I25" s="1" t="s">
        <v>2</v>
      </c>
      <c r="J25" s="2">
        <v>44057</v>
      </c>
      <c r="K25" s="1" t="s">
        <v>3</v>
      </c>
      <c r="L25" s="2"/>
      <c r="M25" s="1" t="s">
        <v>4</v>
      </c>
    </row>
    <row r="26" spans="1:13" ht="12.75" x14ac:dyDescent="0.2">
      <c r="A26" s="5">
        <v>2478476</v>
      </c>
      <c r="B26" s="6">
        <v>44082</v>
      </c>
      <c r="C26" s="6">
        <v>44083</v>
      </c>
      <c r="D26" s="5" t="s">
        <v>0</v>
      </c>
      <c r="E26" s="5" t="s">
        <v>14</v>
      </c>
      <c r="F26" s="5">
        <v>14</v>
      </c>
      <c r="G26" s="5" t="s">
        <v>6</v>
      </c>
      <c r="H26" s="5">
        <v>70</v>
      </c>
      <c r="I26" s="5" t="s">
        <v>2</v>
      </c>
      <c r="J26" s="6">
        <v>44103</v>
      </c>
      <c r="K26" s="5" t="s">
        <v>3</v>
      </c>
      <c r="L26" s="6"/>
      <c r="M26" s="5" t="s">
        <v>4</v>
      </c>
    </row>
    <row r="27" spans="1:13" ht="12.75" x14ac:dyDescent="0.2">
      <c r="A27" s="1">
        <v>900942</v>
      </c>
      <c r="B27" s="2">
        <v>44022</v>
      </c>
      <c r="C27" s="2">
        <v>44022</v>
      </c>
      <c r="D27" s="1" t="s">
        <v>0</v>
      </c>
      <c r="E27" s="1" t="s">
        <v>18</v>
      </c>
      <c r="F27" s="1">
        <v>8</v>
      </c>
      <c r="G27" s="1" t="s">
        <v>6</v>
      </c>
      <c r="H27" s="1">
        <v>66</v>
      </c>
      <c r="I27" s="1" t="s">
        <v>2</v>
      </c>
      <c r="J27" s="2">
        <v>44060</v>
      </c>
      <c r="K27" s="1" t="s">
        <v>3</v>
      </c>
      <c r="L27" s="2"/>
      <c r="M27" s="1" t="s">
        <v>4</v>
      </c>
    </row>
    <row r="28" spans="1:13" ht="12.75" x14ac:dyDescent="0.2">
      <c r="A28" s="5">
        <v>4404251</v>
      </c>
      <c r="B28" s="6">
        <v>44148</v>
      </c>
      <c r="C28" s="6">
        <v>44149</v>
      </c>
      <c r="D28" s="5" t="s">
        <v>0</v>
      </c>
      <c r="E28" s="5" t="s">
        <v>19</v>
      </c>
      <c r="F28" s="5">
        <v>15</v>
      </c>
      <c r="G28" s="5" t="s">
        <v>1</v>
      </c>
      <c r="H28" s="5">
        <v>84</v>
      </c>
      <c r="I28" s="5" t="s">
        <v>2</v>
      </c>
      <c r="J28" s="6">
        <v>44155</v>
      </c>
      <c r="K28" s="5" t="s">
        <v>3</v>
      </c>
      <c r="L28" s="6"/>
      <c r="M28" s="5" t="s">
        <v>4</v>
      </c>
    </row>
    <row r="29" spans="1:13" ht="12.75" x14ac:dyDescent="0.2">
      <c r="A29" s="1">
        <v>2525060</v>
      </c>
      <c r="B29" s="2">
        <v>44090</v>
      </c>
      <c r="C29" s="2">
        <v>44090</v>
      </c>
      <c r="D29" s="1" t="s">
        <v>5</v>
      </c>
      <c r="E29" s="1" t="s">
        <v>79</v>
      </c>
      <c r="G29" s="1" t="s">
        <v>1</v>
      </c>
      <c r="H29" s="1">
        <v>73</v>
      </c>
      <c r="I29" s="1" t="s">
        <v>2</v>
      </c>
      <c r="J29" s="2">
        <v>44092</v>
      </c>
      <c r="K29" s="1" t="s">
        <v>3</v>
      </c>
      <c r="L29" s="2"/>
      <c r="M29" s="1" t="s">
        <v>20</v>
      </c>
    </row>
    <row r="30" spans="1:13" ht="12.75" x14ac:dyDescent="0.2">
      <c r="A30" s="5">
        <v>5131042</v>
      </c>
      <c r="B30" s="6">
        <v>44176</v>
      </c>
      <c r="C30" s="6">
        <v>44176</v>
      </c>
      <c r="D30" s="5" t="s">
        <v>5</v>
      </c>
      <c r="E30" s="5" t="s">
        <v>80</v>
      </c>
      <c r="F30" s="5"/>
      <c r="G30" s="5" t="s">
        <v>1</v>
      </c>
      <c r="H30" s="5">
        <v>84</v>
      </c>
      <c r="I30" s="5" t="s">
        <v>21</v>
      </c>
      <c r="J30" s="6"/>
      <c r="K30" s="1" t="s">
        <v>121</v>
      </c>
      <c r="L30" s="6"/>
      <c r="M30" s="5" t="s">
        <v>20</v>
      </c>
    </row>
    <row r="31" spans="1:13" ht="12.75" x14ac:dyDescent="0.2">
      <c r="A31" s="1">
        <v>870294</v>
      </c>
      <c r="B31" s="2">
        <v>43949</v>
      </c>
      <c r="C31" s="2">
        <v>43950</v>
      </c>
      <c r="D31" s="1" t="s">
        <v>5</v>
      </c>
      <c r="E31" s="1" t="s">
        <v>81</v>
      </c>
      <c r="G31" s="1" t="s">
        <v>1</v>
      </c>
      <c r="H31" s="1">
        <v>88</v>
      </c>
      <c r="I31" s="1" t="s">
        <v>2</v>
      </c>
      <c r="J31" s="2">
        <v>43947</v>
      </c>
      <c r="K31" s="1" t="s">
        <v>3</v>
      </c>
      <c r="L31" s="2"/>
      <c r="M31" s="1" t="s">
        <v>4</v>
      </c>
    </row>
    <row r="32" spans="1:13" ht="12.75" x14ac:dyDescent="0.2">
      <c r="A32" s="5">
        <v>3196861</v>
      </c>
      <c r="B32" s="6">
        <v>44111</v>
      </c>
      <c r="C32" s="6">
        <v>44111</v>
      </c>
      <c r="D32" s="5" t="s">
        <v>0</v>
      </c>
      <c r="E32" s="5" t="s">
        <v>7</v>
      </c>
      <c r="F32" s="5">
        <v>3</v>
      </c>
      <c r="G32" s="5" t="s">
        <v>6</v>
      </c>
      <c r="H32" s="5">
        <v>91</v>
      </c>
      <c r="I32" s="5" t="s">
        <v>2</v>
      </c>
      <c r="J32" s="6">
        <v>44114</v>
      </c>
      <c r="K32" s="5" t="s">
        <v>3</v>
      </c>
      <c r="L32" s="6"/>
      <c r="M32" s="5" t="s">
        <v>4</v>
      </c>
    </row>
    <row r="33" spans="1:13" ht="12.75" x14ac:dyDescent="0.2">
      <c r="A33" s="1">
        <v>1150538</v>
      </c>
      <c r="B33" s="2">
        <v>44004</v>
      </c>
      <c r="C33" s="2">
        <v>44005</v>
      </c>
      <c r="D33" s="1" t="s">
        <v>0</v>
      </c>
      <c r="E33" s="1" t="s">
        <v>11</v>
      </c>
      <c r="F33" s="1">
        <v>6</v>
      </c>
      <c r="G33" s="1" t="s">
        <v>1</v>
      </c>
      <c r="H33" s="1">
        <v>80</v>
      </c>
      <c r="I33" s="1" t="s">
        <v>2</v>
      </c>
      <c r="J33" s="2">
        <v>44019</v>
      </c>
      <c r="K33" s="1" t="s">
        <v>3</v>
      </c>
      <c r="L33" s="2"/>
      <c r="M33" s="1" t="s">
        <v>22</v>
      </c>
    </row>
    <row r="34" spans="1:13" ht="12.75" x14ac:dyDescent="0.2">
      <c r="A34" s="5">
        <v>1772044</v>
      </c>
      <c r="B34" s="6">
        <v>44046</v>
      </c>
      <c r="C34" s="6">
        <v>44047</v>
      </c>
      <c r="D34" s="5" t="s">
        <v>0</v>
      </c>
      <c r="E34" s="5" t="s">
        <v>23</v>
      </c>
      <c r="F34" s="5">
        <v>10</v>
      </c>
      <c r="G34" s="5" t="s">
        <v>6</v>
      </c>
      <c r="H34" s="5">
        <v>80</v>
      </c>
      <c r="I34" s="5" t="s">
        <v>2</v>
      </c>
      <c r="J34" s="6">
        <v>44050</v>
      </c>
      <c r="K34" s="5" t="s">
        <v>3</v>
      </c>
      <c r="L34" s="6"/>
      <c r="M34" s="5" t="s">
        <v>4</v>
      </c>
    </row>
    <row r="35" spans="1:13" ht="12.75" x14ac:dyDescent="0.2">
      <c r="A35" s="1">
        <v>1103204</v>
      </c>
      <c r="B35" s="2">
        <v>43999</v>
      </c>
      <c r="C35" s="2">
        <v>43999</v>
      </c>
      <c r="D35" s="1" t="s">
        <v>0</v>
      </c>
      <c r="E35" s="1" t="s">
        <v>24</v>
      </c>
      <c r="F35" s="1">
        <v>9</v>
      </c>
      <c r="G35" s="1" t="s">
        <v>1</v>
      </c>
      <c r="H35" s="1">
        <v>56</v>
      </c>
      <c r="I35" s="1" t="s">
        <v>15</v>
      </c>
      <c r="J35" s="2"/>
      <c r="K35" s="1" t="s">
        <v>121</v>
      </c>
      <c r="L35" s="2"/>
    </row>
    <row r="36" spans="1:13" ht="12.75" x14ac:dyDescent="0.2">
      <c r="A36" s="5">
        <v>3086141</v>
      </c>
      <c r="B36" s="6">
        <v>44105</v>
      </c>
      <c r="C36" s="6">
        <v>44108</v>
      </c>
      <c r="D36" s="5" t="s">
        <v>0</v>
      </c>
      <c r="E36" s="5" t="s">
        <v>24</v>
      </c>
      <c r="F36" s="5">
        <v>9</v>
      </c>
      <c r="G36" s="5" t="s">
        <v>6</v>
      </c>
      <c r="H36" s="5">
        <v>71</v>
      </c>
      <c r="I36" s="5" t="s">
        <v>2</v>
      </c>
      <c r="J36" s="6">
        <v>44126</v>
      </c>
      <c r="K36" s="5" t="s">
        <v>3</v>
      </c>
      <c r="L36" s="6"/>
      <c r="M36" s="5" t="s">
        <v>4</v>
      </c>
    </row>
    <row r="37" spans="1:13" ht="12.75" x14ac:dyDescent="0.2">
      <c r="A37" s="1">
        <v>2073770</v>
      </c>
      <c r="B37" s="2">
        <v>44062</v>
      </c>
      <c r="C37" s="2">
        <v>44062</v>
      </c>
      <c r="D37" s="1" t="s">
        <v>0</v>
      </c>
      <c r="E37" s="1" t="s">
        <v>25</v>
      </c>
      <c r="F37" s="1">
        <v>13</v>
      </c>
      <c r="G37" s="1" t="s">
        <v>6</v>
      </c>
      <c r="H37" s="1">
        <v>63</v>
      </c>
      <c r="I37" s="1" t="s">
        <v>2</v>
      </c>
      <c r="J37" s="2">
        <v>44095</v>
      </c>
      <c r="K37" s="1" t="s">
        <v>3</v>
      </c>
      <c r="L37" s="2"/>
      <c r="M37" s="1" t="s">
        <v>4</v>
      </c>
    </row>
    <row r="38" spans="1:13" ht="12.75" x14ac:dyDescent="0.2">
      <c r="A38" s="5">
        <v>2361706</v>
      </c>
      <c r="B38" s="6">
        <v>44077</v>
      </c>
      <c r="C38" s="6">
        <v>44079</v>
      </c>
      <c r="D38" s="5" t="s">
        <v>0</v>
      </c>
      <c r="E38" s="5" t="s">
        <v>26</v>
      </c>
      <c r="F38" s="5">
        <v>4</v>
      </c>
      <c r="G38" s="5" t="s">
        <v>6</v>
      </c>
      <c r="H38" s="5">
        <v>62</v>
      </c>
      <c r="I38" s="5" t="s">
        <v>2</v>
      </c>
      <c r="J38" s="6">
        <v>44103</v>
      </c>
      <c r="K38" s="5" t="s">
        <v>3</v>
      </c>
      <c r="L38" s="6"/>
      <c r="M38" s="5" t="s">
        <v>20</v>
      </c>
    </row>
    <row r="39" spans="1:13" ht="12.75" x14ac:dyDescent="0.2">
      <c r="A39" s="1">
        <v>1054950</v>
      </c>
      <c r="B39" s="2">
        <v>44006</v>
      </c>
      <c r="C39" s="2">
        <v>44008</v>
      </c>
      <c r="D39" s="1" t="s">
        <v>0</v>
      </c>
      <c r="E39" s="1" t="s">
        <v>7</v>
      </c>
      <c r="F39" s="1">
        <v>3</v>
      </c>
      <c r="G39" s="1" t="s">
        <v>1</v>
      </c>
      <c r="H39" s="1">
        <v>88</v>
      </c>
      <c r="I39" s="1" t="s">
        <v>2</v>
      </c>
      <c r="J39" s="2">
        <v>44038</v>
      </c>
      <c r="K39" s="1" t="s">
        <v>3</v>
      </c>
      <c r="L39" s="2"/>
      <c r="M39" s="1" t="s">
        <v>4</v>
      </c>
    </row>
    <row r="40" spans="1:13" ht="12.75" x14ac:dyDescent="0.2">
      <c r="A40" s="5">
        <v>833697</v>
      </c>
      <c r="B40" s="6">
        <v>43939</v>
      </c>
      <c r="C40" s="6">
        <v>43944</v>
      </c>
      <c r="D40" s="5" t="s">
        <v>0</v>
      </c>
      <c r="E40" s="5" t="s">
        <v>8</v>
      </c>
      <c r="F40" s="5">
        <v>7</v>
      </c>
      <c r="G40" s="5" t="s">
        <v>1</v>
      </c>
      <c r="H40" s="5">
        <v>94</v>
      </c>
      <c r="I40" s="5" t="s">
        <v>2</v>
      </c>
      <c r="J40" s="6">
        <v>43952</v>
      </c>
      <c r="K40" s="5" t="s">
        <v>3</v>
      </c>
      <c r="L40" s="6"/>
      <c r="M40" s="5" t="s">
        <v>9</v>
      </c>
    </row>
    <row r="41" spans="1:13" ht="12.75" x14ac:dyDescent="0.2">
      <c r="A41" s="1">
        <v>1508961</v>
      </c>
      <c r="B41" s="2">
        <v>44036</v>
      </c>
      <c r="C41" s="2">
        <v>44036</v>
      </c>
      <c r="D41" s="1" t="s">
        <v>0</v>
      </c>
      <c r="E41" s="1" t="s">
        <v>27</v>
      </c>
      <c r="F41" s="1">
        <v>4</v>
      </c>
      <c r="G41" s="1" t="s">
        <v>1</v>
      </c>
      <c r="H41" s="1">
        <v>87</v>
      </c>
      <c r="I41" s="1" t="s">
        <v>2</v>
      </c>
      <c r="J41" s="2">
        <v>44050</v>
      </c>
      <c r="K41" s="1" t="s">
        <v>3</v>
      </c>
      <c r="L41" s="2"/>
      <c r="M41" s="1" t="s">
        <v>4</v>
      </c>
    </row>
    <row r="42" spans="1:13" ht="12.75" x14ac:dyDescent="0.2">
      <c r="A42" s="5">
        <v>5134348</v>
      </c>
      <c r="B42" s="6">
        <v>44176</v>
      </c>
      <c r="C42" s="6">
        <v>44177</v>
      </c>
      <c r="D42" s="5" t="s">
        <v>0</v>
      </c>
      <c r="E42" s="5" t="s">
        <v>28</v>
      </c>
      <c r="F42" s="5">
        <v>11</v>
      </c>
      <c r="G42" s="5" t="s">
        <v>1</v>
      </c>
      <c r="H42" s="5">
        <v>80</v>
      </c>
      <c r="I42" s="5" t="s">
        <v>2</v>
      </c>
      <c r="J42" s="6">
        <v>44182</v>
      </c>
      <c r="K42" s="5" t="s">
        <v>3</v>
      </c>
      <c r="L42" s="6"/>
      <c r="M42" s="5" t="s">
        <v>4</v>
      </c>
    </row>
    <row r="43" spans="1:13" ht="12.75" x14ac:dyDescent="0.2">
      <c r="A43" s="1">
        <v>2055066</v>
      </c>
      <c r="B43" s="2">
        <v>44065</v>
      </c>
      <c r="C43" s="2">
        <v>44067</v>
      </c>
      <c r="D43" s="1" t="s">
        <v>0</v>
      </c>
      <c r="E43" s="1" t="s">
        <v>29</v>
      </c>
      <c r="F43" s="1">
        <v>12</v>
      </c>
      <c r="G43" s="1" t="s">
        <v>6</v>
      </c>
      <c r="H43" s="1">
        <v>81</v>
      </c>
      <c r="I43" s="1" t="s">
        <v>2</v>
      </c>
      <c r="J43" s="2">
        <v>44098</v>
      </c>
      <c r="K43" s="1" t="s">
        <v>3</v>
      </c>
      <c r="L43" s="2"/>
      <c r="M43" s="1" t="s">
        <v>4</v>
      </c>
    </row>
    <row r="44" spans="1:13" ht="12.75" x14ac:dyDescent="0.2">
      <c r="A44" s="5">
        <v>2416399</v>
      </c>
      <c r="B44" s="6">
        <v>44081</v>
      </c>
      <c r="C44" s="6">
        <v>44081</v>
      </c>
      <c r="D44" s="5" t="s">
        <v>0</v>
      </c>
      <c r="E44" s="5" t="s">
        <v>10</v>
      </c>
      <c r="F44" s="5">
        <v>5</v>
      </c>
      <c r="G44" s="5" t="s">
        <v>1</v>
      </c>
      <c r="H44" s="5">
        <v>86</v>
      </c>
      <c r="I44" s="5" t="s">
        <v>2</v>
      </c>
      <c r="J44" s="6">
        <v>44094</v>
      </c>
      <c r="K44" s="5" t="s">
        <v>3</v>
      </c>
      <c r="L44" s="6"/>
      <c r="M44" s="5" t="s">
        <v>4</v>
      </c>
    </row>
    <row r="45" spans="1:13" ht="12.75" x14ac:dyDescent="0.2">
      <c r="A45" s="1">
        <v>1305813</v>
      </c>
      <c r="B45" s="2">
        <v>44021</v>
      </c>
      <c r="C45" s="2">
        <v>44021</v>
      </c>
      <c r="D45" s="1" t="s">
        <v>0</v>
      </c>
      <c r="E45" s="1" t="s">
        <v>30</v>
      </c>
      <c r="F45" s="1">
        <v>15</v>
      </c>
      <c r="G45" s="1" t="s">
        <v>1</v>
      </c>
      <c r="H45" s="1">
        <v>72</v>
      </c>
      <c r="I45" s="1" t="s">
        <v>15</v>
      </c>
      <c r="J45" s="2"/>
      <c r="K45" s="1" t="s">
        <v>121</v>
      </c>
      <c r="L45" s="2"/>
    </row>
    <row r="46" spans="1:13" ht="12.75" x14ac:dyDescent="0.2">
      <c r="A46" s="5">
        <v>1239087</v>
      </c>
      <c r="B46" s="6">
        <v>44013</v>
      </c>
      <c r="C46" s="6">
        <v>44014</v>
      </c>
      <c r="D46" s="5" t="s">
        <v>5</v>
      </c>
      <c r="E46" s="5" t="s">
        <v>82</v>
      </c>
      <c r="F46" s="5"/>
      <c r="G46" s="5" t="s">
        <v>1</v>
      </c>
      <c r="H46" s="5">
        <v>73</v>
      </c>
      <c r="I46" s="5" t="s">
        <v>2</v>
      </c>
      <c r="J46" s="6">
        <v>44017</v>
      </c>
      <c r="K46" s="5" t="s">
        <v>3</v>
      </c>
      <c r="L46" s="6"/>
      <c r="M46" s="5" t="s">
        <v>9</v>
      </c>
    </row>
    <row r="47" spans="1:13" ht="12.75" x14ac:dyDescent="0.2">
      <c r="A47" s="1">
        <v>1179129</v>
      </c>
      <c r="B47" s="2">
        <v>43998</v>
      </c>
      <c r="C47" s="2">
        <v>43999</v>
      </c>
      <c r="D47" s="1" t="s">
        <v>5</v>
      </c>
      <c r="E47" s="1" t="s">
        <v>83</v>
      </c>
      <c r="G47" s="1" t="s">
        <v>6</v>
      </c>
      <c r="H47" s="1">
        <v>33</v>
      </c>
      <c r="I47" s="1" t="s">
        <v>15</v>
      </c>
      <c r="J47" s="2"/>
      <c r="K47" s="1" t="s">
        <v>121</v>
      </c>
      <c r="L47" s="2"/>
    </row>
    <row r="48" spans="1:13" ht="12.75" x14ac:dyDescent="0.2">
      <c r="A48" s="5">
        <v>2302328</v>
      </c>
      <c r="B48" s="6">
        <v>44088</v>
      </c>
      <c r="C48" s="6">
        <v>44088</v>
      </c>
      <c r="D48" s="5" t="s">
        <v>0</v>
      </c>
      <c r="E48" s="5" t="s">
        <v>16</v>
      </c>
      <c r="F48" s="5">
        <v>15</v>
      </c>
      <c r="G48" s="5" t="s">
        <v>6</v>
      </c>
      <c r="H48" s="5">
        <v>44</v>
      </c>
      <c r="I48" s="5" t="s">
        <v>2</v>
      </c>
      <c r="J48" s="6">
        <v>44104</v>
      </c>
      <c r="K48" s="5" t="s">
        <v>3</v>
      </c>
      <c r="L48" s="6"/>
      <c r="M48" s="5" t="s">
        <v>20</v>
      </c>
    </row>
    <row r="49" spans="1:13" ht="12.75" x14ac:dyDescent="0.2">
      <c r="A49" s="1">
        <v>1213903</v>
      </c>
      <c r="B49" s="2">
        <v>44011</v>
      </c>
      <c r="C49" s="2">
        <v>44013</v>
      </c>
      <c r="D49" s="1" t="s">
        <v>0</v>
      </c>
      <c r="E49" s="1" t="s">
        <v>31</v>
      </c>
      <c r="F49" s="1">
        <v>10</v>
      </c>
      <c r="G49" s="1" t="s">
        <v>1</v>
      </c>
      <c r="H49" s="1">
        <v>88</v>
      </c>
      <c r="I49" s="1" t="s">
        <v>2</v>
      </c>
      <c r="J49" s="2">
        <v>44037</v>
      </c>
      <c r="K49" s="1" t="s">
        <v>3</v>
      </c>
      <c r="L49" s="2"/>
      <c r="M49" s="1" t="s">
        <v>9</v>
      </c>
    </row>
    <row r="50" spans="1:13" ht="12.75" x14ac:dyDescent="0.2">
      <c r="A50" s="5">
        <v>805612</v>
      </c>
      <c r="B50" s="6">
        <v>43930</v>
      </c>
      <c r="C50" s="6">
        <v>43930</v>
      </c>
      <c r="D50" s="5" t="s">
        <v>0</v>
      </c>
      <c r="E50" s="5" t="s">
        <v>32</v>
      </c>
      <c r="F50" s="5">
        <v>10</v>
      </c>
      <c r="G50" s="5" t="s">
        <v>6</v>
      </c>
      <c r="H50" s="5">
        <v>94</v>
      </c>
      <c r="I50" s="5" t="s">
        <v>15</v>
      </c>
      <c r="J50" s="6"/>
      <c r="K50" s="5" t="s">
        <v>121</v>
      </c>
      <c r="L50" s="6"/>
      <c r="M50" s="5"/>
    </row>
    <row r="51" spans="1:13" ht="12.75" x14ac:dyDescent="0.2">
      <c r="A51" s="1">
        <v>2307156</v>
      </c>
      <c r="B51" s="2">
        <v>44076</v>
      </c>
      <c r="C51" s="2">
        <v>44076</v>
      </c>
      <c r="D51" s="1" t="s">
        <v>0</v>
      </c>
      <c r="E51" s="1" t="s">
        <v>8</v>
      </c>
      <c r="F51" s="1">
        <v>7</v>
      </c>
      <c r="G51" s="1" t="s">
        <v>1</v>
      </c>
      <c r="H51" s="1">
        <v>91</v>
      </c>
      <c r="I51" s="1" t="s">
        <v>2</v>
      </c>
      <c r="J51" s="2">
        <v>44094</v>
      </c>
      <c r="K51" s="1" t="s">
        <v>3</v>
      </c>
      <c r="L51" s="2"/>
      <c r="M51" s="1" t="s">
        <v>9</v>
      </c>
    </row>
    <row r="52" spans="1:13" ht="12.75" x14ac:dyDescent="0.2">
      <c r="A52" s="5">
        <v>4580876</v>
      </c>
      <c r="B52" s="6">
        <v>44155</v>
      </c>
      <c r="C52" s="6">
        <v>44155</v>
      </c>
      <c r="D52" s="5" t="s">
        <v>5</v>
      </c>
      <c r="E52" s="5" t="s">
        <v>84</v>
      </c>
      <c r="F52" s="5"/>
      <c r="G52" s="5" t="s">
        <v>1</v>
      </c>
      <c r="H52" s="5">
        <v>67</v>
      </c>
      <c r="I52" s="5" t="s">
        <v>2</v>
      </c>
      <c r="J52" s="6">
        <v>44177</v>
      </c>
      <c r="K52" s="5" t="s">
        <v>3</v>
      </c>
      <c r="L52" s="6"/>
      <c r="M52" s="5" t="s">
        <v>4</v>
      </c>
    </row>
    <row r="53" spans="1:13" ht="12.75" x14ac:dyDescent="0.2">
      <c r="A53" s="1">
        <v>2993167</v>
      </c>
      <c r="B53" s="2">
        <v>44101</v>
      </c>
      <c r="C53" s="2">
        <v>44102</v>
      </c>
      <c r="D53" s="1" t="s">
        <v>0</v>
      </c>
      <c r="E53" s="1" t="s">
        <v>8</v>
      </c>
      <c r="F53" s="1">
        <v>7</v>
      </c>
      <c r="G53" s="1" t="s">
        <v>1</v>
      </c>
      <c r="H53" s="1">
        <v>76</v>
      </c>
      <c r="I53" s="1" t="s">
        <v>15</v>
      </c>
      <c r="J53" s="2"/>
      <c r="K53" s="1" t="s">
        <v>121</v>
      </c>
      <c r="L53" s="2"/>
    </row>
    <row r="54" spans="1:13" ht="12.75" x14ac:dyDescent="0.2">
      <c r="A54" s="5">
        <v>1321395</v>
      </c>
      <c r="B54" s="6">
        <v>44023</v>
      </c>
      <c r="C54" s="6">
        <v>44023</v>
      </c>
      <c r="D54" s="5" t="s">
        <v>0</v>
      </c>
      <c r="E54" s="5" t="s">
        <v>33</v>
      </c>
      <c r="F54" s="5">
        <v>13</v>
      </c>
      <c r="G54" s="5" t="s">
        <v>1</v>
      </c>
      <c r="H54" s="5">
        <v>82</v>
      </c>
      <c r="I54" s="5" t="s">
        <v>15</v>
      </c>
      <c r="J54" s="6"/>
      <c r="K54" s="5" t="s">
        <v>121</v>
      </c>
      <c r="L54" s="6"/>
      <c r="M54" s="5"/>
    </row>
    <row r="55" spans="1:13" ht="12.75" x14ac:dyDescent="0.2">
      <c r="A55" s="1">
        <v>1362683</v>
      </c>
      <c r="B55" s="2">
        <v>44026</v>
      </c>
      <c r="C55" s="2">
        <v>44029</v>
      </c>
      <c r="D55" s="1" t="s">
        <v>0</v>
      </c>
      <c r="E55" s="1" t="s">
        <v>34</v>
      </c>
      <c r="F55" s="1">
        <v>9</v>
      </c>
      <c r="G55" s="1" t="s">
        <v>1</v>
      </c>
      <c r="H55" s="1">
        <v>92</v>
      </c>
      <c r="I55" s="1" t="s">
        <v>2</v>
      </c>
      <c r="J55" s="2">
        <v>44052</v>
      </c>
      <c r="K55" s="1" t="s">
        <v>3</v>
      </c>
      <c r="L55" s="2"/>
      <c r="M55" s="1" t="s">
        <v>9</v>
      </c>
    </row>
    <row r="56" spans="1:13" ht="12.75" x14ac:dyDescent="0.2">
      <c r="A56" s="5">
        <v>1054123</v>
      </c>
      <c r="B56" s="6">
        <v>43992</v>
      </c>
      <c r="C56" s="6">
        <v>43992</v>
      </c>
      <c r="D56" s="5" t="s">
        <v>5</v>
      </c>
      <c r="E56" s="5" t="s">
        <v>102</v>
      </c>
      <c r="F56" s="5"/>
      <c r="G56" s="5" t="s">
        <v>1</v>
      </c>
      <c r="H56" s="5">
        <v>86</v>
      </c>
      <c r="I56" s="5" t="s">
        <v>15</v>
      </c>
      <c r="J56" s="6"/>
      <c r="K56" s="5" t="s">
        <v>121</v>
      </c>
      <c r="L56" s="6"/>
      <c r="M56" s="5"/>
    </row>
    <row r="57" spans="1:13" ht="12.75" x14ac:dyDescent="0.2">
      <c r="A57" s="1">
        <v>1618127</v>
      </c>
      <c r="B57" s="2">
        <v>44044</v>
      </c>
      <c r="C57" s="2">
        <v>44047</v>
      </c>
      <c r="D57" s="1" t="s">
        <v>0</v>
      </c>
      <c r="E57" s="1" t="s">
        <v>14</v>
      </c>
      <c r="F57" s="1">
        <v>14</v>
      </c>
      <c r="G57" s="1" t="s">
        <v>6</v>
      </c>
      <c r="H57" s="1">
        <v>72</v>
      </c>
      <c r="I57" s="1" t="s">
        <v>2</v>
      </c>
      <c r="J57" s="2">
        <v>44049</v>
      </c>
      <c r="K57" s="1" t="s">
        <v>3</v>
      </c>
      <c r="L57" s="2"/>
      <c r="M57" s="1" t="s">
        <v>4</v>
      </c>
    </row>
    <row r="58" spans="1:13" ht="12.75" x14ac:dyDescent="0.2">
      <c r="A58" s="5">
        <v>913656</v>
      </c>
      <c r="B58" s="6">
        <v>43964</v>
      </c>
      <c r="C58" s="6">
        <v>43965</v>
      </c>
      <c r="D58" s="5" t="s">
        <v>0</v>
      </c>
      <c r="E58" s="5" t="s">
        <v>35</v>
      </c>
      <c r="F58" s="5">
        <v>3</v>
      </c>
      <c r="G58" s="5" t="s">
        <v>1</v>
      </c>
      <c r="H58" s="5">
        <v>97</v>
      </c>
      <c r="I58" s="5" t="s">
        <v>2</v>
      </c>
      <c r="J58" s="6">
        <v>43977</v>
      </c>
      <c r="K58" s="5" t="s">
        <v>3</v>
      </c>
      <c r="L58" s="6"/>
      <c r="M58" s="5" t="s">
        <v>4</v>
      </c>
    </row>
    <row r="59" spans="1:13" ht="12.75" x14ac:dyDescent="0.2">
      <c r="A59" s="1">
        <v>2873215</v>
      </c>
      <c r="B59" s="2">
        <v>44097</v>
      </c>
      <c r="C59" s="2">
        <v>44097</v>
      </c>
      <c r="D59" s="1" t="s">
        <v>5</v>
      </c>
      <c r="E59" s="1" t="s">
        <v>74</v>
      </c>
      <c r="G59" s="1" t="s">
        <v>1</v>
      </c>
      <c r="H59" s="1">
        <v>71</v>
      </c>
      <c r="I59" s="1" t="s">
        <v>2</v>
      </c>
      <c r="J59" s="2">
        <v>44105</v>
      </c>
      <c r="K59" s="1" t="s">
        <v>3</v>
      </c>
      <c r="L59" s="2"/>
      <c r="M59" s="1" t="s">
        <v>9</v>
      </c>
    </row>
    <row r="60" spans="1:13" ht="12.75" x14ac:dyDescent="0.2">
      <c r="A60" s="5">
        <v>1218256</v>
      </c>
      <c r="B60" s="6">
        <v>44012</v>
      </c>
      <c r="C60" s="6">
        <v>44013</v>
      </c>
      <c r="D60" s="5" t="s">
        <v>0</v>
      </c>
      <c r="E60" s="5" t="s">
        <v>36</v>
      </c>
      <c r="F60" s="5">
        <v>1</v>
      </c>
      <c r="G60" s="5" t="s">
        <v>6</v>
      </c>
      <c r="H60" s="5">
        <v>72</v>
      </c>
      <c r="I60" s="5" t="s">
        <v>2</v>
      </c>
      <c r="J60" s="6">
        <v>44031</v>
      </c>
      <c r="K60" s="5" t="s">
        <v>3</v>
      </c>
      <c r="L60" s="6"/>
      <c r="M60" s="5" t="s">
        <v>4</v>
      </c>
    </row>
    <row r="61" spans="1:13" ht="12.75" x14ac:dyDescent="0.2">
      <c r="A61" s="1">
        <v>1667386</v>
      </c>
      <c r="B61" s="2">
        <v>44047</v>
      </c>
      <c r="C61" s="2">
        <v>44047</v>
      </c>
      <c r="D61" s="1" t="s">
        <v>0</v>
      </c>
      <c r="E61" s="1" t="s">
        <v>34</v>
      </c>
      <c r="F61" s="1">
        <v>9</v>
      </c>
      <c r="G61" s="1" t="s">
        <v>6</v>
      </c>
      <c r="H61" s="1">
        <v>77</v>
      </c>
      <c r="I61" s="1" t="s">
        <v>2</v>
      </c>
      <c r="J61" s="2">
        <v>44047</v>
      </c>
      <c r="K61" s="1" t="s">
        <v>3</v>
      </c>
      <c r="L61" s="2"/>
      <c r="M61" s="1" t="s">
        <v>4</v>
      </c>
    </row>
    <row r="62" spans="1:13" ht="12.75" x14ac:dyDescent="0.2">
      <c r="A62" s="5">
        <v>1059629</v>
      </c>
      <c r="B62" s="6">
        <v>43993</v>
      </c>
      <c r="C62" s="6">
        <v>43993</v>
      </c>
      <c r="D62" s="5" t="s">
        <v>0</v>
      </c>
      <c r="E62" s="5" t="s">
        <v>35</v>
      </c>
      <c r="F62" s="5">
        <v>3</v>
      </c>
      <c r="G62" s="5" t="s">
        <v>6</v>
      </c>
      <c r="H62" s="5">
        <v>56</v>
      </c>
      <c r="I62" s="5" t="s">
        <v>2</v>
      </c>
      <c r="J62" s="6">
        <v>43997</v>
      </c>
      <c r="K62" s="5" t="s">
        <v>3</v>
      </c>
      <c r="L62" s="6"/>
      <c r="M62" s="5" t="s">
        <v>9</v>
      </c>
    </row>
    <row r="63" spans="1:13" ht="12.75" x14ac:dyDescent="0.2">
      <c r="A63" s="1">
        <v>2051753</v>
      </c>
      <c r="B63" s="2">
        <v>44066</v>
      </c>
      <c r="C63" s="2">
        <v>44066</v>
      </c>
      <c r="D63" s="1" t="s">
        <v>0</v>
      </c>
      <c r="E63" s="1" t="s">
        <v>8</v>
      </c>
      <c r="F63" s="1">
        <v>7</v>
      </c>
      <c r="G63" s="1" t="s">
        <v>6</v>
      </c>
      <c r="H63" s="1">
        <v>77</v>
      </c>
      <c r="I63" s="1" t="s">
        <v>2</v>
      </c>
      <c r="J63" s="2">
        <v>44077</v>
      </c>
      <c r="K63" s="1" t="s">
        <v>3</v>
      </c>
      <c r="L63" s="2"/>
      <c r="M63" s="1" t="s">
        <v>20</v>
      </c>
    </row>
    <row r="64" spans="1:13" ht="12.75" x14ac:dyDescent="0.2">
      <c r="A64" s="5">
        <v>3565757</v>
      </c>
      <c r="B64" s="6">
        <v>44123</v>
      </c>
      <c r="C64" s="6">
        <v>44124</v>
      </c>
      <c r="D64" s="5" t="s">
        <v>0</v>
      </c>
      <c r="E64" s="5" t="s">
        <v>16</v>
      </c>
      <c r="F64" s="5">
        <v>15</v>
      </c>
      <c r="G64" s="5" t="s">
        <v>1</v>
      </c>
      <c r="H64" s="5">
        <v>85</v>
      </c>
      <c r="I64" s="5" t="s">
        <v>2</v>
      </c>
      <c r="J64" s="6">
        <v>44126</v>
      </c>
      <c r="K64" s="5" t="s">
        <v>3</v>
      </c>
      <c r="L64" s="6"/>
      <c r="M64" s="5" t="s">
        <v>4</v>
      </c>
    </row>
    <row r="65" spans="1:13" ht="12.75" x14ac:dyDescent="0.2">
      <c r="A65" s="1">
        <v>1634473</v>
      </c>
      <c r="B65" s="2">
        <v>44044</v>
      </c>
      <c r="C65" s="2">
        <v>44044</v>
      </c>
      <c r="D65" s="1" t="s">
        <v>0</v>
      </c>
      <c r="E65" s="1" t="s">
        <v>37</v>
      </c>
      <c r="F65" s="1">
        <v>13</v>
      </c>
      <c r="G65" s="1" t="s">
        <v>1</v>
      </c>
      <c r="H65" s="1">
        <v>92</v>
      </c>
      <c r="I65" s="1" t="s">
        <v>2</v>
      </c>
      <c r="J65" s="2">
        <v>44044</v>
      </c>
      <c r="K65" s="1" t="s">
        <v>3</v>
      </c>
      <c r="L65" s="2"/>
      <c r="M65" s="1" t="s">
        <v>4</v>
      </c>
    </row>
    <row r="66" spans="1:13" ht="12.75" x14ac:dyDescent="0.2">
      <c r="A66" s="5">
        <v>1782949</v>
      </c>
      <c r="B66" s="6">
        <v>44052</v>
      </c>
      <c r="C66" s="6">
        <v>44052</v>
      </c>
      <c r="D66" s="5" t="s">
        <v>0</v>
      </c>
      <c r="E66" s="5" t="s">
        <v>8</v>
      </c>
      <c r="F66" s="5">
        <v>7</v>
      </c>
      <c r="G66" s="5" t="s">
        <v>1</v>
      </c>
      <c r="H66" s="5">
        <v>48</v>
      </c>
      <c r="I66" s="5" t="s">
        <v>2</v>
      </c>
      <c r="J66" s="6">
        <v>44075</v>
      </c>
      <c r="K66" s="5" t="s">
        <v>3</v>
      </c>
      <c r="L66" s="6"/>
      <c r="M66" s="5" t="s">
        <v>4</v>
      </c>
    </row>
    <row r="67" spans="1:13" ht="12.75" x14ac:dyDescent="0.2">
      <c r="A67" s="1">
        <v>1446416</v>
      </c>
      <c r="B67" s="2">
        <v>44033</v>
      </c>
      <c r="C67" s="2">
        <v>44035</v>
      </c>
      <c r="D67" s="1" t="s">
        <v>0</v>
      </c>
      <c r="E67" s="1" t="s">
        <v>24</v>
      </c>
      <c r="F67" s="1">
        <v>9</v>
      </c>
      <c r="G67" s="1" t="s">
        <v>6</v>
      </c>
      <c r="H67" s="1">
        <v>70</v>
      </c>
      <c r="I67" s="1" t="s">
        <v>2</v>
      </c>
      <c r="J67" s="2">
        <v>44041</v>
      </c>
      <c r="K67" s="1" t="s">
        <v>3</v>
      </c>
      <c r="L67" s="2"/>
      <c r="M67" s="1" t="s">
        <v>4</v>
      </c>
    </row>
    <row r="68" spans="1:13" ht="12.75" x14ac:dyDescent="0.2">
      <c r="A68" s="5">
        <v>1917162</v>
      </c>
      <c r="B68" s="6">
        <v>44059</v>
      </c>
      <c r="C68" s="6">
        <v>44059</v>
      </c>
      <c r="D68" s="5" t="s">
        <v>0</v>
      </c>
      <c r="E68" s="5" t="s">
        <v>10</v>
      </c>
      <c r="F68" s="5">
        <v>5</v>
      </c>
      <c r="G68" s="5" t="s">
        <v>1</v>
      </c>
      <c r="H68" s="5">
        <v>102</v>
      </c>
      <c r="I68" s="5" t="s">
        <v>2</v>
      </c>
      <c r="J68" s="6">
        <v>44082</v>
      </c>
      <c r="K68" s="5" t="s">
        <v>3</v>
      </c>
      <c r="L68" s="6"/>
      <c r="M68" s="5" t="s">
        <v>4</v>
      </c>
    </row>
    <row r="69" spans="1:13" ht="12.75" x14ac:dyDescent="0.2">
      <c r="A69" s="1">
        <v>3507924</v>
      </c>
      <c r="B69" s="2">
        <v>44118</v>
      </c>
      <c r="C69" s="2">
        <v>44119</v>
      </c>
      <c r="D69" s="1" t="s">
        <v>5</v>
      </c>
      <c r="E69" s="1" t="s">
        <v>75</v>
      </c>
      <c r="G69" s="1" t="s">
        <v>6</v>
      </c>
      <c r="H69" s="1">
        <v>86</v>
      </c>
      <c r="I69" s="1" t="s">
        <v>2</v>
      </c>
      <c r="J69" s="2">
        <v>44120</v>
      </c>
      <c r="K69" s="1" t="s">
        <v>3</v>
      </c>
      <c r="L69" s="2"/>
      <c r="M69" s="1" t="s">
        <v>4</v>
      </c>
    </row>
    <row r="70" spans="1:13" ht="12.75" x14ac:dyDescent="0.2">
      <c r="A70" s="5">
        <v>1319138</v>
      </c>
      <c r="B70" s="6">
        <v>44022</v>
      </c>
      <c r="C70" s="6">
        <v>44022</v>
      </c>
      <c r="D70" s="5" t="s">
        <v>0</v>
      </c>
      <c r="E70" s="5" t="s">
        <v>38</v>
      </c>
      <c r="F70" s="5">
        <v>12</v>
      </c>
      <c r="G70" s="5" t="s">
        <v>6</v>
      </c>
      <c r="H70" s="5">
        <v>92</v>
      </c>
      <c r="I70" s="5" t="s">
        <v>2</v>
      </c>
      <c r="J70" s="6">
        <v>44025</v>
      </c>
      <c r="K70" s="5" t="s">
        <v>3</v>
      </c>
      <c r="L70" s="6"/>
      <c r="M70" s="5" t="s">
        <v>4</v>
      </c>
    </row>
    <row r="71" spans="1:13" ht="12.75" x14ac:dyDescent="0.2">
      <c r="A71" s="1">
        <v>2428469</v>
      </c>
      <c r="B71" s="2">
        <v>44081</v>
      </c>
      <c r="C71" s="2">
        <v>44081</v>
      </c>
      <c r="D71" s="1" t="s">
        <v>0</v>
      </c>
      <c r="E71" s="1" t="s">
        <v>26</v>
      </c>
      <c r="F71" s="1">
        <v>4</v>
      </c>
      <c r="G71" s="1" t="s">
        <v>6</v>
      </c>
      <c r="H71" s="1">
        <v>76</v>
      </c>
      <c r="I71" s="1" t="s">
        <v>2</v>
      </c>
      <c r="J71" s="2">
        <v>44082</v>
      </c>
      <c r="K71" s="1" t="s">
        <v>3</v>
      </c>
      <c r="L71" s="2"/>
      <c r="M71" s="1" t="s">
        <v>4</v>
      </c>
    </row>
    <row r="72" spans="1:13" ht="12.75" x14ac:dyDescent="0.2">
      <c r="A72" s="5">
        <v>1729302</v>
      </c>
      <c r="B72" s="6">
        <v>44049</v>
      </c>
      <c r="C72" s="6">
        <v>44049</v>
      </c>
      <c r="D72" s="5" t="s">
        <v>0</v>
      </c>
      <c r="E72" s="5" t="s">
        <v>30</v>
      </c>
      <c r="F72" s="5">
        <v>15</v>
      </c>
      <c r="G72" s="5" t="s">
        <v>6</v>
      </c>
      <c r="H72" s="5">
        <v>75</v>
      </c>
      <c r="I72" s="5" t="s">
        <v>2</v>
      </c>
      <c r="J72" s="6">
        <v>44056</v>
      </c>
      <c r="K72" s="5" t="s">
        <v>3</v>
      </c>
      <c r="L72" s="6"/>
      <c r="M72" s="5" t="s">
        <v>20</v>
      </c>
    </row>
    <row r="73" spans="1:13" ht="12.75" x14ac:dyDescent="0.2">
      <c r="A73" s="1">
        <v>1307282</v>
      </c>
      <c r="B73" s="2">
        <v>44021</v>
      </c>
      <c r="C73" s="2">
        <v>44022</v>
      </c>
      <c r="D73" s="1" t="s">
        <v>0</v>
      </c>
      <c r="E73" s="1" t="s">
        <v>7</v>
      </c>
      <c r="F73" s="1">
        <v>3</v>
      </c>
      <c r="G73" s="1" t="s">
        <v>1</v>
      </c>
      <c r="H73" s="1">
        <v>82</v>
      </c>
      <c r="I73" s="1" t="s">
        <v>15</v>
      </c>
      <c r="J73" s="2"/>
      <c r="K73" s="1" t="s">
        <v>121</v>
      </c>
      <c r="L73" s="2"/>
    </row>
    <row r="74" spans="1:13" ht="12.75" x14ac:dyDescent="0.2">
      <c r="A74" s="5">
        <v>4854952</v>
      </c>
      <c r="B74" s="6">
        <v>44166</v>
      </c>
      <c r="C74" s="6">
        <v>44166</v>
      </c>
      <c r="D74" s="5" t="s">
        <v>5</v>
      </c>
      <c r="E74" s="5" t="s">
        <v>81</v>
      </c>
      <c r="F74" s="5"/>
      <c r="G74" s="5" t="s">
        <v>6</v>
      </c>
      <c r="H74" s="5">
        <v>33</v>
      </c>
      <c r="I74" s="5" t="s">
        <v>15</v>
      </c>
      <c r="J74" s="6"/>
      <c r="K74" s="5" t="s">
        <v>121</v>
      </c>
      <c r="L74" s="6"/>
      <c r="M74" s="5"/>
    </row>
    <row r="75" spans="1:13" ht="12.75" x14ac:dyDescent="0.2">
      <c r="A75" s="1">
        <v>2316211</v>
      </c>
      <c r="B75" s="2">
        <v>44075</v>
      </c>
      <c r="C75" s="2">
        <v>44075</v>
      </c>
      <c r="D75" s="1" t="s">
        <v>0</v>
      </c>
      <c r="E75" s="1" t="s">
        <v>29</v>
      </c>
      <c r="F75" s="1">
        <v>12</v>
      </c>
      <c r="G75" s="1" t="s">
        <v>1</v>
      </c>
      <c r="H75" s="1">
        <v>90</v>
      </c>
      <c r="I75" s="1" t="s">
        <v>2</v>
      </c>
      <c r="J75" s="2">
        <v>44081</v>
      </c>
      <c r="K75" s="1" t="s">
        <v>3</v>
      </c>
      <c r="L75" s="2"/>
      <c r="M75" s="1" t="s">
        <v>4</v>
      </c>
    </row>
    <row r="76" spans="1:13" ht="12.75" x14ac:dyDescent="0.2">
      <c r="A76" s="5">
        <v>1013431</v>
      </c>
      <c r="B76" s="6">
        <v>43984</v>
      </c>
      <c r="C76" s="6">
        <v>43985</v>
      </c>
      <c r="D76" s="5" t="s">
        <v>5</v>
      </c>
      <c r="E76" s="5" t="s">
        <v>76</v>
      </c>
      <c r="F76" s="5"/>
      <c r="G76" s="5" t="s">
        <v>6</v>
      </c>
      <c r="H76" s="5">
        <v>86</v>
      </c>
      <c r="I76" s="5" t="s">
        <v>2</v>
      </c>
      <c r="J76" s="6">
        <v>43988</v>
      </c>
      <c r="K76" s="5" t="s">
        <v>3</v>
      </c>
      <c r="L76" s="6"/>
      <c r="M76" s="5" t="s">
        <v>9</v>
      </c>
    </row>
    <row r="77" spans="1:13" ht="12.75" x14ac:dyDescent="0.2">
      <c r="A77" s="1">
        <v>1619130</v>
      </c>
      <c r="B77" s="2">
        <v>44043</v>
      </c>
      <c r="C77" s="2">
        <v>44043</v>
      </c>
      <c r="D77" s="1" t="s">
        <v>0</v>
      </c>
      <c r="E77" s="1" t="s">
        <v>39</v>
      </c>
      <c r="F77" s="1">
        <v>8</v>
      </c>
      <c r="G77" s="1" t="s">
        <v>1</v>
      </c>
      <c r="H77" s="1">
        <v>52</v>
      </c>
      <c r="I77" s="1" t="s">
        <v>2</v>
      </c>
      <c r="J77" s="2">
        <v>44065</v>
      </c>
      <c r="K77" s="1" t="s">
        <v>3</v>
      </c>
      <c r="L77" s="2"/>
      <c r="M77" s="1" t="s">
        <v>4</v>
      </c>
    </row>
    <row r="78" spans="1:13" ht="12.75" x14ac:dyDescent="0.2">
      <c r="A78" s="5">
        <v>1028316</v>
      </c>
      <c r="B78" s="6">
        <v>43987</v>
      </c>
      <c r="C78" s="6">
        <v>43988</v>
      </c>
      <c r="D78" s="5" t="s">
        <v>0</v>
      </c>
      <c r="E78" s="5" t="s">
        <v>36</v>
      </c>
      <c r="F78" s="5">
        <v>1</v>
      </c>
      <c r="G78" s="5" t="s">
        <v>6</v>
      </c>
      <c r="H78" s="5">
        <v>80</v>
      </c>
      <c r="I78" s="5" t="s">
        <v>2</v>
      </c>
      <c r="J78" s="6">
        <v>43987</v>
      </c>
      <c r="K78" s="5" t="s">
        <v>3</v>
      </c>
      <c r="L78" s="6"/>
      <c r="M78" s="5" t="s">
        <v>4</v>
      </c>
    </row>
    <row r="79" spans="1:13" ht="12.75" x14ac:dyDescent="0.2">
      <c r="A79" s="1">
        <v>1469528</v>
      </c>
      <c r="B79" s="2">
        <v>44029</v>
      </c>
      <c r="C79" s="2">
        <v>44030</v>
      </c>
      <c r="D79" s="1" t="s">
        <v>0</v>
      </c>
      <c r="E79" s="1" t="s">
        <v>14</v>
      </c>
      <c r="F79" s="1">
        <v>14</v>
      </c>
      <c r="G79" s="1" t="s">
        <v>1</v>
      </c>
      <c r="H79" s="1">
        <v>87</v>
      </c>
      <c r="I79" s="1" t="s">
        <v>2</v>
      </c>
      <c r="J79" s="2">
        <v>44040</v>
      </c>
      <c r="K79" s="1" t="s">
        <v>3</v>
      </c>
      <c r="L79" s="2"/>
      <c r="M79" s="1" t="s">
        <v>4</v>
      </c>
    </row>
    <row r="80" spans="1:13" ht="12.75" x14ac:dyDescent="0.2">
      <c r="A80" s="5">
        <v>3255203</v>
      </c>
      <c r="B80" s="6">
        <v>44110</v>
      </c>
      <c r="C80" s="6">
        <v>44112</v>
      </c>
      <c r="D80" s="5" t="s">
        <v>5</v>
      </c>
      <c r="E80" s="5" t="s">
        <v>80</v>
      </c>
      <c r="F80" s="5"/>
      <c r="G80" s="5" t="s">
        <v>6</v>
      </c>
      <c r="H80" s="5">
        <v>81</v>
      </c>
      <c r="I80" s="5" t="s">
        <v>2</v>
      </c>
      <c r="J80" s="6">
        <v>44118</v>
      </c>
      <c r="K80" s="5" t="s">
        <v>3</v>
      </c>
      <c r="L80" s="6"/>
      <c r="M80" s="5" t="s">
        <v>4</v>
      </c>
    </row>
    <row r="81" spans="1:13" ht="12.75" x14ac:dyDescent="0.2">
      <c r="A81" s="1">
        <v>2216091</v>
      </c>
      <c r="B81" s="2">
        <v>44073</v>
      </c>
      <c r="C81" s="2">
        <v>44073</v>
      </c>
      <c r="D81" s="1" t="s">
        <v>0</v>
      </c>
      <c r="E81" s="1" t="s">
        <v>27</v>
      </c>
      <c r="F81" s="1">
        <v>4</v>
      </c>
      <c r="G81" s="1" t="s">
        <v>6</v>
      </c>
      <c r="H81" s="1">
        <v>82</v>
      </c>
      <c r="I81" s="1" t="s">
        <v>15</v>
      </c>
      <c r="J81" s="2"/>
      <c r="K81" s="1" t="s">
        <v>121</v>
      </c>
      <c r="L81" s="2"/>
    </row>
    <row r="82" spans="1:13" ht="12.75" x14ac:dyDescent="0.2">
      <c r="A82" s="5">
        <v>1667935</v>
      </c>
      <c r="B82" s="6">
        <v>44046</v>
      </c>
      <c r="C82" s="6">
        <v>44047</v>
      </c>
      <c r="D82" s="5" t="s">
        <v>0</v>
      </c>
      <c r="E82" s="5" t="s">
        <v>40</v>
      </c>
      <c r="F82" s="5">
        <v>1</v>
      </c>
      <c r="G82" s="5" t="s">
        <v>1</v>
      </c>
      <c r="H82" s="5">
        <v>48</v>
      </c>
      <c r="I82" s="5" t="s">
        <v>2</v>
      </c>
      <c r="J82" s="6">
        <v>44048</v>
      </c>
      <c r="K82" s="5" t="s">
        <v>3</v>
      </c>
      <c r="L82" s="6"/>
      <c r="M82" s="5" t="s">
        <v>20</v>
      </c>
    </row>
    <row r="83" spans="1:13" ht="12.75" x14ac:dyDescent="0.2">
      <c r="A83" s="1">
        <v>2729339</v>
      </c>
      <c r="B83" s="2">
        <v>44092</v>
      </c>
      <c r="C83" s="2">
        <v>44094</v>
      </c>
      <c r="D83" s="1" t="s">
        <v>0</v>
      </c>
      <c r="E83" s="1" t="s">
        <v>34</v>
      </c>
      <c r="F83" s="1">
        <v>9</v>
      </c>
      <c r="G83" s="1" t="s">
        <v>1</v>
      </c>
      <c r="H83" s="1">
        <v>75</v>
      </c>
      <c r="I83" s="1" t="s">
        <v>2</v>
      </c>
      <c r="J83" s="2">
        <v>44113</v>
      </c>
      <c r="K83" s="1" t="s">
        <v>3</v>
      </c>
      <c r="L83" s="2"/>
      <c r="M83" s="1" t="s">
        <v>4</v>
      </c>
    </row>
    <row r="84" spans="1:13" ht="12.75" x14ac:dyDescent="0.2">
      <c r="A84" s="5">
        <v>1391778</v>
      </c>
      <c r="B84" s="6">
        <v>44028</v>
      </c>
      <c r="C84" s="6">
        <v>44028</v>
      </c>
      <c r="D84" s="5" t="s">
        <v>0</v>
      </c>
      <c r="E84" s="5" t="s">
        <v>10</v>
      </c>
      <c r="F84" s="5">
        <v>5</v>
      </c>
      <c r="G84" s="5" t="s">
        <v>6</v>
      </c>
      <c r="H84" s="5">
        <v>74</v>
      </c>
      <c r="I84" s="5" t="s">
        <v>2</v>
      </c>
      <c r="J84" s="6">
        <v>44068</v>
      </c>
      <c r="K84" s="5" t="s">
        <v>3</v>
      </c>
      <c r="L84" s="6"/>
      <c r="M84" s="5" t="s">
        <v>4</v>
      </c>
    </row>
    <row r="85" spans="1:13" ht="12.75" x14ac:dyDescent="0.2">
      <c r="A85" s="1">
        <v>1376585</v>
      </c>
      <c r="B85" s="2">
        <v>44027</v>
      </c>
      <c r="C85" s="2">
        <v>44027</v>
      </c>
      <c r="D85" s="1" t="s">
        <v>5</v>
      </c>
      <c r="E85" s="1" t="s">
        <v>102</v>
      </c>
      <c r="G85" s="1" t="s">
        <v>6</v>
      </c>
      <c r="H85" s="1">
        <v>96</v>
      </c>
      <c r="I85" s="1" t="s">
        <v>2</v>
      </c>
      <c r="J85" s="2">
        <v>44039</v>
      </c>
      <c r="K85" s="1" t="s">
        <v>3</v>
      </c>
      <c r="L85" s="2"/>
      <c r="M85" s="1" t="s">
        <v>4</v>
      </c>
    </row>
    <row r="86" spans="1:13" ht="12.75" x14ac:dyDescent="0.2">
      <c r="A86" s="5">
        <v>1389983</v>
      </c>
      <c r="B86" s="6">
        <v>44028</v>
      </c>
      <c r="C86" s="6">
        <v>44028</v>
      </c>
      <c r="D86" s="5" t="s">
        <v>5</v>
      </c>
      <c r="E86" s="5" t="s">
        <v>75</v>
      </c>
      <c r="F86" s="5"/>
      <c r="G86" s="5" t="s">
        <v>1</v>
      </c>
      <c r="H86" s="5">
        <v>83</v>
      </c>
      <c r="I86" s="5" t="s">
        <v>2</v>
      </c>
      <c r="J86" s="6">
        <v>44045</v>
      </c>
      <c r="K86" s="5" t="s">
        <v>3</v>
      </c>
      <c r="L86" s="6"/>
      <c r="M86" s="5" t="s">
        <v>9</v>
      </c>
    </row>
    <row r="87" spans="1:13" ht="12.75" x14ac:dyDescent="0.2">
      <c r="A87" s="1">
        <v>1470319</v>
      </c>
      <c r="B87" s="2">
        <v>44034</v>
      </c>
      <c r="C87" s="2">
        <v>44034</v>
      </c>
      <c r="D87" s="1" t="s">
        <v>5</v>
      </c>
      <c r="E87" s="1" t="s">
        <v>76</v>
      </c>
      <c r="G87" s="1" t="s">
        <v>1</v>
      </c>
      <c r="H87" s="1">
        <v>55</v>
      </c>
      <c r="I87" s="1" t="s">
        <v>2</v>
      </c>
      <c r="J87" s="2">
        <v>44059</v>
      </c>
      <c r="K87" s="1" t="s">
        <v>3</v>
      </c>
      <c r="L87" s="2"/>
      <c r="M87" s="1" t="s">
        <v>9</v>
      </c>
    </row>
    <row r="88" spans="1:13" ht="12.75" x14ac:dyDescent="0.2">
      <c r="A88" s="5">
        <v>1281167</v>
      </c>
      <c r="B88" s="6">
        <v>44019</v>
      </c>
      <c r="C88" s="6">
        <v>44020</v>
      </c>
      <c r="D88" s="5" t="s">
        <v>0</v>
      </c>
      <c r="E88" s="5" t="s">
        <v>7</v>
      </c>
      <c r="F88" s="5">
        <v>3</v>
      </c>
      <c r="G88" s="5" t="s">
        <v>6</v>
      </c>
      <c r="H88" s="5">
        <v>67</v>
      </c>
      <c r="I88" s="5" t="s">
        <v>2</v>
      </c>
      <c r="J88" s="6">
        <v>44025</v>
      </c>
      <c r="K88" s="5" t="s">
        <v>3</v>
      </c>
      <c r="L88" s="6"/>
      <c r="M88" s="5" t="s">
        <v>20</v>
      </c>
    </row>
    <row r="89" spans="1:13" ht="12.75" x14ac:dyDescent="0.2">
      <c r="A89" s="1">
        <v>1272585</v>
      </c>
      <c r="B89" s="2">
        <v>44018</v>
      </c>
      <c r="C89" s="2">
        <v>44020</v>
      </c>
      <c r="D89" s="1" t="s">
        <v>0</v>
      </c>
      <c r="E89" s="1" t="s">
        <v>16</v>
      </c>
      <c r="F89" s="1">
        <v>15</v>
      </c>
      <c r="G89" s="1" t="s">
        <v>6</v>
      </c>
      <c r="H89" s="1">
        <v>97</v>
      </c>
      <c r="I89" s="1" t="s">
        <v>2</v>
      </c>
      <c r="J89" s="2">
        <v>44025</v>
      </c>
      <c r="K89" s="1" t="s">
        <v>3</v>
      </c>
      <c r="L89" s="2"/>
      <c r="M89" s="1" t="s">
        <v>4</v>
      </c>
    </row>
    <row r="90" spans="1:13" ht="12.75" x14ac:dyDescent="0.2">
      <c r="A90" s="5">
        <v>4461551</v>
      </c>
      <c r="B90" s="6">
        <v>44152</v>
      </c>
      <c r="C90" s="6">
        <v>44153</v>
      </c>
      <c r="D90" s="5" t="s">
        <v>0</v>
      </c>
      <c r="E90" s="5" t="s">
        <v>16</v>
      </c>
      <c r="F90" s="5">
        <v>15</v>
      </c>
      <c r="G90" s="5" t="s">
        <v>6</v>
      </c>
      <c r="H90" s="5">
        <v>84</v>
      </c>
      <c r="I90" s="5" t="s">
        <v>2</v>
      </c>
      <c r="J90" s="6">
        <v>44159</v>
      </c>
      <c r="K90" s="5" t="s">
        <v>3</v>
      </c>
      <c r="L90" s="6"/>
      <c r="M90" s="5" t="s">
        <v>4</v>
      </c>
    </row>
    <row r="91" spans="1:13" ht="12.75" x14ac:dyDescent="0.2">
      <c r="A91" s="1">
        <v>3247222</v>
      </c>
      <c r="B91" s="2">
        <v>44119</v>
      </c>
      <c r="C91" s="2">
        <v>44120</v>
      </c>
      <c r="D91" s="1" t="s">
        <v>5</v>
      </c>
      <c r="E91" s="1" t="s">
        <v>82</v>
      </c>
      <c r="G91" s="1" t="s">
        <v>1</v>
      </c>
      <c r="H91" s="1">
        <v>76</v>
      </c>
      <c r="I91" s="1" t="s">
        <v>2</v>
      </c>
      <c r="J91" s="2">
        <v>44139</v>
      </c>
      <c r="K91" s="1" t="s">
        <v>3</v>
      </c>
      <c r="L91" s="2"/>
      <c r="M91" s="1" t="s">
        <v>4</v>
      </c>
    </row>
    <row r="92" spans="1:13" ht="12.75" x14ac:dyDescent="0.2">
      <c r="A92" s="5">
        <v>1000567</v>
      </c>
      <c r="B92" s="6">
        <v>43982</v>
      </c>
      <c r="C92" s="6">
        <v>43983</v>
      </c>
      <c r="D92" s="5" t="s">
        <v>0</v>
      </c>
      <c r="E92" s="5" t="s">
        <v>13</v>
      </c>
      <c r="F92" s="5">
        <v>2</v>
      </c>
      <c r="G92" s="5" t="s">
        <v>6</v>
      </c>
      <c r="H92" s="5">
        <v>97</v>
      </c>
      <c r="I92" s="5" t="s">
        <v>2</v>
      </c>
      <c r="J92" s="6">
        <v>43991</v>
      </c>
      <c r="K92" s="5" t="s">
        <v>3</v>
      </c>
      <c r="L92" s="6"/>
      <c r="M92" s="5" t="s">
        <v>9</v>
      </c>
    </row>
    <row r="93" spans="1:13" ht="12.75" x14ac:dyDescent="0.2">
      <c r="A93" s="1">
        <v>3171496</v>
      </c>
      <c r="B93" s="2">
        <v>44125</v>
      </c>
      <c r="C93" s="2">
        <v>44126</v>
      </c>
      <c r="D93" s="1" t="s">
        <v>5</v>
      </c>
      <c r="E93" s="1" t="s">
        <v>76</v>
      </c>
      <c r="G93" s="1" t="s">
        <v>6</v>
      </c>
      <c r="H93" s="1">
        <v>69</v>
      </c>
      <c r="I93" s="1" t="s">
        <v>2</v>
      </c>
      <c r="J93" s="2">
        <v>44134</v>
      </c>
      <c r="K93" s="1" t="s">
        <v>3</v>
      </c>
      <c r="L93" s="2"/>
      <c r="M93" s="1" t="s">
        <v>4</v>
      </c>
    </row>
    <row r="94" spans="1:13" ht="12.75" x14ac:dyDescent="0.2">
      <c r="A94" s="5">
        <v>4715719</v>
      </c>
      <c r="B94" s="6">
        <v>44159</v>
      </c>
      <c r="C94" s="6">
        <v>44160</v>
      </c>
      <c r="D94" s="5" t="s">
        <v>0</v>
      </c>
      <c r="E94" s="5" t="s">
        <v>25</v>
      </c>
      <c r="F94" s="5">
        <v>13</v>
      </c>
      <c r="G94" s="5" t="s">
        <v>6</v>
      </c>
      <c r="H94" s="5">
        <v>88</v>
      </c>
      <c r="I94" s="5" t="s">
        <v>15</v>
      </c>
      <c r="J94" s="6"/>
      <c r="K94" s="5" t="s">
        <v>121</v>
      </c>
      <c r="L94" s="6"/>
      <c r="M94" s="5"/>
    </row>
    <row r="95" spans="1:13" ht="12.75" x14ac:dyDescent="0.2">
      <c r="A95" s="1">
        <v>5142919</v>
      </c>
      <c r="B95" s="2">
        <v>44185</v>
      </c>
      <c r="C95" s="2">
        <v>44200</v>
      </c>
      <c r="D95" s="1" t="s">
        <v>5</v>
      </c>
      <c r="E95" s="1" t="s">
        <v>76</v>
      </c>
      <c r="G95" s="1" t="s">
        <v>6</v>
      </c>
      <c r="H95" s="1">
        <v>60</v>
      </c>
      <c r="I95" s="1" t="s">
        <v>2</v>
      </c>
      <c r="J95" s="2">
        <v>44197</v>
      </c>
      <c r="K95" s="1" t="s">
        <v>3</v>
      </c>
      <c r="L95" s="2"/>
      <c r="M95" s="1" t="s">
        <v>20</v>
      </c>
    </row>
    <row r="96" spans="1:13" ht="12.75" x14ac:dyDescent="0.2">
      <c r="A96" s="5">
        <v>5154153</v>
      </c>
      <c r="B96" s="6">
        <v>44175</v>
      </c>
      <c r="C96" s="6">
        <v>44175</v>
      </c>
      <c r="D96" s="5" t="s">
        <v>0</v>
      </c>
      <c r="E96" s="5" t="s">
        <v>41</v>
      </c>
      <c r="F96" s="5">
        <v>4</v>
      </c>
      <c r="G96" s="5" t="s">
        <v>6</v>
      </c>
      <c r="H96" s="5">
        <v>71</v>
      </c>
      <c r="I96" s="5" t="s">
        <v>2</v>
      </c>
      <c r="J96" s="6">
        <v>44177</v>
      </c>
      <c r="K96" s="5" t="s">
        <v>3</v>
      </c>
      <c r="L96" s="6"/>
      <c r="M96" s="5" t="s">
        <v>4</v>
      </c>
    </row>
    <row r="97" spans="1:13" ht="12.75" x14ac:dyDescent="0.2">
      <c r="A97" s="1">
        <v>1313225</v>
      </c>
      <c r="B97" s="2">
        <v>44022</v>
      </c>
      <c r="C97" s="2">
        <v>44022</v>
      </c>
      <c r="D97" s="1" t="s">
        <v>0</v>
      </c>
      <c r="E97" s="1" t="s">
        <v>37</v>
      </c>
      <c r="F97" s="1">
        <v>13</v>
      </c>
      <c r="G97" s="1" t="s">
        <v>1</v>
      </c>
      <c r="H97" s="1">
        <v>85</v>
      </c>
      <c r="I97" s="1" t="s">
        <v>2</v>
      </c>
      <c r="J97" s="2">
        <v>44034</v>
      </c>
      <c r="K97" s="1" t="s">
        <v>3</v>
      </c>
      <c r="L97" s="2"/>
      <c r="M97" s="1" t="s">
        <v>4</v>
      </c>
    </row>
    <row r="98" spans="1:13" ht="12.75" x14ac:dyDescent="0.2">
      <c r="A98" s="5">
        <v>4514356</v>
      </c>
      <c r="B98" s="6">
        <v>44161</v>
      </c>
      <c r="C98" s="6">
        <v>44161</v>
      </c>
      <c r="D98" s="5" t="s">
        <v>0</v>
      </c>
      <c r="E98" s="5" t="s">
        <v>27</v>
      </c>
      <c r="F98" s="5">
        <v>4</v>
      </c>
      <c r="G98" s="5" t="s">
        <v>6</v>
      </c>
      <c r="H98" s="5">
        <v>32</v>
      </c>
      <c r="I98" s="5" t="s">
        <v>2</v>
      </c>
      <c r="J98" s="6">
        <v>44192</v>
      </c>
      <c r="K98" s="5" t="s">
        <v>3</v>
      </c>
      <c r="L98" s="6"/>
      <c r="M98" s="5" t="s">
        <v>9</v>
      </c>
    </row>
    <row r="99" spans="1:13" ht="12.75" x14ac:dyDescent="0.2">
      <c r="A99" s="1">
        <v>1084220</v>
      </c>
      <c r="B99" s="2">
        <v>44022</v>
      </c>
      <c r="C99" s="2">
        <v>44022</v>
      </c>
      <c r="D99" s="1" t="s">
        <v>0</v>
      </c>
      <c r="E99" s="1" t="s">
        <v>11</v>
      </c>
      <c r="F99" s="1">
        <v>6</v>
      </c>
      <c r="G99" s="1" t="s">
        <v>6</v>
      </c>
      <c r="H99" s="1">
        <v>79</v>
      </c>
      <c r="I99" s="1" t="s">
        <v>2</v>
      </c>
      <c r="J99" s="2">
        <v>44023</v>
      </c>
      <c r="K99" s="1" t="s">
        <v>3</v>
      </c>
      <c r="L99" s="2"/>
      <c r="M99" s="1" t="s">
        <v>4</v>
      </c>
    </row>
    <row r="100" spans="1:13" ht="12.75" x14ac:dyDescent="0.2">
      <c r="A100" s="5">
        <v>785145</v>
      </c>
      <c r="B100" s="6">
        <v>43922</v>
      </c>
      <c r="C100" s="6">
        <v>43926</v>
      </c>
      <c r="D100" s="5" t="s">
        <v>0</v>
      </c>
      <c r="E100" s="5" t="s">
        <v>38</v>
      </c>
      <c r="F100" s="5">
        <v>12</v>
      </c>
      <c r="G100" s="5" t="s">
        <v>1</v>
      </c>
      <c r="H100" s="5">
        <v>85</v>
      </c>
      <c r="I100" s="5" t="s">
        <v>15</v>
      </c>
      <c r="J100" s="6"/>
      <c r="K100" s="5" t="s">
        <v>121</v>
      </c>
      <c r="L100" s="6"/>
      <c r="M100" s="5"/>
    </row>
    <row r="101" spans="1:13" ht="12.75" x14ac:dyDescent="0.2">
      <c r="A101" s="1">
        <v>1447653</v>
      </c>
      <c r="B101" s="2">
        <v>44033</v>
      </c>
      <c r="C101" s="2">
        <v>44033</v>
      </c>
      <c r="D101" s="1" t="s">
        <v>0</v>
      </c>
      <c r="E101" s="1" t="s">
        <v>25</v>
      </c>
      <c r="F101" s="1">
        <v>13</v>
      </c>
      <c r="G101" s="1" t="s">
        <v>1</v>
      </c>
      <c r="H101" s="1">
        <v>60</v>
      </c>
      <c r="I101" s="1" t="s">
        <v>2</v>
      </c>
      <c r="J101" s="2">
        <v>44050</v>
      </c>
      <c r="K101" s="1" t="s">
        <v>3</v>
      </c>
      <c r="L101" s="2"/>
      <c r="M101" s="1" t="s">
        <v>9</v>
      </c>
    </row>
    <row r="102" spans="1:13" ht="12.75" x14ac:dyDescent="0.2">
      <c r="A102" s="5">
        <v>1352161</v>
      </c>
      <c r="B102" s="6">
        <v>44026</v>
      </c>
      <c r="C102" s="6">
        <v>44039</v>
      </c>
      <c r="D102" s="5" t="s">
        <v>0</v>
      </c>
      <c r="E102" s="5" t="s">
        <v>42</v>
      </c>
      <c r="F102" s="5">
        <v>11</v>
      </c>
      <c r="G102" s="5" t="s">
        <v>1</v>
      </c>
      <c r="H102" s="5">
        <v>91</v>
      </c>
      <c r="I102" s="5" t="s">
        <v>2</v>
      </c>
      <c r="J102" s="6">
        <v>44050</v>
      </c>
      <c r="K102" s="5" t="s">
        <v>3</v>
      </c>
      <c r="L102" s="6"/>
      <c r="M102" s="5" t="s">
        <v>9</v>
      </c>
    </row>
    <row r="103" spans="1:13" ht="12.75" x14ac:dyDescent="0.2">
      <c r="A103" s="1">
        <v>4459941</v>
      </c>
      <c r="B103" s="2">
        <v>44152</v>
      </c>
      <c r="C103" s="2">
        <v>44171</v>
      </c>
      <c r="D103" s="1" t="s">
        <v>5</v>
      </c>
      <c r="E103" s="1" t="s">
        <v>75</v>
      </c>
      <c r="G103" s="1" t="s">
        <v>6</v>
      </c>
      <c r="H103" s="1">
        <v>70</v>
      </c>
      <c r="I103" s="1" t="s">
        <v>2</v>
      </c>
      <c r="J103" s="2">
        <v>44175</v>
      </c>
      <c r="K103" s="1" t="s">
        <v>3</v>
      </c>
      <c r="L103" s="2"/>
      <c r="M103" s="1" t="s">
        <v>4</v>
      </c>
    </row>
    <row r="104" spans="1:13" ht="12.75" x14ac:dyDescent="0.2">
      <c r="A104" s="5">
        <v>1934440</v>
      </c>
      <c r="B104" s="6">
        <v>44074</v>
      </c>
      <c r="C104" s="6">
        <v>44074</v>
      </c>
      <c r="D104" s="5" t="s">
        <v>0</v>
      </c>
      <c r="E104" s="5" t="s">
        <v>8</v>
      </c>
      <c r="F104" s="5">
        <v>7</v>
      </c>
      <c r="G104" s="5" t="s">
        <v>6</v>
      </c>
      <c r="H104" s="5">
        <v>64</v>
      </c>
      <c r="I104" s="5" t="s">
        <v>2</v>
      </c>
      <c r="J104" s="6">
        <v>44074</v>
      </c>
      <c r="K104" s="5" t="s">
        <v>3</v>
      </c>
      <c r="L104" s="6"/>
      <c r="M104" s="5" t="s">
        <v>4</v>
      </c>
    </row>
    <row r="105" spans="1:13" ht="12.75" x14ac:dyDescent="0.2">
      <c r="A105" s="1">
        <v>2163903</v>
      </c>
      <c r="B105" s="2">
        <v>44070</v>
      </c>
      <c r="C105" s="2">
        <v>44070</v>
      </c>
      <c r="D105" s="1" t="s">
        <v>0</v>
      </c>
      <c r="E105" s="1" t="s">
        <v>42</v>
      </c>
      <c r="F105" s="1">
        <v>11</v>
      </c>
      <c r="G105" s="1" t="s">
        <v>1</v>
      </c>
      <c r="H105" s="1">
        <v>92</v>
      </c>
      <c r="I105" s="1" t="s">
        <v>15</v>
      </c>
      <c r="J105" s="2"/>
      <c r="K105" s="1" t="s">
        <v>121</v>
      </c>
      <c r="L105" s="2"/>
    </row>
    <row r="106" spans="1:13" ht="12.75" x14ac:dyDescent="0.2">
      <c r="A106" s="5">
        <v>1256774</v>
      </c>
      <c r="B106" s="6">
        <v>44017</v>
      </c>
      <c r="C106" s="6">
        <v>44017</v>
      </c>
      <c r="D106" s="5" t="s">
        <v>0</v>
      </c>
      <c r="E106" s="5" t="s">
        <v>41</v>
      </c>
      <c r="F106" s="5">
        <v>4</v>
      </c>
      <c r="G106" s="5" t="s">
        <v>1</v>
      </c>
      <c r="H106" s="5">
        <v>82</v>
      </c>
      <c r="I106" s="5" t="s">
        <v>2</v>
      </c>
      <c r="J106" s="6">
        <v>44025</v>
      </c>
      <c r="K106" s="5" t="s">
        <v>3</v>
      </c>
      <c r="L106" s="6"/>
      <c r="M106" s="5" t="s">
        <v>4</v>
      </c>
    </row>
    <row r="107" spans="1:13" ht="12.75" x14ac:dyDescent="0.2">
      <c r="A107" s="1">
        <v>2665666</v>
      </c>
      <c r="B107" s="2">
        <v>44090</v>
      </c>
      <c r="C107" s="2">
        <v>44090</v>
      </c>
      <c r="D107" s="1" t="s">
        <v>0</v>
      </c>
      <c r="E107" s="1" t="s">
        <v>11</v>
      </c>
      <c r="F107" s="1">
        <v>6</v>
      </c>
      <c r="G107" s="1" t="s">
        <v>1</v>
      </c>
      <c r="H107" s="1">
        <v>89</v>
      </c>
      <c r="I107" s="1" t="s">
        <v>2</v>
      </c>
      <c r="J107" s="2">
        <v>44093</v>
      </c>
      <c r="K107" s="1" t="s">
        <v>3</v>
      </c>
      <c r="L107" s="2"/>
      <c r="M107" s="1" t="s">
        <v>9</v>
      </c>
    </row>
    <row r="108" spans="1:13" ht="12.75" x14ac:dyDescent="0.2">
      <c r="A108" s="5">
        <v>781310</v>
      </c>
      <c r="B108" s="6">
        <v>43921</v>
      </c>
      <c r="C108" s="6">
        <v>43924</v>
      </c>
      <c r="D108" s="5" t="s">
        <v>5</v>
      </c>
      <c r="E108" s="5" t="s">
        <v>74</v>
      </c>
      <c r="F108" s="5"/>
      <c r="G108" s="5" t="s">
        <v>6</v>
      </c>
      <c r="H108" s="5">
        <v>85</v>
      </c>
      <c r="I108" s="5" t="s">
        <v>2</v>
      </c>
      <c r="J108" s="6">
        <v>43927</v>
      </c>
      <c r="K108" s="5" t="s">
        <v>3</v>
      </c>
      <c r="L108" s="6"/>
      <c r="M108" s="5" t="s">
        <v>4</v>
      </c>
    </row>
    <row r="109" spans="1:13" ht="12.75" x14ac:dyDescent="0.2">
      <c r="A109" s="1">
        <v>956298</v>
      </c>
      <c r="B109" s="2">
        <v>43972</v>
      </c>
      <c r="C109" s="2">
        <v>43972</v>
      </c>
      <c r="D109" s="1" t="s">
        <v>0</v>
      </c>
      <c r="E109" s="1" t="s">
        <v>8</v>
      </c>
      <c r="F109" s="1">
        <v>7</v>
      </c>
      <c r="G109" s="1" t="s">
        <v>6</v>
      </c>
      <c r="H109" s="1">
        <v>75</v>
      </c>
      <c r="I109" s="1" t="s">
        <v>15</v>
      </c>
      <c r="J109" s="2"/>
      <c r="K109" s="1" t="s">
        <v>121</v>
      </c>
      <c r="L109" s="2"/>
    </row>
    <row r="110" spans="1:13" ht="12.75" x14ac:dyDescent="0.2">
      <c r="A110" s="5">
        <v>1063745</v>
      </c>
      <c r="B110" s="6">
        <v>43993</v>
      </c>
      <c r="C110" s="6">
        <v>43995</v>
      </c>
      <c r="D110" s="5" t="s">
        <v>5</v>
      </c>
      <c r="E110" s="5" t="s">
        <v>102</v>
      </c>
      <c r="F110" s="5"/>
      <c r="G110" s="5" t="s">
        <v>6</v>
      </c>
      <c r="H110" s="5">
        <v>62</v>
      </c>
      <c r="I110" s="5" t="s">
        <v>2</v>
      </c>
      <c r="J110" s="6">
        <v>44005</v>
      </c>
      <c r="K110" s="5" t="s">
        <v>3</v>
      </c>
      <c r="L110" s="6"/>
      <c r="M110" s="5" t="s">
        <v>22</v>
      </c>
    </row>
    <row r="111" spans="1:13" ht="12.75" x14ac:dyDescent="0.2">
      <c r="A111" s="1">
        <v>794846</v>
      </c>
      <c r="B111" s="2">
        <v>43921</v>
      </c>
      <c r="C111" s="2">
        <v>43921</v>
      </c>
      <c r="D111" s="1" t="s">
        <v>0</v>
      </c>
      <c r="E111" s="1" t="s">
        <v>14</v>
      </c>
      <c r="F111" s="1">
        <v>14</v>
      </c>
      <c r="G111" s="1" t="s">
        <v>6</v>
      </c>
      <c r="H111" s="1">
        <v>81</v>
      </c>
      <c r="I111" s="1" t="s">
        <v>2</v>
      </c>
      <c r="J111" s="2">
        <v>43945</v>
      </c>
      <c r="K111" s="1" t="s">
        <v>3</v>
      </c>
      <c r="L111" s="2"/>
      <c r="M111" s="1" t="s">
        <v>4</v>
      </c>
    </row>
    <row r="112" spans="1:13" ht="12.75" x14ac:dyDescent="0.2">
      <c r="A112" s="5">
        <v>956780</v>
      </c>
      <c r="B112" s="6">
        <v>43973</v>
      </c>
      <c r="C112" s="6">
        <v>43973</v>
      </c>
      <c r="D112" s="5" t="s">
        <v>0</v>
      </c>
      <c r="E112" s="5" t="s">
        <v>8</v>
      </c>
      <c r="F112" s="5">
        <v>7</v>
      </c>
      <c r="G112" s="5" t="s">
        <v>1</v>
      </c>
      <c r="H112" s="5">
        <v>72</v>
      </c>
      <c r="I112" s="5" t="s">
        <v>2</v>
      </c>
      <c r="J112" s="6">
        <v>43981</v>
      </c>
      <c r="K112" s="5" t="s">
        <v>3</v>
      </c>
      <c r="L112" s="6"/>
      <c r="M112" s="5" t="s">
        <v>4</v>
      </c>
    </row>
    <row r="113" spans="1:13" ht="12.75" x14ac:dyDescent="0.2">
      <c r="A113" s="1">
        <v>3810173</v>
      </c>
      <c r="B113" s="2">
        <v>44130</v>
      </c>
      <c r="C113" s="2">
        <v>44132</v>
      </c>
      <c r="D113" s="1" t="s">
        <v>5</v>
      </c>
      <c r="E113" s="1" t="s">
        <v>81</v>
      </c>
      <c r="G113" s="1" t="s">
        <v>1</v>
      </c>
      <c r="H113" s="1">
        <v>79</v>
      </c>
      <c r="I113" s="1" t="s">
        <v>2</v>
      </c>
      <c r="J113" s="2">
        <v>44142</v>
      </c>
      <c r="K113" s="1" t="s">
        <v>3</v>
      </c>
      <c r="L113" s="2"/>
      <c r="M113" s="1" t="s">
        <v>4</v>
      </c>
    </row>
    <row r="114" spans="1:13" ht="12.75" x14ac:dyDescent="0.2">
      <c r="A114" s="5">
        <v>1728435</v>
      </c>
      <c r="B114" s="6">
        <v>44047</v>
      </c>
      <c r="C114" s="6">
        <v>44048</v>
      </c>
      <c r="D114" s="5" t="s">
        <v>5</v>
      </c>
      <c r="E114" s="5" t="s">
        <v>102</v>
      </c>
      <c r="F114" s="5"/>
      <c r="G114" s="5" t="s">
        <v>1</v>
      </c>
      <c r="H114" s="5">
        <v>88</v>
      </c>
      <c r="I114" s="5" t="s">
        <v>2</v>
      </c>
      <c r="J114" s="6">
        <v>44061</v>
      </c>
      <c r="K114" s="5" t="s">
        <v>3</v>
      </c>
      <c r="L114" s="6"/>
      <c r="M114" s="5" t="s">
        <v>4</v>
      </c>
    </row>
    <row r="115" spans="1:13" ht="12.75" x14ac:dyDescent="0.2">
      <c r="A115" s="1">
        <v>1040507</v>
      </c>
      <c r="B115" s="2">
        <v>43989</v>
      </c>
      <c r="C115" s="2">
        <v>44027</v>
      </c>
      <c r="D115" s="1" t="s">
        <v>0</v>
      </c>
      <c r="E115" s="1" t="s">
        <v>43</v>
      </c>
      <c r="F115" s="1">
        <v>10</v>
      </c>
      <c r="G115" s="1" t="s">
        <v>6</v>
      </c>
      <c r="H115" s="1">
        <v>91</v>
      </c>
      <c r="I115" s="1" t="s">
        <v>2</v>
      </c>
      <c r="J115" s="2">
        <v>44028</v>
      </c>
      <c r="K115" s="1" t="s">
        <v>3</v>
      </c>
      <c r="L115" s="2"/>
      <c r="M115" s="1" t="s">
        <v>9</v>
      </c>
    </row>
    <row r="116" spans="1:13" ht="12.75" x14ac:dyDescent="0.2">
      <c r="A116" s="5">
        <v>1627226</v>
      </c>
      <c r="B116" s="6">
        <v>44044</v>
      </c>
      <c r="C116" s="6">
        <v>44044</v>
      </c>
      <c r="D116" s="5" t="s">
        <v>0</v>
      </c>
      <c r="E116" s="5" t="s">
        <v>44</v>
      </c>
      <c r="F116" s="5">
        <v>9</v>
      </c>
      <c r="G116" s="5" t="s">
        <v>1</v>
      </c>
      <c r="H116" s="5">
        <v>66</v>
      </c>
      <c r="I116" s="5" t="s">
        <v>2</v>
      </c>
      <c r="J116" s="6">
        <v>44089</v>
      </c>
      <c r="K116" s="5" t="s">
        <v>3</v>
      </c>
      <c r="L116" s="6"/>
      <c r="M116" s="5" t="s">
        <v>20</v>
      </c>
    </row>
    <row r="117" spans="1:13" ht="12.75" x14ac:dyDescent="0.2">
      <c r="A117" s="1">
        <v>2149542</v>
      </c>
      <c r="B117" s="2">
        <v>44081</v>
      </c>
      <c r="C117" s="2">
        <v>44082</v>
      </c>
      <c r="D117" s="1" t="s">
        <v>0</v>
      </c>
      <c r="E117" s="1" t="s">
        <v>13</v>
      </c>
      <c r="F117" s="1">
        <v>2</v>
      </c>
      <c r="G117" s="1" t="s">
        <v>1</v>
      </c>
      <c r="H117" s="1">
        <v>94</v>
      </c>
      <c r="I117" s="1" t="s">
        <v>2</v>
      </c>
      <c r="J117" s="2">
        <v>44094</v>
      </c>
      <c r="K117" s="1" t="s">
        <v>3</v>
      </c>
      <c r="L117" s="2"/>
      <c r="M117" s="1" t="s">
        <v>4</v>
      </c>
    </row>
    <row r="118" spans="1:13" ht="12.75" x14ac:dyDescent="0.2">
      <c r="A118" s="5">
        <v>2229335</v>
      </c>
      <c r="B118" s="6">
        <v>44073</v>
      </c>
      <c r="C118" s="6">
        <v>44073</v>
      </c>
      <c r="D118" s="5" t="s">
        <v>0</v>
      </c>
      <c r="E118" s="5" t="s">
        <v>45</v>
      </c>
      <c r="F118" s="5">
        <v>4</v>
      </c>
      <c r="G118" s="5" t="s">
        <v>6</v>
      </c>
      <c r="H118" s="5">
        <v>64</v>
      </c>
      <c r="I118" s="5" t="s">
        <v>15</v>
      </c>
      <c r="J118" s="6"/>
      <c r="K118" s="5" t="s">
        <v>121</v>
      </c>
      <c r="L118" s="6"/>
      <c r="M118" s="5"/>
    </row>
    <row r="119" spans="1:13" ht="12.75" x14ac:dyDescent="0.2">
      <c r="A119" s="1">
        <v>2778428</v>
      </c>
      <c r="B119" s="2">
        <v>44079</v>
      </c>
      <c r="C119" s="2">
        <v>44079</v>
      </c>
      <c r="D119" s="1" t="s">
        <v>0</v>
      </c>
      <c r="E119" s="1" t="s">
        <v>16</v>
      </c>
      <c r="F119" s="1">
        <v>15</v>
      </c>
      <c r="G119" s="1" t="s">
        <v>6</v>
      </c>
      <c r="H119" s="1">
        <v>67</v>
      </c>
      <c r="I119" s="1" t="s">
        <v>2</v>
      </c>
      <c r="J119" s="2">
        <v>44102</v>
      </c>
      <c r="K119" s="1" t="s">
        <v>3</v>
      </c>
      <c r="L119" s="2"/>
      <c r="M119" s="1" t="s">
        <v>4</v>
      </c>
    </row>
    <row r="120" spans="1:13" ht="12.75" x14ac:dyDescent="0.2">
      <c r="A120" s="5">
        <v>3997716</v>
      </c>
      <c r="B120" s="6">
        <v>44136</v>
      </c>
      <c r="C120" s="6">
        <v>44138</v>
      </c>
      <c r="D120" s="5" t="s">
        <v>0</v>
      </c>
      <c r="E120" s="5" t="s">
        <v>16</v>
      </c>
      <c r="F120" s="5">
        <v>15</v>
      </c>
      <c r="G120" s="5" t="s">
        <v>6</v>
      </c>
      <c r="H120" s="5">
        <v>86</v>
      </c>
      <c r="I120" s="5" t="s">
        <v>2</v>
      </c>
      <c r="J120" s="6">
        <v>44161</v>
      </c>
      <c r="K120" s="5" t="s">
        <v>3</v>
      </c>
      <c r="L120" s="6"/>
      <c r="M120" s="5" t="s">
        <v>20</v>
      </c>
    </row>
    <row r="121" spans="1:13" ht="12.75" x14ac:dyDescent="0.2">
      <c r="A121" s="1">
        <v>5791831</v>
      </c>
      <c r="B121" s="2">
        <v>44188</v>
      </c>
      <c r="C121" s="2">
        <v>44188</v>
      </c>
      <c r="D121" s="1" t="s">
        <v>0</v>
      </c>
      <c r="E121" s="1" t="s">
        <v>8</v>
      </c>
      <c r="F121" s="1">
        <v>7</v>
      </c>
      <c r="G121" s="1" t="s">
        <v>6</v>
      </c>
      <c r="H121" s="1">
        <v>75</v>
      </c>
      <c r="I121" s="1" t="s">
        <v>2</v>
      </c>
      <c r="J121" s="2">
        <v>44196</v>
      </c>
      <c r="K121" s="1" t="s">
        <v>3</v>
      </c>
      <c r="L121" s="2"/>
      <c r="M121" s="1" t="s">
        <v>9</v>
      </c>
    </row>
    <row r="122" spans="1:13" ht="12.75" x14ac:dyDescent="0.2">
      <c r="A122" s="5">
        <v>2590712</v>
      </c>
      <c r="B122" s="6">
        <v>44063</v>
      </c>
      <c r="C122" s="6">
        <v>44063</v>
      </c>
      <c r="D122" s="5" t="s">
        <v>0</v>
      </c>
      <c r="E122" s="5" t="s">
        <v>10</v>
      </c>
      <c r="F122" s="5">
        <v>5</v>
      </c>
      <c r="G122" s="5" t="s">
        <v>1</v>
      </c>
      <c r="H122" s="5">
        <v>87</v>
      </c>
      <c r="I122" s="5" t="s">
        <v>2</v>
      </c>
      <c r="J122" s="6">
        <v>44086</v>
      </c>
      <c r="K122" s="5" t="s">
        <v>3</v>
      </c>
      <c r="L122" s="6"/>
      <c r="M122" s="5" t="s">
        <v>4</v>
      </c>
    </row>
    <row r="123" spans="1:13" ht="12.75" x14ac:dyDescent="0.2">
      <c r="A123" s="1">
        <v>1190370</v>
      </c>
      <c r="B123" s="2">
        <v>44009</v>
      </c>
      <c r="C123" s="2">
        <v>44010</v>
      </c>
      <c r="D123" s="1" t="s">
        <v>0</v>
      </c>
      <c r="E123" s="1" t="s">
        <v>35</v>
      </c>
      <c r="F123" s="1">
        <v>3</v>
      </c>
      <c r="G123" s="1" t="s">
        <v>1</v>
      </c>
      <c r="H123" s="1">
        <v>71</v>
      </c>
      <c r="I123" s="1" t="s">
        <v>2</v>
      </c>
      <c r="J123" s="2">
        <v>44013</v>
      </c>
      <c r="K123" s="1" t="s">
        <v>3</v>
      </c>
      <c r="L123" s="2"/>
      <c r="M123" s="1" t="s">
        <v>20</v>
      </c>
    </row>
    <row r="124" spans="1:13" ht="12.75" x14ac:dyDescent="0.2">
      <c r="A124" s="5">
        <v>876331</v>
      </c>
      <c r="B124" s="6">
        <v>43944</v>
      </c>
      <c r="C124" s="6">
        <v>43944</v>
      </c>
      <c r="D124" s="5" t="s">
        <v>0</v>
      </c>
      <c r="E124" s="5" t="s">
        <v>24</v>
      </c>
      <c r="F124" s="5">
        <v>9</v>
      </c>
      <c r="G124" s="5" t="s">
        <v>6</v>
      </c>
      <c r="H124" s="5">
        <v>87</v>
      </c>
      <c r="I124" s="5" t="s">
        <v>2</v>
      </c>
      <c r="J124" s="6">
        <v>43966</v>
      </c>
      <c r="K124" s="5" t="s">
        <v>3</v>
      </c>
      <c r="L124" s="6"/>
      <c r="M124" s="5" t="s">
        <v>9</v>
      </c>
    </row>
    <row r="125" spans="1:13" ht="12.75" x14ac:dyDescent="0.2">
      <c r="A125" s="1">
        <v>1258391</v>
      </c>
      <c r="B125" s="2">
        <v>44015</v>
      </c>
      <c r="C125" s="2">
        <v>44015</v>
      </c>
      <c r="D125" s="1" t="s">
        <v>0</v>
      </c>
      <c r="E125" s="1" t="s">
        <v>29</v>
      </c>
      <c r="F125" s="1">
        <v>12</v>
      </c>
      <c r="G125" s="1" t="s">
        <v>1</v>
      </c>
      <c r="H125" s="1">
        <v>92</v>
      </c>
      <c r="I125" s="1" t="s">
        <v>2</v>
      </c>
      <c r="J125" s="2">
        <v>44031</v>
      </c>
      <c r="K125" s="1" t="s">
        <v>3</v>
      </c>
      <c r="L125" s="2"/>
      <c r="M125" s="1" t="s">
        <v>4</v>
      </c>
    </row>
    <row r="126" spans="1:13" ht="12.75" x14ac:dyDescent="0.2">
      <c r="A126" s="5">
        <v>996779</v>
      </c>
      <c r="B126" s="6">
        <v>43981</v>
      </c>
      <c r="C126" s="6">
        <v>44000</v>
      </c>
      <c r="D126" s="5" t="s">
        <v>0</v>
      </c>
      <c r="E126" s="5" t="s">
        <v>13</v>
      </c>
      <c r="F126" s="5">
        <v>2</v>
      </c>
      <c r="G126" s="5" t="s">
        <v>6</v>
      </c>
      <c r="H126" s="5">
        <v>88</v>
      </c>
      <c r="I126" s="5" t="s">
        <v>2</v>
      </c>
      <c r="J126" s="6">
        <v>43995</v>
      </c>
      <c r="K126" s="5" t="s">
        <v>3</v>
      </c>
      <c r="L126" s="6"/>
      <c r="M126" s="5" t="s">
        <v>4</v>
      </c>
    </row>
    <row r="127" spans="1:13" ht="12.75" x14ac:dyDescent="0.2">
      <c r="A127" s="1">
        <v>2143137</v>
      </c>
      <c r="B127" s="2">
        <v>44069</v>
      </c>
      <c r="C127" s="2">
        <v>44069</v>
      </c>
      <c r="D127" s="1" t="s">
        <v>5</v>
      </c>
      <c r="E127" s="1" t="s">
        <v>102</v>
      </c>
      <c r="G127" s="1" t="s">
        <v>6</v>
      </c>
      <c r="H127" s="1">
        <v>70</v>
      </c>
      <c r="I127" s="1" t="s">
        <v>2</v>
      </c>
      <c r="J127" s="2">
        <v>44070</v>
      </c>
      <c r="K127" s="1" t="s">
        <v>3</v>
      </c>
      <c r="L127" s="2"/>
      <c r="M127" s="1" t="s">
        <v>4</v>
      </c>
    </row>
    <row r="128" spans="1:13" ht="12.75" x14ac:dyDescent="0.2">
      <c r="A128" s="5">
        <v>5773597</v>
      </c>
      <c r="B128" s="6">
        <v>44195</v>
      </c>
      <c r="C128" s="6">
        <v>44195</v>
      </c>
      <c r="D128" s="5" t="s">
        <v>5</v>
      </c>
      <c r="E128" s="5" t="s">
        <v>94</v>
      </c>
      <c r="F128" s="5"/>
      <c r="G128" s="5" t="s">
        <v>1</v>
      </c>
      <c r="H128" s="5">
        <v>77</v>
      </c>
      <c r="I128" s="5" t="s">
        <v>2</v>
      </c>
      <c r="J128" s="6">
        <v>44207</v>
      </c>
      <c r="K128" s="5" t="s">
        <v>3</v>
      </c>
      <c r="L128" s="6"/>
      <c r="M128" s="5" t="s">
        <v>4</v>
      </c>
    </row>
    <row r="129" spans="1:13" ht="12.75" x14ac:dyDescent="0.2">
      <c r="A129" s="1">
        <v>1728760</v>
      </c>
      <c r="B129" s="2">
        <v>44047</v>
      </c>
      <c r="C129" s="2">
        <v>44048</v>
      </c>
      <c r="D129" s="1" t="s">
        <v>5</v>
      </c>
      <c r="E129" s="1" t="s">
        <v>75</v>
      </c>
      <c r="G129" s="1" t="s">
        <v>1</v>
      </c>
      <c r="H129" s="1">
        <v>83</v>
      </c>
      <c r="I129" s="1" t="s">
        <v>2</v>
      </c>
      <c r="J129" s="2">
        <v>44054</v>
      </c>
      <c r="K129" s="1" t="s">
        <v>3</v>
      </c>
      <c r="L129" s="2"/>
      <c r="M129" s="1" t="s">
        <v>4</v>
      </c>
    </row>
    <row r="130" spans="1:13" ht="12.75" x14ac:dyDescent="0.2">
      <c r="A130" s="5">
        <v>984193</v>
      </c>
      <c r="B130" s="6">
        <v>43979</v>
      </c>
      <c r="C130" s="6">
        <v>43980</v>
      </c>
      <c r="D130" s="5" t="s">
        <v>0</v>
      </c>
      <c r="E130" s="5" t="s">
        <v>46</v>
      </c>
      <c r="F130" s="5">
        <v>5</v>
      </c>
      <c r="G130" s="5" t="s">
        <v>6</v>
      </c>
      <c r="H130" s="5">
        <v>34</v>
      </c>
      <c r="I130" s="5" t="s">
        <v>2</v>
      </c>
      <c r="J130" s="6">
        <v>43988</v>
      </c>
      <c r="K130" s="5" t="s">
        <v>3</v>
      </c>
      <c r="L130" s="6"/>
      <c r="M130" s="5" t="s">
        <v>9</v>
      </c>
    </row>
    <row r="131" spans="1:13" ht="12.75" x14ac:dyDescent="0.2">
      <c r="A131" s="1">
        <v>4666846</v>
      </c>
      <c r="B131" s="2">
        <v>44158</v>
      </c>
      <c r="C131" s="2">
        <v>44158</v>
      </c>
      <c r="D131" s="1" t="s">
        <v>0</v>
      </c>
      <c r="E131" s="1" t="s">
        <v>31</v>
      </c>
      <c r="F131" s="1">
        <v>10</v>
      </c>
      <c r="G131" s="1" t="s">
        <v>1</v>
      </c>
      <c r="H131" s="1">
        <v>80</v>
      </c>
      <c r="I131" s="1" t="s">
        <v>2</v>
      </c>
      <c r="J131" s="2">
        <v>44158</v>
      </c>
      <c r="K131" s="1" t="s">
        <v>3</v>
      </c>
      <c r="L131" s="2"/>
      <c r="M131" s="1" t="s">
        <v>4</v>
      </c>
    </row>
    <row r="132" spans="1:13" ht="12.75" x14ac:dyDescent="0.2">
      <c r="A132" s="5">
        <v>1095229</v>
      </c>
      <c r="B132" s="6">
        <v>43998</v>
      </c>
      <c r="C132" s="6">
        <v>43998</v>
      </c>
      <c r="D132" s="5" t="s">
        <v>0</v>
      </c>
      <c r="E132" s="5" t="s">
        <v>44</v>
      </c>
      <c r="F132" s="5">
        <v>9</v>
      </c>
      <c r="G132" s="5" t="s">
        <v>6</v>
      </c>
      <c r="H132" s="5">
        <v>80</v>
      </c>
      <c r="I132" s="5" t="s">
        <v>2</v>
      </c>
      <c r="J132" s="6">
        <v>44026</v>
      </c>
      <c r="K132" s="5" t="s">
        <v>3</v>
      </c>
      <c r="L132" s="6"/>
      <c r="M132" s="5" t="s">
        <v>4</v>
      </c>
    </row>
    <row r="133" spans="1:13" ht="12.75" x14ac:dyDescent="0.2">
      <c r="A133" s="1">
        <v>1453916</v>
      </c>
      <c r="B133" s="2">
        <v>44030</v>
      </c>
      <c r="C133" s="2">
        <v>44030</v>
      </c>
      <c r="D133" s="1" t="s">
        <v>0</v>
      </c>
      <c r="E133" s="1" t="s">
        <v>47</v>
      </c>
      <c r="F133" s="1">
        <v>12</v>
      </c>
      <c r="G133" s="1" t="s">
        <v>1</v>
      </c>
      <c r="H133" s="1">
        <v>79</v>
      </c>
      <c r="I133" s="1" t="s">
        <v>15</v>
      </c>
      <c r="J133" s="2"/>
      <c r="K133" s="1" t="s">
        <v>121</v>
      </c>
      <c r="L133" s="2"/>
    </row>
    <row r="134" spans="1:13" ht="12.75" x14ac:dyDescent="0.2">
      <c r="A134" s="5">
        <v>911390</v>
      </c>
      <c r="B134" s="6">
        <v>43962</v>
      </c>
      <c r="C134" s="6">
        <v>43962</v>
      </c>
      <c r="D134" s="5" t="s">
        <v>0</v>
      </c>
      <c r="E134" s="5" t="s">
        <v>8</v>
      </c>
      <c r="F134" s="5">
        <v>7</v>
      </c>
      <c r="G134" s="5" t="s">
        <v>6</v>
      </c>
      <c r="H134" s="5">
        <v>89</v>
      </c>
      <c r="I134" s="5" t="s">
        <v>15</v>
      </c>
      <c r="J134" s="6"/>
      <c r="K134" s="5" t="s">
        <v>121</v>
      </c>
      <c r="L134" s="6"/>
      <c r="M134" s="5"/>
    </row>
    <row r="135" spans="1:13" ht="12.75" x14ac:dyDescent="0.2">
      <c r="A135" s="1">
        <v>786695</v>
      </c>
      <c r="B135" s="2">
        <v>43923</v>
      </c>
      <c r="C135" s="2">
        <v>43925</v>
      </c>
      <c r="D135" s="1" t="s">
        <v>0</v>
      </c>
      <c r="E135" s="1" t="s">
        <v>17</v>
      </c>
      <c r="F135" s="1">
        <v>1</v>
      </c>
      <c r="G135" s="1" t="s">
        <v>6</v>
      </c>
      <c r="H135" s="1">
        <v>72</v>
      </c>
      <c r="I135" s="1" t="s">
        <v>15</v>
      </c>
      <c r="J135" s="2"/>
      <c r="K135" s="1" t="s">
        <v>121</v>
      </c>
      <c r="L135" s="2"/>
    </row>
    <row r="136" spans="1:13" ht="12.75" x14ac:dyDescent="0.2">
      <c r="A136" s="5">
        <v>1290137</v>
      </c>
      <c r="B136" s="6">
        <v>44020</v>
      </c>
      <c r="C136" s="6">
        <v>44020</v>
      </c>
      <c r="D136" s="5" t="s">
        <v>0</v>
      </c>
      <c r="E136" s="5" t="s">
        <v>24</v>
      </c>
      <c r="F136" s="5">
        <v>9</v>
      </c>
      <c r="G136" s="5" t="s">
        <v>1</v>
      </c>
      <c r="H136" s="5">
        <v>97</v>
      </c>
      <c r="I136" s="5" t="s">
        <v>2</v>
      </c>
      <c r="J136" s="6">
        <v>44048</v>
      </c>
      <c r="K136" s="5" t="s">
        <v>3</v>
      </c>
      <c r="L136" s="6"/>
      <c r="M136" s="5" t="s">
        <v>4</v>
      </c>
    </row>
    <row r="137" spans="1:13" ht="12.75" x14ac:dyDescent="0.2">
      <c r="A137" s="1">
        <v>2513126</v>
      </c>
      <c r="B137" s="2">
        <v>44084</v>
      </c>
      <c r="C137" s="2">
        <v>44084</v>
      </c>
      <c r="D137" s="1" t="s">
        <v>5</v>
      </c>
      <c r="E137" s="1" t="s">
        <v>96</v>
      </c>
      <c r="G137" s="1" t="s">
        <v>1</v>
      </c>
      <c r="H137" s="1">
        <v>90</v>
      </c>
      <c r="I137" s="1" t="s">
        <v>2</v>
      </c>
      <c r="J137" s="2">
        <v>44088</v>
      </c>
      <c r="K137" s="1" t="s">
        <v>3</v>
      </c>
      <c r="L137" s="2"/>
      <c r="M137" s="1" t="s">
        <v>9</v>
      </c>
    </row>
    <row r="138" spans="1:13" ht="12.75" x14ac:dyDescent="0.2">
      <c r="A138" s="5">
        <v>3236202</v>
      </c>
      <c r="B138" s="6">
        <v>44112</v>
      </c>
      <c r="C138" s="6">
        <v>44112</v>
      </c>
      <c r="D138" s="5" t="s">
        <v>5</v>
      </c>
      <c r="E138" s="5" t="s">
        <v>85</v>
      </c>
      <c r="F138" s="5"/>
      <c r="G138" s="5" t="s">
        <v>6</v>
      </c>
      <c r="H138" s="5">
        <v>84</v>
      </c>
      <c r="I138" s="5" t="s">
        <v>2</v>
      </c>
      <c r="J138" s="6">
        <v>44201</v>
      </c>
      <c r="K138" s="5" t="s">
        <v>3</v>
      </c>
      <c r="L138" s="6"/>
      <c r="M138" s="5" t="s">
        <v>20</v>
      </c>
    </row>
    <row r="139" spans="1:13" ht="12.75" x14ac:dyDescent="0.2">
      <c r="A139" s="1">
        <v>5588139</v>
      </c>
      <c r="B139" s="2">
        <v>44191</v>
      </c>
      <c r="C139" s="2">
        <v>44192</v>
      </c>
      <c r="D139" s="1" t="s">
        <v>0</v>
      </c>
      <c r="E139" s="1" t="s">
        <v>42</v>
      </c>
      <c r="F139" s="1">
        <v>11</v>
      </c>
      <c r="G139" s="1" t="s">
        <v>1</v>
      </c>
      <c r="H139" s="1">
        <v>72</v>
      </c>
      <c r="I139" s="1" t="s">
        <v>2</v>
      </c>
      <c r="J139" s="2">
        <v>44207</v>
      </c>
      <c r="K139" s="1" t="s">
        <v>3</v>
      </c>
      <c r="L139" s="2"/>
      <c r="M139" s="1" t="s">
        <v>4</v>
      </c>
    </row>
    <row r="140" spans="1:13" ht="12.75" x14ac:dyDescent="0.2">
      <c r="A140" s="5">
        <v>3382686</v>
      </c>
      <c r="B140" s="6">
        <v>44115</v>
      </c>
      <c r="C140" s="6">
        <v>44118</v>
      </c>
      <c r="D140" s="5" t="s">
        <v>0</v>
      </c>
      <c r="E140" s="5" t="s">
        <v>14</v>
      </c>
      <c r="F140" s="5">
        <v>14</v>
      </c>
      <c r="G140" s="5" t="s">
        <v>6</v>
      </c>
      <c r="H140" s="5">
        <v>94</v>
      </c>
      <c r="I140" s="5" t="s">
        <v>2</v>
      </c>
      <c r="J140" s="6">
        <v>44118</v>
      </c>
      <c r="K140" s="5" t="s">
        <v>3</v>
      </c>
      <c r="L140" s="6"/>
      <c r="M140" s="5" t="s">
        <v>20</v>
      </c>
    </row>
    <row r="141" spans="1:13" ht="12.75" x14ac:dyDescent="0.2">
      <c r="A141" s="1">
        <v>1698579</v>
      </c>
      <c r="B141" s="2">
        <v>44048</v>
      </c>
      <c r="C141" s="2">
        <v>44049</v>
      </c>
      <c r="D141" s="1" t="s">
        <v>0</v>
      </c>
      <c r="E141" s="1" t="s">
        <v>14</v>
      </c>
      <c r="F141" s="1">
        <v>14</v>
      </c>
      <c r="G141" s="1" t="s">
        <v>1</v>
      </c>
      <c r="H141" s="1">
        <v>65</v>
      </c>
      <c r="I141" s="1" t="s">
        <v>2</v>
      </c>
      <c r="J141" s="2">
        <v>44048</v>
      </c>
      <c r="K141" s="1" t="s">
        <v>3</v>
      </c>
      <c r="L141" s="2"/>
      <c r="M141" s="1" t="s">
        <v>4</v>
      </c>
    </row>
    <row r="142" spans="1:13" ht="12.75" x14ac:dyDescent="0.2">
      <c r="A142" s="5">
        <v>1369639</v>
      </c>
      <c r="B142" s="6">
        <v>44026</v>
      </c>
      <c r="C142" s="6">
        <v>44028</v>
      </c>
      <c r="D142" s="5" t="s">
        <v>5</v>
      </c>
      <c r="E142" s="5" t="s">
        <v>76</v>
      </c>
      <c r="F142" s="5"/>
      <c r="G142" s="5" t="s">
        <v>1</v>
      </c>
      <c r="H142" s="5">
        <v>51</v>
      </c>
      <c r="I142" s="5" t="s">
        <v>2</v>
      </c>
      <c r="J142" s="6">
        <v>44034</v>
      </c>
      <c r="K142" s="5" t="s">
        <v>3</v>
      </c>
      <c r="L142" s="6"/>
      <c r="M142" s="5" t="s">
        <v>4</v>
      </c>
    </row>
    <row r="143" spans="1:13" ht="12.75" x14ac:dyDescent="0.2">
      <c r="A143" s="1">
        <v>3034788</v>
      </c>
      <c r="B143" s="2">
        <v>44115</v>
      </c>
      <c r="C143" s="2">
        <v>44115</v>
      </c>
      <c r="D143" s="1" t="s">
        <v>0</v>
      </c>
      <c r="E143" s="1" t="s">
        <v>26</v>
      </c>
      <c r="F143" s="1">
        <v>4</v>
      </c>
      <c r="G143" s="1" t="s">
        <v>1</v>
      </c>
      <c r="H143" s="1">
        <v>90</v>
      </c>
      <c r="I143" s="1" t="s">
        <v>2</v>
      </c>
      <c r="J143" s="2">
        <v>44116</v>
      </c>
      <c r="K143" s="1" t="s">
        <v>3</v>
      </c>
      <c r="L143" s="2"/>
      <c r="M143" s="1" t="s">
        <v>4</v>
      </c>
    </row>
    <row r="144" spans="1:13" ht="12.75" x14ac:dyDescent="0.2">
      <c r="A144" s="5">
        <v>2074730</v>
      </c>
      <c r="B144" s="6">
        <v>44066</v>
      </c>
      <c r="C144" s="6">
        <v>44067</v>
      </c>
      <c r="D144" s="5" t="s">
        <v>0</v>
      </c>
      <c r="E144" s="5" t="s">
        <v>14</v>
      </c>
      <c r="F144" s="5">
        <v>14</v>
      </c>
      <c r="G144" s="5" t="s">
        <v>1</v>
      </c>
      <c r="H144" s="5">
        <v>88</v>
      </c>
      <c r="I144" s="5" t="s">
        <v>2</v>
      </c>
      <c r="J144" s="6">
        <v>44084</v>
      </c>
      <c r="K144" s="5" t="s">
        <v>3</v>
      </c>
      <c r="L144" s="6"/>
      <c r="M144" s="5" t="s">
        <v>4</v>
      </c>
    </row>
    <row r="145" spans="1:13" ht="12.75" x14ac:dyDescent="0.2">
      <c r="A145" s="1">
        <v>3633461</v>
      </c>
      <c r="B145" s="2">
        <v>44124</v>
      </c>
      <c r="C145" s="2">
        <v>44125</v>
      </c>
      <c r="D145" s="1" t="s">
        <v>5</v>
      </c>
      <c r="E145" s="1" t="s">
        <v>98</v>
      </c>
      <c r="G145" s="1" t="s">
        <v>6</v>
      </c>
      <c r="H145" s="1">
        <v>71</v>
      </c>
      <c r="I145" s="1" t="s">
        <v>2</v>
      </c>
      <c r="J145" s="2">
        <v>44155</v>
      </c>
      <c r="K145" s="1" t="s">
        <v>3</v>
      </c>
      <c r="L145" s="2"/>
      <c r="M145" s="1" t="s">
        <v>4</v>
      </c>
    </row>
    <row r="146" spans="1:13" ht="12.75" x14ac:dyDescent="0.2">
      <c r="A146" s="5">
        <v>1465134</v>
      </c>
      <c r="B146" s="6">
        <v>44033</v>
      </c>
      <c r="C146" s="6">
        <v>44034</v>
      </c>
      <c r="D146" s="5" t="s">
        <v>5</v>
      </c>
      <c r="E146" s="5" t="s">
        <v>83</v>
      </c>
      <c r="F146" s="5"/>
      <c r="G146" s="5" t="s">
        <v>1</v>
      </c>
      <c r="H146" s="5">
        <v>70</v>
      </c>
      <c r="I146" s="5" t="s">
        <v>2</v>
      </c>
      <c r="J146" s="6">
        <v>44038</v>
      </c>
      <c r="K146" s="5" t="s">
        <v>3</v>
      </c>
      <c r="L146" s="6"/>
      <c r="M146" s="5" t="s">
        <v>4</v>
      </c>
    </row>
    <row r="147" spans="1:13" ht="12.75" x14ac:dyDescent="0.2">
      <c r="A147" s="1">
        <v>3215135</v>
      </c>
      <c r="B147" s="2">
        <v>44111</v>
      </c>
      <c r="C147" s="2">
        <v>44112</v>
      </c>
      <c r="D147" s="1" t="s">
        <v>0</v>
      </c>
      <c r="E147" s="1" t="s">
        <v>11</v>
      </c>
      <c r="F147" s="1">
        <v>6</v>
      </c>
      <c r="G147" s="1" t="s">
        <v>1</v>
      </c>
      <c r="H147" s="1">
        <v>82</v>
      </c>
      <c r="I147" s="1" t="s">
        <v>2</v>
      </c>
      <c r="J147" s="2">
        <v>44121</v>
      </c>
      <c r="K147" s="1" t="s">
        <v>3</v>
      </c>
      <c r="L147" s="2"/>
      <c r="M147" s="1" t="s">
        <v>4</v>
      </c>
    </row>
    <row r="148" spans="1:13" ht="12.75" x14ac:dyDescent="0.2">
      <c r="A148" s="5">
        <v>1029412</v>
      </c>
      <c r="B148" s="6">
        <v>43988</v>
      </c>
      <c r="C148" s="6">
        <v>43988</v>
      </c>
      <c r="D148" s="5" t="s">
        <v>0</v>
      </c>
      <c r="E148" s="5" t="s">
        <v>45</v>
      </c>
      <c r="F148" s="5">
        <v>4</v>
      </c>
      <c r="G148" s="5" t="s">
        <v>1</v>
      </c>
      <c r="H148" s="5">
        <v>85</v>
      </c>
      <c r="I148" s="5" t="s">
        <v>2</v>
      </c>
      <c r="J148" s="6">
        <v>43997</v>
      </c>
      <c r="K148" s="5" t="s">
        <v>3</v>
      </c>
      <c r="L148" s="6"/>
      <c r="M148" s="5" t="s">
        <v>4</v>
      </c>
    </row>
    <row r="149" spans="1:13" ht="12.75" x14ac:dyDescent="0.2">
      <c r="A149" s="1">
        <v>1956369</v>
      </c>
      <c r="B149" s="2">
        <v>44061</v>
      </c>
      <c r="C149" s="2">
        <v>44061</v>
      </c>
      <c r="D149" s="1" t="s">
        <v>0</v>
      </c>
      <c r="E149" s="1" t="s">
        <v>44</v>
      </c>
      <c r="F149" s="1">
        <v>9</v>
      </c>
      <c r="G149" s="1" t="s">
        <v>1</v>
      </c>
      <c r="H149" s="1">
        <v>86</v>
      </c>
      <c r="I149" s="1" t="s">
        <v>2</v>
      </c>
      <c r="J149" s="2">
        <v>44068</v>
      </c>
      <c r="K149" s="1" t="s">
        <v>3</v>
      </c>
      <c r="L149" s="2"/>
      <c r="M149" s="1" t="s">
        <v>4</v>
      </c>
    </row>
    <row r="150" spans="1:13" ht="12.75" x14ac:dyDescent="0.2">
      <c r="A150" s="5">
        <v>1358214</v>
      </c>
      <c r="B150" s="6">
        <v>44023</v>
      </c>
      <c r="C150" s="6">
        <v>44026</v>
      </c>
      <c r="D150" s="5" t="s">
        <v>0</v>
      </c>
      <c r="E150" s="5" t="s">
        <v>37</v>
      </c>
      <c r="F150" s="5">
        <v>13</v>
      </c>
      <c r="G150" s="5" t="s">
        <v>1</v>
      </c>
      <c r="H150" s="5">
        <v>88</v>
      </c>
      <c r="I150" s="5" t="s">
        <v>2</v>
      </c>
      <c r="J150" s="6">
        <v>44023</v>
      </c>
      <c r="K150" s="5" t="s">
        <v>3</v>
      </c>
      <c r="L150" s="6"/>
      <c r="M150" s="5" t="s">
        <v>4</v>
      </c>
    </row>
    <row r="151" spans="1:13" ht="12.75" x14ac:dyDescent="0.2">
      <c r="A151" s="1">
        <v>2700235</v>
      </c>
      <c r="B151" s="2">
        <v>44091</v>
      </c>
      <c r="C151" s="2">
        <v>44091</v>
      </c>
      <c r="D151" s="1" t="s">
        <v>5</v>
      </c>
      <c r="E151" s="1" t="s">
        <v>87</v>
      </c>
      <c r="G151" s="1" t="s">
        <v>1</v>
      </c>
      <c r="H151" s="1">
        <v>51</v>
      </c>
      <c r="I151" s="1" t="s">
        <v>2</v>
      </c>
      <c r="J151" s="2">
        <v>44107</v>
      </c>
      <c r="K151" s="1" t="s">
        <v>3</v>
      </c>
      <c r="L151" s="2"/>
      <c r="M151" s="1" t="s">
        <v>20</v>
      </c>
    </row>
    <row r="152" spans="1:13" ht="12.75" x14ac:dyDescent="0.2">
      <c r="A152" s="5">
        <v>2286811</v>
      </c>
      <c r="B152" s="6">
        <v>44075</v>
      </c>
      <c r="C152" s="6">
        <v>44076</v>
      </c>
      <c r="D152" s="5" t="s">
        <v>5</v>
      </c>
      <c r="E152" s="5" t="s">
        <v>75</v>
      </c>
      <c r="F152" s="5"/>
      <c r="G152" s="5" t="s">
        <v>1</v>
      </c>
      <c r="H152" s="5">
        <v>67</v>
      </c>
      <c r="I152" s="5" t="s">
        <v>2</v>
      </c>
      <c r="J152" s="6">
        <v>44080</v>
      </c>
      <c r="K152" s="5" t="s">
        <v>3</v>
      </c>
      <c r="L152" s="6"/>
      <c r="M152" s="5" t="s">
        <v>9</v>
      </c>
    </row>
    <row r="153" spans="1:13" ht="12.75" x14ac:dyDescent="0.2">
      <c r="A153" s="1">
        <v>2057220</v>
      </c>
      <c r="B153" s="2">
        <v>44066</v>
      </c>
      <c r="C153" s="2">
        <v>44066</v>
      </c>
      <c r="D153" s="1" t="s">
        <v>0</v>
      </c>
      <c r="E153" s="1" t="s">
        <v>48</v>
      </c>
      <c r="F153" s="1">
        <v>10</v>
      </c>
      <c r="G153" s="1" t="s">
        <v>6</v>
      </c>
      <c r="H153" s="1">
        <v>83</v>
      </c>
      <c r="I153" s="1" t="s">
        <v>2</v>
      </c>
      <c r="J153" s="2">
        <v>44082</v>
      </c>
      <c r="K153" s="1" t="s">
        <v>3</v>
      </c>
      <c r="L153" s="2"/>
      <c r="M153" s="1" t="s">
        <v>4</v>
      </c>
    </row>
    <row r="154" spans="1:13" ht="12.75" x14ac:dyDescent="0.2">
      <c r="A154" s="5">
        <v>2570667</v>
      </c>
      <c r="B154" s="6">
        <v>44086</v>
      </c>
      <c r="C154" s="6">
        <v>44086</v>
      </c>
      <c r="D154" s="5" t="s">
        <v>0</v>
      </c>
      <c r="E154" s="5" t="s">
        <v>33</v>
      </c>
      <c r="F154" s="5">
        <v>13</v>
      </c>
      <c r="G154" s="5" t="s">
        <v>1</v>
      </c>
      <c r="H154" s="5">
        <v>72</v>
      </c>
      <c r="I154" s="5" t="s">
        <v>2</v>
      </c>
      <c r="J154" s="6">
        <v>44095</v>
      </c>
      <c r="K154" s="5" t="s">
        <v>3</v>
      </c>
      <c r="L154" s="6"/>
      <c r="M154" s="5" t="s">
        <v>9</v>
      </c>
    </row>
    <row r="155" spans="1:13" ht="12.75" x14ac:dyDescent="0.2">
      <c r="A155" s="1">
        <v>995603</v>
      </c>
      <c r="B155" s="2">
        <v>43981</v>
      </c>
      <c r="C155" s="2">
        <v>43982</v>
      </c>
      <c r="D155" s="1" t="s">
        <v>5</v>
      </c>
      <c r="E155" s="1" t="s">
        <v>98</v>
      </c>
      <c r="G155" s="1" t="s">
        <v>1</v>
      </c>
      <c r="H155" s="1">
        <v>99</v>
      </c>
      <c r="I155" s="1" t="s">
        <v>15</v>
      </c>
      <c r="J155" s="2"/>
      <c r="K155" s="1" t="s">
        <v>121</v>
      </c>
      <c r="L155" s="2"/>
    </row>
    <row r="156" spans="1:13" ht="12.75" x14ac:dyDescent="0.2">
      <c r="A156" s="5">
        <v>1414938</v>
      </c>
      <c r="B156" s="6">
        <v>44030</v>
      </c>
      <c r="C156" s="6">
        <v>44030</v>
      </c>
      <c r="D156" s="5" t="s">
        <v>5</v>
      </c>
      <c r="E156" s="5" t="s">
        <v>98</v>
      </c>
      <c r="F156" s="5"/>
      <c r="G156" s="5" t="s">
        <v>1</v>
      </c>
      <c r="H156" s="5">
        <v>66</v>
      </c>
      <c r="I156" s="5" t="s">
        <v>2</v>
      </c>
      <c r="J156" s="6">
        <v>44087</v>
      </c>
      <c r="K156" s="5" t="s">
        <v>3</v>
      </c>
      <c r="L156" s="6"/>
      <c r="M156" s="5" t="s">
        <v>4</v>
      </c>
    </row>
    <row r="157" spans="1:13" ht="12.75" x14ac:dyDescent="0.2">
      <c r="A157" s="1">
        <v>5020322</v>
      </c>
      <c r="B157" s="2">
        <v>44170</v>
      </c>
      <c r="C157" s="2">
        <v>44170</v>
      </c>
      <c r="D157" s="1" t="s">
        <v>0</v>
      </c>
      <c r="E157" s="1" t="s">
        <v>7</v>
      </c>
      <c r="F157" s="1">
        <v>3</v>
      </c>
      <c r="G157" s="1" t="s">
        <v>6</v>
      </c>
      <c r="H157" s="1">
        <v>86</v>
      </c>
      <c r="I157" s="1" t="s">
        <v>2</v>
      </c>
      <c r="J157" s="2">
        <v>44183</v>
      </c>
      <c r="K157" s="1" t="s">
        <v>3</v>
      </c>
      <c r="L157" s="2"/>
      <c r="M157" s="1" t="s">
        <v>4</v>
      </c>
    </row>
    <row r="158" spans="1:13" ht="12.75" x14ac:dyDescent="0.2">
      <c r="A158" s="5">
        <v>1281067</v>
      </c>
      <c r="B158" s="6">
        <v>44019</v>
      </c>
      <c r="C158" s="6">
        <v>44028</v>
      </c>
      <c r="D158" s="5" t="s">
        <v>5</v>
      </c>
      <c r="E158" s="5" t="s">
        <v>102</v>
      </c>
      <c r="F158" s="5"/>
      <c r="G158" s="5" t="s">
        <v>1</v>
      </c>
      <c r="H158" s="5">
        <v>36</v>
      </c>
      <c r="I158" s="5" t="s">
        <v>15</v>
      </c>
      <c r="J158" s="6"/>
      <c r="K158" s="5" t="s">
        <v>121</v>
      </c>
      <c r="L158" s="6"/>
      <c r="M158" s="5"/>
    </row>
    <row r="159" spans="1:13" ht="12.75" x14ac:dyDescent="0.2">
      <c r="A159" s="1">
        <v>3818501</v>
      </c>
      <c r="B159" s="2">
        <v>44131</v>
      </c>
      <c r="C159" s="2">
        <v>44131</v>
      </c>
      <c r="D159" s="1" t="s">
        <v>0</v>
      </c>
      <c r="E159" s="1" t="s">
        <v>7</v>
      </c>
      <c r="F159" s="1">
        <v>3</v>
      </c>
      <c r="G159" s="1" t="s">
        <v>6</v>
      </c>
      <c r="H159" s="1">
        <v>73</v>
      </c>
      <c r="I159" s="1" t="s">
        <v>15</v>
      </c>
      <c r="J159" s="2"/>
      <c r="K159" s="1" t="s">
        <v>121</v>
      </c>
      <c r="L159" s="2"/>
    </row>
    <row r="160" spans="1:13" ht="12.75" x14ac:dyDescent="0.2">
      <c r="A160" s="5">
        <v>5151255</v>
      </c>
      <c r="B160" s="6">
        <v>44187</v>
      </c>
      <c r="C160" s="6">
        <v>44217</v>
      </c>
      <c r="D160" s="5" t="s">
        <v>0</v>
      </c>
      <c r="E160" s="5" t="s">
        <v>32</v>
      </c>
      <c r="F160" s="5">
        <v>10</v>
      </c>
      <c r="G160" s="5" t="s">
        <v>6</v>
      </c>
      <c r="H160" s="5">
        <v>62</v>
      </c>
      <c r="I160" s="5" t="s">
        <v>2</v>
      </c>
      <c r="J160" s="6">
        <v>44225</v>
      </c>
      <c r="K160" s="5" t="s">
        <v>3</v>
      </c>
      <c r="L160" s="6"/>
      <c r="M160" s="5" t="s">
        <v>20</v>
      </c>
    </row>
    <row r="161" spans="1:13" ht="12.75" x14ac:dyDescent="0.2">
      <c r="A161" s="1">
        <v>916084</v>
      </c>
      <c r="B161" s="2">
        <v>43963</v>
      </c>
      <c r="C161" s="2">
        <v>43964</v>
      </c>
      <c r="D161" s="1" t="s">
        <v>5</v>
      </c>
      <c r="E161" s="1" t="s">
        <v>74</v>
      </c>
      <c r="G161" s="1" t="s">
        <v>6</v>
      </c>
      <c r="H161" s="1">
        <v>62</v>
      </c>
      <c r="I161" s="1" t="s">
        <v>2</v>
      </c>
      <c r="J161" s="2">
        <v>43969</v>
      </c>
      <c r="K161" s="1" t="s">
        <v>3</v>
      </c>
      <c r="L161" s="2"/>
      <c r="M161" s="1" t="s">
        <v>4</v>
      </c>
    </row>
    <row r="162" spans="1:13" ht="12.75" x14ac:dyDescent="0.2">
      <c r="A162" s="5">
        <v>1256705</v>
      </c>
      <c r="B162" s="6">
        <v>44015</v>
      </c>
      <c r="C162" s="6">
        <v>44015</v>
      </c>
      <c r="D162" s="5" t="s">
        <v>0</v>
      </c>
      <c r="E162" s="5" t="s">
        <v>35</v>
      </c>
      <c r="F162" s="5">
        <v>3</v>
      </c>
      <c r="G162" s="5" t="s">
        <v>6</v>
      </c>
      <c r="H162" s="5">
        <v>63</v>
      </c>
      <c r="I162" s="5" t="s">
        <v>2</v>
      </c>
      <c r="J162" s="6">
        <v>44047</v>
      </c>
      <c r="K162" s="5" t="s">
        <v>3</v>
      </c>
      <c r="L162" s="6"/>
      <c r="M162" s="5" t="s">
        <v>4</v>
      </c>
    </row>
    <row r="163" spans="1:13" ht="12.75" x14ac:dyDescent="0.2">
      <c r="A163" s="1">
        <v>3345584</v>
      </c>
      <c r="B163" s="2">
        <v>44116</v>
      </c>
      <c r="C163" s="2">
        <v>44156</v>
      </c>
      <c r="D163" s="1" t="s">
        <v>0</v>
      </c>
      <c r="E163" s="1" t="s">
        <v>7</v>
      </c>
      <c r="F163" s="1">
        <v>3</v>
      </c>
      <c r="G163" s="1" t="s">
        <v>6</v>
      </c>
      <c r="H163" s="1">
        <v>69</v>
      </c>
      <c r="I163" s="1" t="s">
        <v>2</v>
      </c>
      <c r="J163" s="2">
        <v>44151</v>
      </c>
      <c r="K163" s="1" t="s">
        <v>3</v>
      </c>
      <c r="L163" s="2"/>
      <c r="M163" s="1" t="s">
        <v>4</v>
      </c>
    </row>
    <row r="164" spans="1:13" ht="12.75" x14ac:dyDescent="0.2">
      <c r="A164" s="5">
        <v>763742</v>
      </c>
      <c r="B164" s="6">
        <v>43911</v>
      </c>
      <c r="C164" s="6">
        <v>43912</v>
      </c>
      <c r="D164" s="5" t="s">
        <v>5</v>
      </c>
      <c r="E164" s="5" t="s">
        <v>79</v>
      </c>
      <c r="F164" s="5"/>
      <c r="G164" s="5" t="s">
        <v>6</v>
      </c>
      <c r="H164" s="5">
        <v>81</v>
      </c>
      <c r="I164" s="5" t="s">
        <v>15</v>
      </c>
      <c r="J164" s="6"/>
      <c r="K164" s="5" t="s">
        <v>121</v>
      </c>
      <c r="L164" s="6"/>
      <c r="M164" s="5"/>
    </row>
    <row r="165" spans="1:13" ht="12.75" x14ac:dyDescent="0.2">
      <c r="A165" s="1">
        <v>2030105</v>
      </c>
      <c r="B165" s="2">
        <v>44064</v>
      </c>
      <c r="C165" s="2">
        <v>44065</v>
      </c>
      <c r="D165" s="1" t="s">
        <v>5</v>
      </c>
      <c r="E165" s="1" t="s">
        <v>79</v>
      </c>
      <c r="G165" s="1" t="s">
        <v>1</v>
      </c>
      <c r="H165" s="1">
        <v>73</v>
      </c>
      <c r="I165" s="1" t="s">
        <v>2</v>
      </c>
      <c r="J165" s="2">
        <v>44091</v>
      </c>
      <c r="K165" s="1" t="s">
        <v>3</v>
      </c>
      <c r="L165" s="2"/>
      <c r="M165" s="1" t="s">
        <v>4</v>
      </c>
    </row>
    <row r="166" spans="1:13" ht="12.75" x14ac:dyDescent="0.2">
      <c r="A166" s="5">
        <v>775931</v>
      </c>
      <c r="B166" s="6">
        <v>43919</v>
      </c>
      <c r="C166" s="6">
        <v>43922</v>
      </c>
      <c r="D166" s="5" t="s">
        <v>5</v>
      </c>
      <c r="E166" s="5" t="s">
        <v>99</v>
      </c>
      <c r="F166" s="5"/>
      <c r="G166" s="5" t="s">
        <v>6</v>
      </c>
      <c r="H166" s="5">
        <v>71</v>
      </c>
      <c r="I166" s="5" t="s">
        <v>15</v>
      </c>
      <c r="J166" s="6"/>
      <c r="K166" s="5" t="s">
        <v>121</v>
      </c>
      <c r="L166" s="6"/>
      <c r="M166" s="5"/>
    </row>
    <row r="167" spans="1:13" ht="12.75" x14ac:dyDescent="0.2">
      <c r="A167" s="1">
        <v>1222038</v>
      </c>
      <c r="B167" s="2">
        <v>44013</v>
      </c>
      <c r="C167" s="2">
        <v>44014</v>
      </c>
      <c r="D167" s="1" t="s">
        <v>0</v>
      </c>
      <c r="E167" s="1" t="s">
        <v>14</v>
      </c>
      <c r="F167" s="1">
        <v>14</v>
      </c>
      <c r="G167" s="1" t="s">
        <v>1</v>
      </c>
      <c r="H167" s="1">
        <v>87</v>
      </c>
      <c r="I167" s="1" t="s">
        <v>2</v>
      </c>
      <c r="J167" s="2">
        <v>44031</v>
      </c>
      <c r="K167" s="1" t="s">
        <v>3</v>
      </c>
      <c r="L167" s="2"/>
      <c r="M167" s="1" t="s">
        <v>4</v>
      </c>
    </row>
    <row r="168" spans="1:13" ht="12.75" x14ac:dyDescent="0.2">
      <c r="A168" s="5">
        <v>1272902</v>
      </c>
      <c r="B168" s="6">
        <v>44017</v>
      </c>
      <c r="C168" s="6">
        <v>44018</v>
      </c>
      <c r="D168" s="5" t="s">
        <v>0</v>
      </c>
      <c r="E168" s="5" t="s">
        <v>8</v>
      </c>
      <c r="F168" s="5">
        <v>7</v>
      </c>
      <c r="G168" s="5" t="s">
        <v>1</v>
      </c>
      <c r="H168" s="5">
        <v>71</v>
      </c>
      <c r="I168" s="5" t="s">
        <v>2</v>
      </c>
      <c r="J168" s="6">
        <v>44031</v>
      </c>
      <c r="K168" s="5" t="s">
        <v>3</v>
      </c>
      <c r="L168" s="6"/>
      <c r="M168" s="5" t="s">
        <v>4</v>
      </c>
    </row>
    <row r="169" spans="1:13" ht="12.75" x14ac:dyDescent="0.2">
      <c r="A169" s="1">
        <v>936433</v>
      </c>
      <c r="B169" s="2">
        <v>43965</v>
      </c>
      <c r="C169" s="2">
        <v>43965</v>
      </c>
      <c r="D169" s="1" t="s">
        <v>0</v>
      </c>
      <c r="E169" s="1" t="s">
        <v>28</v>
      </c>
      <c r="F169" s="1">
        <v>11</v>
      </c>
      <c r="G169" s="1" t="s">
        <v>6</v>
      </c>
      <c r="H169" s="1">
        <v>93</v>
      </c>
      <c r="I169" s="1" t="s">
        <v>15</v>
      </c>
      <c r="J169" s="2"/>
      <c r="K169" s="1" t="s">
        <v>121</v>
      </c>
      <c r="L169" s="2"/>
    </row>
    <row r="170" spans="1:13" ht="12.75" x14ac:dyDescent="0.2">
      <c r="A170" s="5">
        <v>832463</v>
      </c>
      <c r="B170" s="6">
        <v>43939</v>
      </c>
      <c r="C170" s="6">
        <v>43940</v>
      </c>
      <c r="D170" s="5" t="s">
        <v>0</v>
      </c>
      <c r="E170" s="5" t="s">
        <v>16</v>
      </c>
      <c r="F170" s="5">
        <v>15</v>
      </c>
      <c r="G170" s="5" t="s">
        <v>1</v>
      </c>
      <c r="H170" s="5">
        <v>86</v>
      </c>
      <c r="I170" s="5" t="s">
        <v>2</v>
      </c>
      <c r="J170" s="6">
        <v>43952</v>
      </c>
      <c r="K170" s="5" t="s">
        <v>3</v>
      </c>
      <c r="L170" s="6"/>
      <c r="M170" s="5" t="s">
        <v>9</v>
      </c>
    </row>
    <row r="171" spans="1:13" ht="12.75" x14ac:dyDescent="0.2">
      <c r="A171" s="1">
        <v>1441703</v>
      </c>
      <c r="B171" s="2">
        <v>44032</v>
      </c>
      <c r="C171" s="2">
        <v>44032</v>
      </c>
      <c r="D171" s="1" t="s">
        <v>0</v>
      </c>
      <c r="E171" s="1" t="s">
        <v>43</v>
      </c>
      <c r="F171" s="1">
        <v>10</v>
      </c>
      <c r="G171" s="1" t="s">
        <v>1</v>
      </c>
      <c r="H171" s="1">
        <v>80</v>
      </c>
      <c r="I171" s="1" t="s">
        <v>2</v>
      </c>
      <c r="J171" s="2">
        <v>44047</v>
      </c>
      <c r="K171" s="1" t="s">
        <v>3</v>
      </c>
      <c r="L171" s="2"/>
      <c r="M171" s="1" t="s">
        <v>4</v>
      </c>
    </row>
    <row r="172" spans="1:13" ht="12.75" x14ac:dyDescent="0.2">
      <c r="A172" s="5">
        <v>2648678</v>
      </c>
      <c r="B172" s="6">
        <v>44089</v>
      </c>
      <c r="C172" s="6">
        <v>44090</v>
      </c>
      <c r="D172" s="5" t="s">
        <v>49</v>
      </c>
      <c r="E172" s="5" t="s">
        <v>103</v>
      </c>
      <c r="F172" s="5"/>
      <c r="G172" s="5" t="s">
        <v>1</v>
      </c>
      <c r="H172" s="5">
        <v>20</v>
      </c>
      <c r="I172" s="5" t="s">
        <v>15</v>
      </c>
      <c r="J172" s="6"/>
      <c r="K172" s="5" t="s">
        <v>121</v>
      </c>
      <c r="L172" s="6"/>
      <c r="M172" s="5"/>
    </row>
    <row r="173" spans="1:13" ht="12.75" x14ac:dyDescent="0.2">
      <c r="A173" s="1">
        <v>5448673</v>
      </c>
      <c r="B173" s="2">
        <v>44185</v>
      </c>
      <c r="C173" s="2">
        <v>44186</v>
      </c>
      <c r="D173" s="1" t="s">
        <v>0</v>
      </c>
      <c r="E173" s="1" t="s">
        <v>11</v>
      </c>
      <c r="F173" s="1">
        <v>6</v>
      </c>
      <c r="G173" s="1" t="s">
        <v>1</v>
      </c>
      <c r="H173" s="1">
        <v>70</v>
      </c>
      <c r="I173" s="1" t="s">
        <v>2</v>
      </c>
      <c r="J173" s="2">
        <v>44236</v>
      </c>
      <c r="K173" s="1" t="s">
        <v>3</v>
      </c>
      <c r="L173" s="2"/>
      <c r="M173" s="1" t="s">
        <v>4</v>
      </c>
    </row>
    <row r="174" spans="1:13" ht="12.75" x14ac:dyDescent="0.2">
      <c r="A174" s="5">
        <v>1254154</v>
      </c>
      <c r="B174" s="6">
        <v>44022</v>
      </c>
      <c r="C174" s="6">
        <v>44022</v>
      </c>
      <c r="D174" s="5" t="s">
        <v>0</v>
      </c>
      <c r="E174" s="5" t="s">
        <v>7</v>
      </c>
      <c r="F174" s="5">
        <v>3</v>
      </c>
      <c r="G174" s="5" t="s">
        <v>1</v>
      </c>
      <c r="H174" s="5">
        <v>26</v>
      </c>
      <c r="I174" s="5" t="s">
        <v>2</v>
      </c>
      <c r="J174" s="6">
        <v>44050</v>
      </c>
      <c r="K174" s="5" t="s">
        <v>3</v>
      </c>
      <c r="L174" s="6"/>
      <c r="M174" s="5" t="s">
        <v>4</v>
      </c>
    </row>
    <row r="175" spans="1:13" ht="12.75" x14ac:dyDescent="0.2">
      <c r="A175" s="1">
        <v>1692007</v>
      </c>
      <c r="B175" s="2">
        <v>44053</v>
      </c>
      <c r="C175" s="2">
        <v>44056</v>
      </c>
      <c r="D175" s="1" t="s">
        <v>0</v>
      </c>
      <c r="E175" s="1" t="s">
        <v>26</v>
      </c>
      <c r="F175" s="1">
        <v>4</v>
      </c>
      <c r="G175" s="1" t="s">
        <v>1</v>
      </c>
      <c r="H175" s="1">
        <v>85</v>
      </c>
      <c r="I175" s="1" t="s">
        <v>2</v>
      </c>
      <c r="J175" s="2">
        <v>44055</v>
      </c>
      <c r="K175" s="1" t="s">
        <v>3</v>
      </c>
      <c r="L175" s="2"/>
      <c r="M175" s="1" t="s">
        <v>4</v>
      </c>
    </row>
    <row r="176" spans="1:13" ht="12.75" x14ac:dyDescent="0.2">
      <c r="A176" s="5">
        <v>1114736</v>
      </c>
      <c r="B176" s="6">
        <v>44013</v>
      </c>
      <c r="C176" s="6">
        <v>44013</v>
      </c>
      <c r="D176" s="5" t="s">
        <v>0</v>
      </c>
      <c r="E176" s="5" t="s">
        <v>8</v>
      </c>
      <c r="F176" s="5">
        <v>7</v>
      </c>
      <c r="G176" s="5" t="s">
        <v>6</v>
      </c>
      <c r="H176" s="5">
        <v>87</v>
      </c>
      <c r="I176" s="5" t="s">
        <v>2</v>
      </c>
      <c r="J176" s="6">
        <v>44013</v>
      </c>
      <c r="K176" s="5" t="s">
        <v>3</v>
      </c>
      <c r="L176" s="6"/>
      <c r="M176" s="5" t="s">
        <v>4</v>
      </c>
    </row>
    <row r="177" spans="1:13" ht="12.75" x14ac:dyDescent="0.2">
      <c r="A177" s="1">
        <v>925772</v>
      </c>
      <c r="B177" s="2">
        <v>43966</v>
      </c>
      <c r="C177" s="2">
        <v>43966</v>
      </c>
      <c r="D177" s="1" t="s">
        <v>0</v>
      </c>
      <c r="E177" s="1" t="s">
        <v>7</v>
      </c>
      <c r="F177" s="1">
        <v>3</v>
      </c>
      <c r="G177" s="1" t="s">
        <v>6</v>
      </c>
      <c r="H177" s="1">
        <v>95</v>
      </c>
      <c r="I177" s="1" t="s">
        <v>2</v>
      </c>
      <c r="J177" s="2">
        <v>43975</v>
      </c>
      <c r="K177" s="1" t="s">
        <v>3</v>
      </c>
      <c r="L177" s="2"/>
      <c r="M177" s="1" t="s">
        <v>4</v>
      </c>
    </row>
    <row r="178" spans="1:13" ht="12.75" x14ac:dyDescent="0.2">
      <c r="A178" s="5">
        <v>1528422</v>
      </c>
      <c r="B178" s="6">
        <v>44037</v>
      </c>
      <c r="C178" s="6">
        <v>44038</v>
      </c>
      <c r="D178" s="5" t="s">
        <v>0</v>
      </c>
      <c r="E178" s="5" t="s">
        <v>50</v>
      </c>
      <c r="F178" s="5">
        <v>1</v>
      </c>
      <c r="G178" s="5" t="s">
        <v>6</v>
      </c>
      <c r="H178" s="5">
        <v>90</v>
      </c>
      <c r="I178" s="5" t="s">
        <v>2</v>
      </c>
      <c r="J178" s="6">
        <v>44050</v>
      </c>
      <c r="K178" s="5" t="s">
        <v>3</v>
      </c>
      <c r="L178" s="6"/>
      <c r="M178" s="5" t="s">
        <v>4</v>
      </c>
    </row>
    <row r="179" spans="1:13" ht="12.75" x14ac:dyDescent="0.2">
      <c r="A179" s="1">
        <v>5311665</v>
      </c>
      <c r="B179" s="2">
        <v>44181</v>
      </c>
      <c r="C179" s="2">
        <v>44181</v>
      </c>
      <c r="D179" s="1" t="s">
        <v>0</v>
      </c>
      <c r="E179" s="1" t="s">
        <v>19</v>
      </c>
      <c r="F179" s="1">
        <v>15</v>
      </c>
      <c r="G179" s="1" t="s">
        <v>6</v>
      </c>
      <c r="H179" s="1">
        <v>78</v>
      </c>
      <c r="I179" s="1" t="s">
        <v>2</v>
      </c>
      <c r="J179" s="2">
        <v>44195</v>
      </c>
      <c r="K179" s="1" t="s">
        <v>3</v>
      </c>
      <c r="L179" s="2"/>
      <c r="M179" s="1" t="s">
        <v>4</v>
      </c>
    </row>
    <row r="180" spans="1:13" ht="12.75" x14ac:dyDescent="0.2">
      <c r="A180" s="5">
        <v>1283454</v>
      </c>
      <c r="B180" s="6">
        <v>44032</v>
      </c>
      <c r="C180" s="6">
        <v>44033</v>
      </c>
      <c r="D180" s="5" t="s">
        <v>5</v>
      </c>
      <c r="E180" s="5" t="s">
        <v>75</v>
      </c>
      <c r="F180" s="5"/>
      <c r="G180" s="5" t="s">
        <v>6</v>
      </c>
      <c r="H180" s="5">
        <v>56</v>
      </c>
      <c r="I180" s="5" t="s">
        <v>2</v>
      </c>
      <c r="J180" s="6">
        <v>44038</v>
      </c>
      <c r="K180" s="5" t="s">
        <v>3</v>
      </c>
      <c r="L180" s="6"/>
      <c r="M180" s="5" t="s">
        <v>9</v>
      </c>
    </row>
    <row r="181" spans="1:13" ht="12.75" x14ac:dyDescent="0.2">
      <c r="A181" s="1">
        <v>5583820</v>
      </c>
      <c r="B181" s="2">
        <v>44190</v>
      </c>
      <c r="C181" s="2">
        <v>44191</v>
      </c>
      <c r="D181" s="1" t="s">
        <v>0</v>
      </c>
      <c r="E181" s="1" t="s">
        <v>36</v>
      </c>
      <c r="F181" s="1">
        <v>1</v>
      </c>
      <c r="G181" s="1" t="s">
        <v>1</v>
      </c>
      <c r="H181" s="1">
        <v>94</v>
      </c>
      <c r="I181" s="1" t="s">
        <v>2</v>
      </c>
      <c r="J181" s="2">
        <v>44192</v>
      </c>
      <c r="K181" s="1" t="s">
        <v>3</v>
      </c>
      <c r="L181" s="2"/>
      <c r="M181" s="1" t="s">
        <v>4</v>
      </c>
    </row>
    <row r="182" spans="1:13" ht="12.75" x14ac:dyDescent="0.2">
      <c r="A182" s="5">
        <v>1412347</v>
      </c>
      <c r="B182" s="6">
        <v>44030</v>
      </c>
      <c r="C182" s="6">
        <v>44030</v>
      </c>
      <c r="D182" s="5" t="s">
        <v>0</v>
      </c>
      <c r="E182" s="5" t="s">
        <v>8</v>
      </c>
      <c r="F182" s="5">
        <v>7</v>
      </c>
      <c r="G182" s="5" t="s">
        <v>1</v>
      </c>
      <c r="H182" s="5">
        <v>75</v>
      </c>
      <c r="I182" s="5" t="s">
        <v>2</v>
      </c>
      <c r="J182" s="6">
        <v>44036</v>
      </c>
      <c r="K182" s="5" t="s">
        <v>3</v>
      </c>
      <c r="L182" s="6"/>
      <c r="M182" s="5" t="s">
        <v>4</v>
      </c>
    </row>
    <row r="183" spans="1:13" ht="12.75" x14ac:dyDescent="0.2">
      <c r="A183" s="1">
        <v>1526293</v>
      </c>
      <c r="B183" s="2">
        <v>44038</v>
      </c>
      <c r="C183" s="2">
        <v>44038</v>
      </c>
      <c r="D183" s="1" t="s">
        <v>0</v>
      </c>
      <c r="E183" s="1" t="s">
        <v>51</v>
      </c>
      <c r="F183" s="1">
        <v>15</v>
      </c>
      <c r="G183" s="1" t="s">
        <v>6</v>
      </c>
      <c r="H183" s="1">
        <v>99</v>
      </c>
      <c r="I183" s="1" t="s">
        <v>2</v>
      </c>
      <c r="J183" s="2">
        <v>44041</v>
      </c>
      <c r="K183" s="1" t="s">
        <v>3</v>
      </c>
      <c r="L183" s="2"/>
      <c r="M183" s="1" t="s">
        <v>4</v>
      </c>
    </row>
    <row r="184" spans="1:13" ht="12.75" x14ac:dyDescent="0.2">
      <c r="A184" s="5">
        <v>4865552</v>
      </c>
      <c r="B184" s="6">
        <v>44165</v>
      </c>
      <c r="C184" s="6">
        <v>44165</v>
      </c>
      <c r="D184" s="5" t="s">
        <v>5</v>
      </c>
      <c r="E184" s="5" t="s">
        <v>96</v>
      </c>
      <c r="F184" s="5"/>
      <c r="G184" s="5" t="s">
        <v>1</v>
      </c>
      <c r="H184" s="5">
        <v>39</v>
      </c>
      <c r="I184" s="5" t="s">
        <v>2</v>
      </c>
      <c r="J184" s="6">
        <v>44182</v>
      </c>
      <c r="K184" s="5" t="s">
        <v>3</v>
      </c>
      <c r="L184" s="6"/>
      <c r="M184" s="5" t="s">
        <v>4</v>
      </c>
    </row>
    <row r="185" spans="1:13" ht="12.75" x14ac:dyDescent="0.2">
      <c r="A185" s="1">
        <v>2105531</v>
      </c>
      <c r="B185" s="2">
        <v>44076</v>
      </c>
      <c r="C185" s="2">
        <v>44077</v>
      </c>
      <c r="D185" s="1" t="s">
        <v>0</v>
      </c>
      <c r="E185" s="1" t="s">
        <v>45</v>
      </c>
      <c r="F185" s="1">
        <v>4</v>
      </c>
      <c r="G185" s="1" t="s">
        <v>6</v>
      </c>
      <c r="H185" s="1">
        <v>91</v>
      </c>
      <c r="I185" s="1" t="s">
        <v>2</v>
      </c>
      <c r="J185" s="2">
        <v>44092</v>
      </c>
      <c r="K185" s="1" t="s">
        <v>3</v>
      </c>
      <c r="L185" s="2"/>
      <c r="M185" s="1" t="s">
        <v>20</v>
      </c>
    </row>
    <row r="186" spans="1:13" ht="12.75" x14ac:dyDescent="0.2">
      <c r="A186" s="5">
        <v>2341844</v>
      </c>
      <c r="B186" s="6">
        <v>44078</v>
      </c>
      <c r="C186" s="6">
        <v>44079</v>
      </c>
      <c r="D186" s="5" t="s">
        <v>0</v>
      </c>
      <c r="E186" s="5" t="s">
        <v>7</v>
      </c>
      <c r="F186" s="5">
        <v>3</v>
      </c>
      <c r="G186" s="5" t="s">
        <v>6</v>
      </c>
      <c r="H186" s="5">
        <v>86</v>
      </c>
      <c r="I186" s="5" t="s">
        <v>15</v>
      </c>
      <c r="J186" s="6"/>
      <c r="K186" s="5" t="s">
        <v>121</v>
      </c>
      <c r="L186" s="6"/>
      <c r="M186" s="5"/>
    </row>
    <row r="187" spans="1:13" ht="12.75" x14ac:dyDescent="0.2">
      <c r="A187" s="1">
        <v>3158996</v>
      </c>
      <c r="B187" s="2">
        <v>44106</v>
      </c>
      <c r="C187" s="2">
        <v>44110</v>
      </c>
      <c r="D187" s="1" t="s">
        <v>0</v>
      </c>
      <c r="E187" s="1" t="s">
        <v>26</v>
      </c>
      <c r="F187" s="1">
        <v>4</v>
      </c>
      <c r="G187" s="1" t="s">
        <v>6</v>
      </c>
      <c r="H187" s="1">
        <v>95</v>
      </c>
      <c r="I187" s="1" t="s">
        <v>2</v>
      </c>
      <c r="J187" s="2">
        <v>44113</v>
      </c>
      <c r="K187" s="1" t="s">
        <v>3</v>
      </c>
      <c r="L187" s="2"/>
      <c r="M187" s="1" t="s">
        <v>20</v>
      </c>
    </row>
    <row r="188" spans="1:13" ht="12.75" x14ac:dyDescent="0.2">
      <c r="A188" s="5">
        <v>1937989</v>
      </c>
      <c r="B188" s="6">
        <v>44048</v>
      </c>
      <c r="C188" s="6">
        <v>44048</v>
      </c>
      <c r="D188" s="5" t="s">
        <v>0</v>
      </c>
      <c r="E188" s="5" t="s">
        <v>14</v>
      </c>
      <c r="F188" s="5">
        <v>14</v>
      </c>
      <c r="G188" s="5" t="s">
        <v>6</v>
      </c>
      <c r="H188" s="5">
        <v>78</v>
      </c>
      <c r="I188" s="5" t="s">
        <v>2</v>
      </c>
      <c r="J188" s="6">
        <v>44060</v>
      </c>
      <c r="K188" s="5" t="s">
        <v>3</v>
      </c>
      <c r="L188" s="6"/>
      <c r="M188" s="5" t="s">
        <v>4</v>
      </c>
    </row>
    <row r="189" spans="1:13" ht="12.75" x14ac:dyDescent="0.2">
      <c r="A189" s="1">
        <v>1443470</v>
      </c>
      <c r="B189" s="2">
        <v>44032</v>
      </c>
      <c r="C189" s="2">
        <v>44033</v>
      </c>
      <c r="D189" s="1" t="s">
        <v>0</v>
      </c>
      <c r="E189" s="1" t="s">
        <v>33</v>
      </c>
      <c r="F189" s="1">
        <v>13</v>
      </c>
      <c r="G189" s="1" t="s">
        <v>6</v>
      </c>
      <c r="H189" s="1">
        <v>85</v>
      </c>
      <c r="I189" s="1" t="s">
        <v>2</v>
      </c>
      <c r="J189" s="2">
        <v>44033</v>
      </c>
      <c r="K189" s="1" t="s">
        <v>3</v>
      </c>
      <c r="L189" s="2"/>
      <c r="M189" s="1" t="s">
        <v>4</v>
      </c>
    </row>
    <row r="190" spans="1:13" ht="12.75" x14ac:dyDescent="0.2">
      <c r="A190" s="5">
        <v>5282415</v>
      </c>
      <c r="B190" s="6">
        <v>44179</v>
      </c>
      <c r="C190" s="6">
        <v>44179</v>
      </c>
      <c r="D190" s="5" t="s">
        <v>0</v>
      </c>
      <c r="E190" s="5" t="s">
        <v>47</v>
      </c>
      <c r="F190" s="5">
        <v>12</v>
      </c>
      <c r="G190" s="5" t="s">
        <v>6</v>
      </c>
      <c r="H190" s="5">
        <v>74</v>
      </c>
      <c r="I190" s="5" t="s">
        <v>15</v>
      </c>
      <c r="J190" s="6"/>
      <c r="K190" s="5" t="s">
        <v>121</v>
      </c>
      <c r="L190" s="6"/>
      <c r="M190" s="5"/>
    </row>
    <row r="191" spans="1:13" ht="12.75" x14ac:dyDescent="0.2">
      <c r="A191" s="1">
        <v>2121646</v>
      </c>
      <c r="B191" s="2">
        <v>44068</v>
      </c>
      <c r="C191" s="2">
        <v>44068</v>
      </c>
      <c r="D191" s="1" t="s">
        <v>0</v>
      </c>
      <c r="E191" s="1" t="s">
        <v>7</v>
      </c>
      <c r="F191" s="1">
        <v>3</v>
      </c>
      <c r="G191" s="1" t="s">
        <v>6</v>
      </c>
      <c r="H191" s="1">
        <v>74</v>
      </c>
      <c r="I191" s="1" t="s">
        <v>2</v>
      </c>
      <c r="J191" s="2">
        <v>44092</v>
      </c>
      <c r="K191" s="1" t="s">
        <v>3</v>
      </c>
      <c r="L191" s="2"/>
      <c r="M191" s="1" t="s">
        <v>4</v>
      </c>
    </row>
    <row r="192" spans="1:13" ht="12.75" x14ac:dyDescent="0.2">
      <c r="A192" s="5">
        <v>833970</v>
      </c>
      <c r="B192" s="6">
        <v>43941</v>
      </c>
      <c r="C192" s="6">
        <v>43941</v>
      </c>
      <c r="D192" s="5" t="s">
        <v>0</v>
      </c>
      <c r="E192" s="5" t="s">
        <v>28</v>
      </c>
      <c r="F192" s="5">
        <v>11</v>
      </c>
      <c r="G192" s="5" t="s">
        <v>6</v>
      </c>
      <c r="H192" s="5">
        <v>74</v>
      </c>
      <c r="I192" s="5" t="s">
        <v>15</v>
      </c>
      <c r="J192" s="6"/>
      <c r="K192" s="5" t="s">
        <v>121</v>
      </c>
      <c r="L192" s="6"/>
      <c r="M192" s="5"/>
    </row>
    <row r="193" spans="1:13" ht="12.75" x14ac:dyDescent="0.2">
      <c r="A193" s="1">
        <v>1377472</v>
      </c>
      <c r="B193" s="2">
        <v>44021</v>
      </c>
      <c r="C193" s="2">
        <v>44022</v>
      </c>
      <c r="D193" s="1" t="s">
        <v>0</v>
      </c>
      <c r="E193" s="1" t="s">
        <v>33</v>
      </c>
      <c r="F193" s="1">
        <v>13</v>
      </c>
      <c r="G193" s="1" t="s">
        <v>1</v>
      </c>
      <c r="H193" s="1">
        <v>90</v>
      </c>
      <c r="I193" s="1" t="s">
        <v>15</v>
      </c>
      <c r="J193" s="2"/>
      <c r="K193" s="1" t="s">
        <v>121</v>
      </c>
      <c r="L193" s="2"/>
    </row>
    <row r="194" spans="1:13" ht="12.75" x14ac:dyDescent="0.2">
      <c r="A194" s="5">
        <v>1057655</v>
      </c>
      <c r="B194" s="6">
        <v>43993</v>
      </c>
      <c r="C194" s="6">
        <v>43993</v>
      </c>
      <c r="D194" s="5" t="s">
        <v>0</v>
      </c>
      <c r="E194" s="5" t="s">
        <v>33</v>
      </c>
      <c r="F194" s="5">
        <v>13</v>
      </c>
      <c r="G194" s="5" t="s">
        <v>6</v>
      </c>
      <c r="H194" s="5">
        <v>87</v>
      </c>
      <c r="I194" s="5" t="s">
        <v>15</v>
      </c>
      <c r="J194" s="6"/>
      <c r="K194" s="5" t="s">
        <v>121</v>
      </c>
      <c r="L194" s="6"/>
      <c r="M194" s="5"/>
    </row>
    <row r="195" spans="1:13" ht="12.75" x14ac:dyDescent="0.2">
      <c r="A195" s="1">
        <v>858118</v>
      </c>
      <c r="B195" s="2">
        <v>43947</v>
      </c>
      <c r="C195" s="2">
        <v>43948</v>
      </c>
      <c r="D195" s="1" t="s">
        <v>0</v>
      </c>
      <c r="E195" s="1" t="s">
        <v>33</v>
      </c>
      <c r="F195" s="1">
        <v>13</v>
      </c>
      <c r="G195" s="1" t="s">
        <v>1</v>
      </c>
      <c r="H195" s="1">
        <v>72</v>
      </c>
      <c r="I195" s="1" t="s">
        <v>15</v>
      </c>
      <c r="J195" s="2"/>
      <c r="K195" s="1" t="s">
        <v>121</v>
      </c>
      <c r="L195" s="2"/>
    </row>
    <row r="196" spans="1:13" ht="12.75" x14ac:dyDescent="0.2">
      <c r="A196" s="5">
        <v>5575412</v>
      </c>
      <c r="B196" s="6">
        <v>44188</v>
      </c>
      <c r="C196" s="6">
        <v>44189</v>
      </c>
      <c r="D196" s="5" t="s">
        <v>5</v>
      </c>
      <c r="E196" s="5" t="s">
        <v>87</v>
      </c>
      <c r="F196" s="5"/>
      <c r="G196" s="5" t="s">
        <v>1</v>
      </c>
      <c r="H196" s="5">
        <v>94</v>
      </c>
      <c r="I196" s="5" t="s">
        <v>2</v>
      </c>
      <c r="J196" s="6">
        <v>44201</v>
      </c>
      <c r="K196" s="5" t="s">
        <v>3</v>
      </c>
      <c r="L196" s="6"/>
      <c r="M196" s="5" t="s">
        <v>9</v>
      </c>
    </row>
    <row r="197" spans="1:13" ht="12.75" x14ac:dyDescent="0.2">
      <c r="A197" s="1">
        <v>1010455</v>
      </c>
      <c r="B197" s="2">
        <v>43984</v>
      </c>
      <c r="C197" s="2">
        <v>43984</v>
      </c>
      <c r="D197" s="1" t="s">
        <v>0</v>
      </c>
      <c r="E197" s="1" t="s">
        <v>17</v>
      </c>
      <c r="F197" s="1">
        <v>1</v>
      </c>
      <c r="G197" s="1" t="s">
        <v>6</v>
      </c>
      <c r="H197" s="1">
        <v>98</v>
      </c>
      <c r="I197" s="1" t="s">
        <v>2</v>
      </c>
      <c r="J197" s="2">
        <v>43991</v>
      </c>
      <c r="K197" s="1" t="s">
        <v>3</v>
      </c>
      <c r="L197" s="2"/>
      <c r="M197" s="1" t="s">
        <v>4</v>
      </c>
    </row>
    <row r="198" spans="1:13" ht="12.75" x14ac:dyDescent="0.2">
      <c r="A198" s="5">
        <v>3249172</v>
      </c>
      <c r="B198" s="6">
        <v>44112</v>
      </c>
      <c r="C198" s="6">
        <v>44112</v>
      </c>
      <c r="D198" s="5" t="s">
        <v>0</v>
      </c>
      <c r="E198" s="5" t="s">
        <v>16</v>
      </c>
      <c r="F198" s="5">
        <v>15</v>
      </c>
      <c r="G198" s="5" t="s">
        <v>6</v>
      </c>
      <c r="H198" s="5">
        <v>94</v>
      </c>
      <c r="I198" s="5" t="s">
        <v>2</v>
      </c>
      <c r="J198" s="6">
        <v>44113</v>
      </c>
      <c r="K198" s="5" t="s">
        <v>3</v>
      </c>
      <c r="L198" s="6"/>
      <c r="M198" s="5" t="s">
        <v>4</v>
      </c>
    </row>
    <row r="199" spans="1:13" ht="12.75" x14ac:dyDescent="0.2">
      <c r="A199" s="1">
        <v>1674891</v>
      </c>
      <c r="B199" s="2">
        <v>44060</v>
      </c>
      <c r="C199" s="2">
        <v>44060</v>
      </c>
      <c r="D199" s="1" t="s">
        <v>0</v>
      </c>
      <c r="E199" s="1" t="s">
        <v>10</v>
      </c>
      <c r="F199" s="1">
        <v>5</v>
      </c>
      <c r="G199" s="1" t="s">
        <v>1</v>
      </c>
      <c r="H199" s="1">
        <v>58</v>
      </c>
      <c r="I199" s="1" t="s">
        <v>2</v>
      </c>
      <c r="J199" s="2">
        <v>44065</v>
      </c>
      <c r="K199" s="1" t="s">
        <v>3</v>
      </c>
      <c r="L199" s="2"/>
      <c r="M199" s="1" t="s">
        <v>9</v>
      </c>
    </row>
    <row r="200" spans="1:13" ht="12.75" x14ac:dyDescent="0.2">
      <c r="A200" s="5">
        <v>3474269</v>
      </c>
      <c r="B200" s="6">
        <v>44119</v>
      </c>
      <c r="C200" s="6">
        <v>44119</v>
      </c>
      <c r="D200" s="5" t="s">
        <v>5</v>
      </c>
      <c r="E200" s="5" t="s">
        <v>75</v>
      </c>
      <c r="F200" s="5"/>
      <c r="G200" s="5" t="s">
        <v>1</v>
      </c>
      <c r="H200" s="5">
        <v>82</v>
      </c>
      <c r="I200" s="5" t="s">
        <v>2</v>
      </c>
      <c r="J200" s="6">
        <v>44145</v>
      </c>
      <c r="K200" s="5" t="s">
        <v>3</v>
      </c>
      <c r="L200" s="6"/>
      <c r="M200" s="5" t="s">
        <v>4</v>
      </c>
    </row>
    <row r="201" spans="1:13" ht="12.75" x14ac:dyDescent="0.2">
      <c r="A201" s="1">
        <v>1423406</v>
      </c>
      <c r="B201" s="2">
        <v>44031</v>
      </c>
      <c r="C201" s="2">
        <v>44031</v>
      </c>
      <c r="D201" s="1" t="s">
        <v>0</v>
      </c>
      <c r="E201" s="1" t="s">
        <v>11</v>
      </c>
      <c r="F201" s="1">
        <v>6</v>
      </c>
      <c r="G201" s="1" t="s">
        <v>1</v>
      </c>
      <c r="H201" s="1">
        <v>83</v>
      </c>
      <c r="I201" s="1" t="s">
        <v>2</v>
      </c>
      <c r="J201" s="2">
        <v>44042</v>
      </c>
      <c r="K201" s="1" t="s">
        <v>3</v>
      </c>
      <c r="L201" s="2"/>
      <c r="M201" s="1" t="s">
        <v>4</v>
      </c>
    </row>
    <row r="202" spans="1:13" ht="12.75" x14ac:dyDescent="0.2">
      <c r="A202" s="5">
        <v>1300187</v>
      </c>
      <c r="B202" s="6">
        <v>44020</v>
      </c>
      <c r="C202" s="6">
        <v>44020</v>
      </c>
      <c r="D202" s="5" t="s">
        <v>0</v>
      </c>
      <c r="E202" s="5" t="s">
        <v>52</v>
      </c>
      <c r="F202" s="5">
        <v>11</v>
      </c>
      <c r="G202" s="5" t="s">
        <v>1</v>
      </c>
      <c r="H202" s="5">
        <v>83</v>
      </c>
      <c r="I202" s="5" t="s">
        <v>2</v>
      </c>
      <c r="J202" s="6">
        <v>44030</v>
      </c>
      <c r="K202" s="5" t="s">
        <v>3</v>
      </c>
      <c r="L202" s="6"/>
      <c r="M202" s="5" t="s">
        <v>4</v>
      </c>
    </row>
    <row r="203" spans="1:13" ht="12.75" x14ac:dyDescent="0.2">
      <c r="A203" s="1">
        <v>1810448</v>
      </c>
      <c r="B203" s="2">
        <v>44053</v>
      </c>
      <c r="C203" s="2">
        <v>44055</v>
      </c>
      <c r="D203" s="1" t="s">
        <v>0</v>
      </c>
      <c r="E203" s="1" t="s">
        <v>24</v>
      </c>
      <c r="F203" s="1">
        <v>9</v>
      </c>
      <c r="G203" s="1" t="s">
        <v>6</v>
      </c>
      <c r="H203" s="1">
        <v>81</v>
      </c>
      <c r="I203" s="1" t="s">
        <v>2</v>
      </c>
      <c r="J203" s="2">
        <v>44062</v>
      </c>
      <c r="K203" s="1" t="s">
        <v>3</v>
      </c>
      <c r="L203" s="2"/>
      <c r="M203" s="1" t="s">
        <v>9</v>
      </c>
    </row>
    <row r="204" spans="1:13" ht="12.75" x14ac:dyDescent="0.2">
      <c r="A204" s="5">
        <v>5604108</v>
      </c>
      <c r="B204" s="6">
        <v>44191</v>
      </c>
      <c r="C204" s="6">
        <v>44191</v>
      </c>
      <c r="D204" s="5" t="s">
        <v>0</v>
      </c>
      <c r="E204" s="5" t="s">
        <v>25</v>
      </c>
      <c r="F204" s="5">
        <v>13</v>
      </c>
      <c r="G204" s="5" t="s">
        <v>6</v>
      </c>
      <c r="H204" s="5">
        <v>78</v>
      </c>
      <c r="I204" s="5" t="s">
        <v>2</v>
      </c>
      <c r="J204" s="6">
        <v>44210</v>
      </c>
      <c r="K204" s="5" t="s">
        <v>3</v>
      </c>
      <c r="L204" s="6"/>
      <c r="M204" s="5" t="s">
        <v>4</v>
      </c>
    </row>
    <row r="205" spans="1:13" ht="12.75" x14ac:dyDescent="0.2">
      <c r="A205" s="1">
        <v>911888</v>
      </c>
      <c r="B205" s="2">
        <v>43961</v>
      </c>
      <c r="C205" s="2">
        <v>43961</v>
      </c>
      <c r="D205" s="1" t="s">
        <v>0</v>
      </c>
      <c r="E205" s="1" t="s">
        <v>53</v>
      </c>
      <c r="F205" s="1">
        <v>11</v>
      </c>
      <c r="G205" s="1" t="s">
        <v>1</v>
      </c>
      <c r="H205" s="1">
        <v>93</v>
      </c>
      <c r="I205" s="1" t="s">
        <v>15</v>
      </c>
      <c r="J205" s="2"/>
      <c r="K205" s="1" t="s">
        <v>121</v>
      </c>
      <c r="L205" s="2"/>
    </row>
    <row r="206" spans="1:13" ht="12.75" x14ac:dyDescent="0.2">
      <c r="A206" s="5">
        <v>2553298</v>
      </c>
      <c r="B206" s="6">
        <v>44082</v>
      </c>
      <c r="C206" s="6">
        <v>44083</v>
      </c>
      <c r="D206" s="5" t="s">
        <v>5</v>
      </c>
      <c r="E206" s="5" t="s">
        <v>81</v>
      </c>
      <c r="F206" s="5"/>
      <c r="G206" s="5" t="s">
        <v>6</v>
      </c>
      <c r="H206" s="5">
        <v>88</v>
      </c>
      <c r="I206" s="5" t="s">
        <v>2</v>
      </c>
      <c r="J206" s="6">
        <v>44086</v>
      </c>
      <c r="K206" s="5" t="s">
        <v>3</v>
      </c>
      <c r="L206" s="6"/>
      <c r="M206" s="5" t="s">
        <v>4</v>
      </c>
    </row>
    <row r="207" spans="1:13" ht="12.75" x14ac:dyDescent="0.2">
      <c r="A207" s="1">
        <v>2626282</v>
      </c>
      <c r="B207" s="2">
        <v>44089</v>
      </c>
      <c r="C207" s="2">
        <v>44090</v>
      </c>
      <c r="D207" s="1" t="s">
        <v>5</v>
      </c>
      <c r="E207" s="1" t="s">
        <v>83</v>
      </c>
      <c r="G207" s="1" t="s">
        <v>1</v>
      </c>
      <c r="H207" s="1">
        <v>51</v>
      </c>
      <c r="I207" s="1" t="s">
        <v>2</v>
      </c>
      <c r="J207" s="2">
        <v>44091</v>
      </c>
      <c r="K207" s="1" t="s">
        <v>3</v>
      </c>
      <c r="L207" s="2"/>
      <c r="M207" s="1" t="s">
        <v>4</v>
      </c>
    </row>
    <row r="208" spans="1:13" ht="12.75" x14ac:dyDescent="0.2">
      <c r="A208" s="5">
        <v>5031810</v>
      </c>
      <c r="B208" s="6">
        <v>44170</v>
      </c>
      <c r="C208" s="6">
        <v>44170</v>
      </c>
      <c r="D208" s="5" t="s">
        <v>0</v>
      </c>
      <c r="E208" s="5" t="s">
        <v>11</v>
      </c>
      <c r="F208" s="5">
        <v>6</v>
      </c>
      <c r="G208" s="5" t="s">
        <v>6</v>
      </c>
      <c r="H208" s="5">
        <v>83</v>
      </c>
      <c r="I208" s="5" t="s">
        <v>2</v>
      </c>
      <c r="J208" s="6">
        <v>44176</v>
      </c>
      <c r="K208" s="5" t="s">
        <v>3</v>
      </c>
      <c r="L208" s="6"/>
      <c r="M208" s="5" t="s">
        <v>9</v>
      </c>
    </row>
    <row r="209" spans="1:13" ht="12.75" x14ac:dyDescent="0.2">
      <c r="A209" s="1">
        <v>1894945</v>
      </c>
      <c r="B209" s="2">
        <v>44057</v>
      </c>
      <c r="C209" s="2">
        <v>44059</v>
      </c>
      <c r="D209" s="1" t="s">
        <v>5</v>
      </c>
      <c r="E209" s="1" t="s">
        <v>85</v>
      </c>
      <c r="G209" s="1" t="s">
        <v>6</v>
      </c>
      <c r="H209" s="1">
        <v>73</v>
      </c>
      <c r="I209" s="1" t="s">
        <v>2</v>
      </c>
      <c r="J209" s="2">
        <v>44063</v>
      </c>
      <c r="K209" s="1" t="s">
        <v>3</v>
      </c>
      <c r="L209" s="2"/>
      <c r="M209" s="1" t="s">
        <v>4</v>
      </c>
    </row>
    <row r="210" spans="1:13" ht="12.75" x14ac:dyDescent="0.2">
      <c r="A210" s="5">
        <v>826698</v>
      </c>
      <c r="B210" s="6">
        <v>43938</v>
      </c>
      <c r="C210" s="6">
        <v>43940</v>
      </c>
      <c r="D210" s="5" t="s">
        <v>0</v>
      </c>
      <c r="E210" s="5" t="s">
        <v>13</v>
      </c>
      <c r="F210" s="5">
        <v>2</v>
      </c>
      <c r="G210" s="5" t="s">
        <v>6</v>
      </c>
      <c r="H210" s="5">
        <v>94</v>
      </c>
      <c r="I210" s="5" t="s">
        <v>15</v>
      </c>
      <c r="J210" s="6"/>
      <c r="K210" s="5" t="s">
        <v>121</v>
      </c>
      <c r="L210" s="6"/>
      <c r="M210" s="5"/>
    </row>
    <row r="211" spans="1:13" ht="12.75" x14ac:dyDescent="0.2">
      <c r="A211" s="1">
        <v>1278589</v>
      </c>
      <c r="B211" s="2">
        <v>44013</v>
      </c>
      <c r="C211" s="2">
        <v>44013</v>
      </c>
      <c r="D211" s="1" t="s">
        <v>5</v>
      </c>
      <c r="E211" s="1" t="s">
        <v>99</v>
      </c>
      <c r="G211" s="1" t="s">
        <v>6</v>
      </c>
      <c r="H211" s="1">
        <v>89</v>
      </c>
      <c r="I211" s="1" t="s">
        <v>2</v>
      </c>
      <c r="J211" s="2">
        <v>44019</v>
      </c>
      <c r="K211" s="1" t="s">
        <v>3</v>
      </c>
      <c r="L211" s="2"/>
      <c r="M211" s="1" t="s">
        <v>20</v>
      </c>
    </row>
    <row r="212" spans="1:13" ht="12.75" x14ac:dyDescent="0.2">
      <c r="A212" s="5">
        <v>1774266</v>
      </c>
      <c r="B212" s="6">
        <v>44052</v>
      </c>
      <c r="C212" s="6">
        <v>44052</v>
      </c>
      <c r="D212" s="5" t="s">
        <v>0</v>
      </c>
      <c r="E212" s="5" t="s">
        <v>45</v>
      </c>
      <c r="F212" s="5">
        <v>4</v>
      </c>
      <c r="G212" s="5" t="s">
        <v>6</v>
      </c>
      <c r="H212" s="5">
        <v>90</v>
      </c>
      <c r="I212" s="5" t="s">
        <v>2</v>
      </c>
      <c r="J212" s="6">
        <v>44057</v>
      </c>
      <c r="K212" s="5" t="s">
        <v>3</v>
      </c>
      <c r="L212" s="6"/>
      <c r="M212" s="5" t="s">
        <v>4</v>
      </c>
    </row>
    <row r="213" spans="1:13" ht="12.75" x14ac:dyDescent="0.2">
      <c r="A213" s="1">
        <v>1850028</v>
      </c>
      <c r="B213" s="2">
        <v>44055</v>
      </c>
      <c r="C213" s="2">
        <v>44059</v>
      </c>
      <c r="D213" s="1" t="s">
        <v>0</v>
      </c>
      <c r="E213" s="1" t="s">
        <v>41</v>
      </c>
      <c r="F213" s="1">
        <v>4</v>
      </c>
      <c r="G213" s="1" t="s">
        <v>6</v>
      </c>
      <c r="H213" s="1">
        <v>47</v>
      </c>
      <c r="I213" s="1" t="s">
        <v>2</v>
      </c>
      <c r="J213" s="2">
        <v>44059</v>
      </c>
      <c r="K213" s="1" t="s">
        <v>3</v>
      </c>
      <c r="L213" s="2"/>
      <c r="M213" s="1" t="s">
        <v>4</v>
      </c>
    </row>
    <row r="214" spans="1:13" ht="12.75" x14ac:dyDescent="0.2">
      <c r="A214" s="5">
        <v>1613992</v>
      </c>
      <c r="B214" s="6">
        <v>44043</v>
      </c>
      <c r="C214" s="6">
        <v>44043</v>
      </c>
      <c r="D214" s="5" t="s">
        <v>0</v>
      </c>
      <c r="E214" s="5" t="s">
        <v>11</v>
      </c>
      <c r="F214" s="5">
        <v>6</v>
      </c>
      <c r="G214" s="5" t="s">
        <v>1</v>
      </c>
      <c r="H214" s="5">
        <v>82</v>
      </c>
      <c r="I214" s="5" t="s">
        <v>2</v>
      </c>
      <c r="J214" s="6">
        <v>44063</v>
      </c>
      <c r="K214" s="5" t="s">
        <v>3</v>
      </c>
      <c r="L214" s="6"/>
      <c r="M214" s="5" t="s">
        <v>4</v>
      </c>
    </row>
    <row r="215" spans="1:13" ht="12.75" x14ac:dyDescent="0.2">
      <c r="A215" s="1">
        <v>1446683</v>
      </c>
      <c r="B215" s="2">
        <v>44032</v>
      </c>
      <c r="C215" s="2">
        <v>44032</v>
      </c>
      <c r="D215" s="1" t="s">
        <v>0</v>
      </c>
      <c r="E215" s="1" t="s">
        <v>41</v>
      </c>
      <c r="F215" s="1">
        <v>4</v>
      </c>
      <c r="G215" s="1" t="s">
        <v>6</v>
      </c>
      <c r="H215" s="1">
        <v>57</v>
      </c>
      <c r="I215" s="1" t="s">
        <v>2</v>
      </c>
      <c r="J215" s="2">
        <v>44059</v>
      </c>
      <c r="K215" s="1" t="s">
        <v>3</v>
      </c>
      <c r="L215" s="2"/>
      <c r="M215" s="1" t="s">
        <v>4</v>
      </c>
    </row>
    <row r="216" spans="1:13" ht="12.75" x14ac:dyDescent="0.2">
      <c r="A216" s="5">
        <v>940259</v>
      </c>
      <c r="B216" s="6">
        <v>43970</v>
      </c>
      <c r="C216" s="6">
        <v>43970</v>
      </c>
      <c r="D216" s="5" t="s">
        <v>0</v>
      </c>
      <c r="E216" s="5" t="s">
        <v>35</v>
      </c>
      <c r="F216" s="5">
        <v>3</v>
      </c>
      <c r="G216" s="5" t="s">
        <v>6</v>
      </c>
      <c r="H216" s="5">
        <v>45</v>
      </c>
      <c r="I216" s="5" t="s">
        <v>2</v>
      </c>
      <c r="J216" s="6">
        <v>43978</v>
      </c>
      <c r="K216" s="5" t="s">
        <v>3</v>
      </c>
      <c r="L216" s="6"/>
      <c r="M216" s="5" t="s">
        <v>4</v>
      </c>
    </row>
    <row r="217" spans="1:13" ht="12.75" x14ac:dyDescent="0.2">
      <c r="A217" s="1">
        <v>1844964</v>
      </c>
      <c r="B217" s="2">
        <v>44054</v>
      </c>
      <c r="C217" s="2">
        <v>44054</v>
      </c>
      <c r="D217" s="1" t="s">
        <v>0</v>
      </c>
      <c r="E217" s="1" t="s">
        <v>42</v>
      </c>
      <c r="F217" s="1">
        <v>11</v>
      </c>
      <c r="G217" s="1" t="s">
        <v>1</v>
      </c>
      <c r="H217" s="1">
        <v>90</v>
      </c>
      <c r="I217" s="1" t="s">
        <v>2</v>
      </c>
      <c r="J217" s="2">
        <v>44060</v>
      </c>
      <c r="K217" s="1" t="s">
        <v>3</v>
      </c>
      <c r="L217" s="2"/>
      <c r="M217" s="1" t="s">
        <v>4</v>
      </c>
    </row>
    <row r="218" spans="1:13" ht="12.75" x14ac:dyDescent="0.2">
      <c r="A218" s="5">
        <v>2992338</v>
      </c>
      <c r="B218" s="6">
        <v>44101</v>
      </c>
      <c r="C218" s="6">
        <v>44101</v>
      </c>
      <c r="D218" s="5" t="s">
        <v>0</v>
      </c>
      <c r="E218" s="5" t="s">
        <v>25</v>
      </c>
      <c r="F218" s="5">
        <v>13</v>
      </c>
      <c r="G218" s="5" t="s">
        <v>6</v>
      </c>
      <c r="H218" s="5">
        <v>85</v>
      </c>
      <c r="I218" s="5" t="s">
        <v>2</v>
      </c>
      <c r="J218" s="6">
        <v>44111</v>
      </c>
      <c r="K218" s="5" t="s">
        <v>3</v>
      </c>
      <c r="L218" s="6"/>
      <c r="M218" s="5" t="s">
        <v>4</v>
      </c>
    </row>
    <row r="219" spans="1:13" ht="12.75" x14ac:dyDescent="0.2">
      <c r="A219" s="1">
        <v>1420137</v>
      </c>
      <c r="B219" s="2">
        <v>44038</v>
      </c>
      <c r="C219" s="2">
        <v>44039</v>
      </c>
      <c r="D219" s="1" t="s">
        <v>0</v>
      </c>
      <c r="E219" s="1" t="s">
        <v>12</v>
      </c>
      <c r="F219" s="1">
        <v>1</v>
      </c>
      <c r="G219" s="1" t="s">
        <v>6</v>
      </c>
      <c r="H219" s="1">
        <v>81</v>
      </c>
      <c r="I219" s="1" t="s">
        <v>2</v>
      </c>
      <c r="J219" s="2">
        <v>44056</v>
      </c>
      <c r="K219" s="1" t="s">
        <v>3</v>
      </c>
      <c r="L219" s="2"/>
      <c r="M219" s="1" t="s">
        <v>4</v>
      </c>
    </row>
    <row r="220" spans="1:13" ht="12.75" x14ac:dyDescent="0.2">
      <c r="A220" s="5">
        <v>3592970</v>
      </c>
      <c r="B220" s="6">
        <v>44124</v>
      </c>
      <c r="C220" s="6">
        <v>44125</v>
      </c>
      <c r="D220" s="5" t="s">
        <v>0</v>
      </c>
      <c r="E220" s="5" t="s">
        <v>40</v>
      </c>
      <c r="F220" s="5">
        <v>1</v>
      </c>
      <c r="G220" s="5" t="s">
        <v>1</v>
      </c>
      <c r="H220" s="5">
        <v>99</v>
      </c>
      <c r="I220" s="5" t="s">
        <v>15</v>
      </c>
      <c r="J220" s="6"/>
      <c r="K220" s="5" t="s">
        <v>121</v>
      </c>
      <c r="L220" s="6"/>
      <c r="M220" s="5"/>
    </row>
    <row r="221" spans="1:13" ht="12.75" x14ac:dyDescent="0.2">
      <c r="A221" s="1">
        <v>2119592</v>
      </c>
      <c r="B221" s="2">
        <v>44069</v>
      </c>
      <c r="C221" s="2">
        <v>44070</v>
      </c>
      <c r="D221" s="1" t="s">
        <v>5</v>
      </c>
      <c r="E221" s="1" t="s">
        <v>75</v>
      </c>
      <c r="G221" s="1" t="s">
        <v>1</v>
      </c>
      <c r="H221" s="1">
        <v>92</v>
      </c>
      <c r="I221" s="1" t="s">
        <v>15</v>
      </c>
      <c r="J221" s="2"/>
      <c r="K221" s="1" t="s">
        <v>121</v>
      </c>
      <c r="L221" s="2"/>
    </row>
    <row r="222" spans="1:13" ht="12.75" x14ac:dyDescent="0.2">
      <c r="A222" s="5">
        <v>2529705</v>
      </c>
      <c r="B222" s="6">
        <v>44095</v>
      </c>
      <c r="C222" s="6">
        <v>44095</v>
      </c>
      <c r="D222" s="5" t="s">
        <v>0</v>
      </c>
      <c r="E222" s="5" t="s">
        <v>28</v>
      </c>
      <c r="F222" s="5">
        <v>11</v>
      </c>
      <c r="G222" s="5" t="s">
        <v>1</v>
      </c>
      <c r="H222" s="5">
        <v>92</v>
      </c>
      <c r="I222" s="5" t="s">
        <v>2</v>
      </c>
      <c r="J222" s="6">
        <v>44105</v>
      </c>
      <c r="K222" s="5" t="s">
        <v>3</v>
      </c>
      <c r="L222" s="6"/>
      <c r="M222" s="5" t="s">
        <v>4</v>
      </c>
    </row>
    <row r="223" spans="1:13" ht="12.75" x14ac:dyDescent="0.2">
      <c r="A223" s="1">
        <v>2543581</v>
      </c>
      <c r="B223" s="2">
        <v>44084</v>
      </c>
      <c r="C223" s="2">
        <v>44085</v>
      </c>
      <c r="D223" s="1" t="s">
        <v>0</v>
      </c>
      <c r="E223" s="1" t="s">
        <v>34</v>
      </c>
      <c r="F223" s="1">
        <v>9</v>
      </c>
      <c r="G223" s="1" t="s">
        <v>1</v>
      </c>
      <c r="H223" s="1">
        <v>94</v>
      </c>
      <c r="I223" s="1" t="s">
        <v>2</v>
      </c>
      <c r="J223" s="2">
        <v>44088</v>
      </c>
      <c r="K223" s="1" t="s">
        <v>3</v>
      </c>
      <c r="L223" s="2"/>
      <c r="M223" s="1" t="s">
        <v>4</v>
      </c>
    </row>
    <row r="224" spans="1:13" ht="12.75" x14ac:dyDescent="0.2">
      <c r="A224" s="5">
        <v>3835242</v>
      </c>
      <c r="B224" s="6">
        <v>44131</v>
      </c>
      <c r="C224" s="6">
        <v>44132</v>
      </c>
      <c r="D224" s="5" t="s">
        <v>5</v>
      </c>
      <c r="E224" s="5" t="s">
        <v>98</v>
      </c>
      <c r="F224" s="5"/>
      <c r="G224" s="5" t="s">
        <v>1</v>
      </c>
      <c r="H224" s="5">
        <v>89</v>
      </c>
      <c r="I224" s="5" t="s">
        <v>2</v>
      </c>
      <c r="J224" s="6">
        <v>44138</v>
      </c>
      <c r="K224" s="5" t="s">
        <v>3</v>
      </c>
      <c r="L224" s="6"/>
      <c r="M224" s="5" t="s">
        <v>20</v>
      </c>
    </row>
    <row r="225" spans="1:13" ht="12.75" x14ac:dyDescent="0.2">
      <c r="A225" s="1">
        <v>1695354</v>
      </c>
      <c r="B225" s="2">
        <v>44047</v>
      </c>
      <c r="C225" s="2">
        <v>44051</v>
      </c>
      <c r="D225" s="1" t="s">
        <v>5</v>
      </c>
      <c r="E225" s="1" t="s">
        <v>76</v>
      </c>
      <c r="G225" s="1" t="s">
        <v>1</v>
      </c>
      <c r="H225" s="1">
        <v>74</v>
      </c>
      <c r="I225" s="1" t="s">
        <v>2</v>
      </c>
      <c r="J225" s="2">
        <v>44050</v>
      </c>
      <c r="K225" s="1" t="s">
        <v>3</v>
      </c>
      <c r="L225" s="2"/>
      <c r="M225" s="1" t="s">
        <v>4</v>
      </c>
    </row>
    <row r="226" spans="1:13" ht="12.75" x14ac:dyDescent="0.2">
      <c r="A226" s="5">
        <v>1279161</v>
      </c>
      <c r="B226" s="6">
        <v>44018</v>
      </c>
      <c r="C226" s="6">
        <v>44018</v>
      </c>
      <c r="D226" s="5" t="s">
        <v>5</v>
      </c>
      <c r="E226" s="5" t="s">
        <v>82</v>
      </c>
      <c r="F226" s="5"/>
      <c r="G226" s="5" t="s">
        <v>1</v>
      </c>
      <c r="H226" s="5">
        <v>81</v>
      </c>
      <c r="I226" s="5" t="s">
        <v>15</v>
      </c>
      <c r="J226" s="6"/>
      <c r="K226" s="5" t="s">
        <v>121</v>
      </c>
      <c r="L226" s="6"/>
      <c r="M226" s="5"/>
    </row>
    <row r="227" spans="1:13" ht="12.75" x14ac:dyDescent="0.2">
      <c r="A227" s="1">
        <v>1120593</v>
      </c>
      <c r="B227" s="2">
        <v>44002</v>
      </c>
      <c r="C227" s="2">
        <v>44004</v>
      </c>
      <c r="D227" s="1" t="s">
        <v>0</v>
      </c>
      <c r="E227" s="1" t="s">
        <v>8</v>
      </c>
      <c r="F227" s="1">
        <v>7</v>
      </c>
      <c r="G227" s="1" t="s">
        <v>6</v>
      </c>
      <c r="H227" s="1">
        <v>57</v>
      </c>
      <c r="I227" s="1" t="s">
        <v>2</v>
      </c>
      <c r="J227" s="2">
        <v>44039</v>
      </c>
      <c r="K227" s="1" t="s">
        <v>3</v>
      </c>
      <c r="L227" s="2"/>
      <c r="M227" s="1" t="s">
        <v>9</v>
      </c>
    </row>
    <row r="228" spans="1:13" ht="12.75" x14ac:dyDescent="0.2">
      <c r="A228" s="5">
        <v>2223924</v>
      </c>
      <c r="B228" s="6">
        <v>44073</v>
      </c>
      <c r="C228" s="6">
        <v>44074</v>
      </c>
      <c r="D228" s="5" t="s">
        <v>5</v>
      </c>
      <c r="E228" s="5" t="s">
        <v>76</v>
      </c>
      <c r="F228" s="5"/>
      <c r="G228" s="5" t="s">
        <v>6</v>
      </c>
      <c r="H228" s="5">
        <v>88</v>
      </c>
      <c r="I228" s="5" t="s">
        <v>2</v>
      </c>
      <c r="J228" s="6">
        <v>44087</v>
      </c>
      <c r="K228" s="5" t="s">
        <v>3</v>
      </c>
      <c r="L228" s="6"/>
      <c r="M228" s="5" t="s">
        <v>4</v>
      </c>
    </row>
    <row r="229" spans="1:13" ht="12.75" x14ac:dyDescent="0.2">
      <c r="A229" s="1">
        <v>1220621</v>
      </c>
      <c r="B229" s="2">
        <v>44013</v>
      </c>
      <c r="C229" s="2">
        <v>44013</v>
      </c>
      <c r="D229" s="1" t="s">
        <v>0</v>
      </c>
      <c r="E229" s="1" t="s">
        <v>44</v>
      </c>
      <c r="F229" s="1">
        <v>9</v>
      </c>
      <c r="G229" s="1" t="s">
        <v>1</v>
      </c>
      <c r="H229" s="1">
        <v>100</v>
      </c>
      <c r="I229" s="1" t="s">
        <v>2</v>
      </c>
      <c r="J229" s="2">
        <v>44026</v>
      </c>
      <c r="K229" s="1" t="s">
        <v>3</v>
      </c>
      <c r="L229" s="2"/>
      <c r="M229" s="1" t="s">
        <v>4</v>
      </c>
    </row>
    <row r="230" spans="1:13" ht="12.75" x14ac:dyDescent="0.2">
      <c r="A230" s="5">
        <v>2477434</v>
      </c>
      <c r="B230" s="6">
        <v>44100</v>
      </c>
      <c r="C230" s="6">
        <v>44100</v>
      </c>
      <c r="D230" s="5" t="s">
        <v>0</v>
      </c>
      <c r="E230" s="5" t="s">
        <v>8</v>
      </c>
      <c r="F230" s="5">
        <v>7</v>
      </c>
      <c r="G230" s="5" t="s">
        <v>6</v>
      </c>
      <c r="H230" s="5">
        <v>85</v>
      </c>
      <c r="I230" s="5" t="s">
        <v>15</v>
      </c>
      <c r="J230" s="6"/>
      <c r="K230" s="5" t="s">
        <v>121</v>
      </c>
      <c r="L230" s="6"/>
      <c r="M230" s="5"/>
    </row>
    <row r="231" spans="1:13" ht="12.75" x14ac:dyDescent="0.2">
      <c r="A231" s="1">
        <v>1337878</v>
      </c>
      <c r="B231" s="2">
        <v>44025</v>
      </c>
      <c r="C231" s="2">
        <v>44042</v>
      </c>
      <c r="D231" s="1" t="s">
        <v>5</v>
      </c>
      <c r="E231" s="1" t="s">
        <v>95</v>
      </c>
      <c r="G231" s="1" t="s">
        <v>6</v>
      </c>
      <c r="H231" s="1">
        <v>85</v>
      </c>
      <c r="I231" s="1" t="s">
        <v>2</v>
      </c>
      <c r="J231" s="2">
        <v>44102</v>
      </c>
      <c r="K231" s="1" t="s">
        <v>3</v>
      </c>
      <c r="L231" s="2"/>
      <c r="M231" s="1" t="s">
        <v>4</v>
      </c>
    </row>
    <row r="232" spans="1:13" ht="12.75" x14ac:dyDescent="0.2">
      <c r="A232" s="5">
        <v>2031077</v>
      </c>
      <c r="B232" s="6">
        <v>44064</v>
      </c>
      <c r="C232" s="6">
        <v>44064</v>
      </c>
      <c r="D232" s="5" t="s">
        <v>0</v>
      </c>
      <c r="E232" s="5" t="s">
        <v>25</v>
      </c>
      <c r="F232" s="5">
        <v>13</v>
      </c>
      <c r="G232" s="5" t="s">
        <v>6</v>
      </c>
      <c r="H232" s="5">
        <v>70</v>
      </c>
      <c r="I232" s="5" t="s">
        <v>2</v>
      </c>
      <c r="J232" s="6">
        <v>44089</v>
      </c>
      <c r="K232" s="5" t="s">
        <v>3</v>
      </c>
      <c r="L232" s="6"/>
      <c r="M232" s="5" t="s">
        <v>9</v>
      </c>
    </row>
    <row r="233" spans="1:13" ht="12.75" x14ac:dyDescent="0.2">
      <c r="A233" s="1">
        <v>2329773</v>
      </c>
      <c r="B233" s="2">
        <v>44076</v>
      </c>
      <c r="C233" s="2">
        <v>44078</v>
      </c>
      <c r="D233" s="1" t="s">
        <v>5</v>
      </c>
      <c r="E233" s="1" t="s">
        <v>91</v>
      </c>
      <c r="G233" s="1" t="s">
        <v>1</v>
      </c>
      <c r="H233" s="1">
        <v>97</v>
      </c>
      <c r="I233" s="1" t="s">
        <v>15</v>
      </c>
      <c r="J233" s="2"/>
      <c r="K233" s="1" t="s">
        <v>121</v>
      </c>
      <c r="L233" s="2"/>
    </row>
    <row r="234" spans="1:13" ht="12.75" x14ac:dyDescent="0.2">
      <c r="A234" s="5">
        <v>1107151</v>
      </c>
      <c r="B234" s="6">
        <v>44025</v>
      </c>
      <c r="C234" s="6">
        <v>44026</v>
      </c>
      <c r="D234" s="5" t="s">
        <v>0</v>
      </c>
      <c r="E234" s="5" t="s">
        <v>35</v>
      </c>
      <c r="F234" s="5">
        <v>3</v>
      </c>
      <c r="G234" s="5" t="s">
        <v>1</v>
      </c>
      <c r="H234" s="5">
        <v>91</v>
      </c>
      <c r="I234" s="5" t="s">
        <v>2</v>
      </c>
      <c r="J234" s="6">
        <v>44031</v>
      </c>
      <c r="K234" s="5" t="s">
        <v>3</v>
      </c>
      <c r="L234" s="6"/>
      <c r="M234" s="5" t="s">
        <v>4</v>
      </c>
    </row>
    <row r="235" spans="1:13" ht="12.75" x14ac:dyDescent="0.2">
      <c r="A235" s="1">
        <v>4632411</v>
      </c>
      <c r="B235" s="2">
        <v>44156</v>
      </c>
      <c r="C235" s="2">
        <v>44157</v>
      </c>
      <c r="D235" s="1" t="s">
        <v>0</v>
      </c>
      <c r="E235" s="1" t="s">
        <v>45</v>
      </c>
      <c r="F235" s="1">
        <v>4</v>
      </c>
      <c r="G235" s="1" t="s">
        <v>6</v>
      </c>
      <c r="H235" s="1">
        <v>67</v>
      </c>
      <c r="I235" s="1" t="s">
        <v>15</v>
      </c>
      <c r="J235" s="2"/>
      <c r="K235" s="1" t="s">
        <v>121</v>
      </c>
      <c r="L235" s="2"/>
    </row>
    <row r="236" spans="1:13" ht="12.75" x14ac:dyDescent="0.2">
      <c r="A236" s="5">
        <v>1455968</v>
      </c>
      <c r="B236" s="6">
        <v>44042</v>
      </c>
      <c r="C236" s="6">
        <v>44042</v>
      </c>
      <c r="D236" s="5" t="s">
        <v>0</v>
      </c>
      <c r="E236" s="5" t="s">
        <v>8</v>
      </c>
      <c r="F236" s="5">
        <v>7</v>
      </c>
      <c r="G236" s="5" t="s">
        <v>1</v>
      </c>
      <c r="H236" s="5">
        <v>45</v>
      </c>
      <c r="I236" s="5" t="s">
        <v>2</v>
      </c>
      <c r="J236" s="6">
        <v>44047</v>
      </c>
      <c r="K236" s="5" t="s">
        <v>3</v>
      </c>
      <c r="L236" s="6"/>
      <c r="M236" s="5" t="s">
        <v>4</v>
      </c>
    </row>
    <row r="237" spans="1:13" ht="12.75" x14ac:dyDescent="0.2">
      <c r="A237" s="1">
        <v>5541292</v>
      </c>
      <c r="B237" s="2">
        <v>44186</v>
      </c>
      <c r="C237" s="2">
        <v>44186</v>
      </c>
      <c r="D237" s="1" t="s">
        <v>0</v>
      </c>
      <c r="E237" s="1" t="s">
        <v>47</v>
      </c>
      <c r="F237" s="1">
        <v>12</v>
      </c>
      <c r="G237" s="1" t="s">
        <v>1</v>
      </c>
      <c r="H237" s="1">
        <v>92</v>
      </c>
      <c r="I237" s="1" t="s">
        <v>15</v>
      </c>
      <c r="J237" s="2"/>
      <c r="K237" s="1" t="s">
        <v>121</v>
      </c>
      <c r="L237" s="2"/>
    </row>
    <row r="238" spans="1:13" ht="12.75" x14ac:dyDescent="0.2">
      <c r="A238" s="5">
        <v>1714866</v>
      </c>
      <c r="B238" s="6">
        <v>44048</v>
      </c>
      <c r="C238" s="6">
        <v>44049</v>
      </c>
      <c r="D238" s="5" t="s">
        <v>0</v>
      </c>
      <c r="E238" s="5" t="s">
        <v>11</v>
      </c>
      <c r="F238" s="5">
        <v>6</v>
      </c>
      <c r="G238" s="5" t="s">
        <v>6</v>
      </c>
      <c r="H238" s="5">
        <v>68</v>
      </c>
      <c r="I238" s="5" t="s">
        <v>2</v>
      </c>
      <c r="J238" s="6">
        <v>44081</v>
      </c>
      <c r="K238" s="5" t="s">
        <v>3</v>
      </c>
      <c r="L238" s="6"/>
      <c r="M238" s="5" t="s">
        <v>4</v>
      </c>
    </row>
    <row r="239" spans="1:13" ht="12.75" x14ac:dyDescent="0.2">
      <c r="A239" s="1">
        <v>1970278</v>
      </c>
      <c r="B239" s="2">
        <v>44062</v>
      </c>
      <c r="C239" s="2">
        <v>44062</v>
      </c>
      <c r="D239" s="1" t="s">
        <v>0</v>
      </c>
      <c r="E239" s="1" t="s">
        <v>40</v>
      </c>
      <c r="F239" s="1">
        <v>1</v>
      </c>
      <c r="G239" s="1" t="s">
        <v>6</v>
      </c>
      <c r="H239" s="1">
        <v>83</v>
      </c>
      <c r="I239" s="1" t="s">
        <v>2</v>
      </c>
      <c r="J239" s="2">
        <v>44061</v>
      </c>
      <c r="K239" s="1" t="s">
        <v>3</v>
      </c>
      <c r="L239" s="2"/>
      <c r="M239" s="1" t="s">
        <v>4</v>
      </c>
    </row>
    <row r="240" spans="1:13" ht="12.75" x14ac:dyDescent="0.2">
      <c r="A240" s="5">
        <v>2750332</v>
      </c>
      <c r="B240" s="6">
        <v>44092</v>
      </c>
      <c r="C240" s="6">
        <v>44092</v>
      </c>
      <c r="D240" s="5" t="s">
        <v>0</v>
      </c>
      <c r="E240" s="5" t="s">
        <v>34</v>
      </c>
      <c r="F240" s="5">
        <v>9</v>
      </c>
      <c r="G240" s="5" t="s">
        <v>1</v>
      </c>
      <c r="H240" s="5">
        <v>85</v>
      </c>
      <c r="I240" s="5" t="s">
        <v>15</v>
      </c>
      <c r="J240" s="6"/>
      <c r="K240" s="5" t="s">
        <v>121</v>
      </c>
      <c r="L240" s="6"/>
      <c r="M240" s="5"/>
    </row>
    <row r="241" spans="1:13" ht="12.75" x14ac:dyDescent="0.2">
      <c r="A241" s="1">
        <v>935398</v>
      </c>
      <c r="B241" s="2">
        <v>43993</v>
      </c>
      <c r="C241" s="2">
        <v>43994</v>
      </c>
      <c r="D241" s="1" t="s">
        <v>0</v>
      </c>
      <c r="E241" s="1" t="s">
        <v>37</v>
      </c>
      <c r="F241" s="1">
        <v>13</v>
      </c>
      <c r="G241" s="1" t="s">
        <v>1</v>
      </c>
      <c r="H241" s="1">
        <v>90</v>
      </c>
      <c r="I241" s="1" t="s">
        <v>2</v>
      </c>
      <c r="J241" s="2">
        <v>44005</v>
      </c>
      <c r="K241" s="1" t="s">
        <v>3</v>
      </c>
      <c r="L241" s="2"/>
      <c r="M241" s="1" t="s">
        <v>4</v>
      </c>
    </row>
    <row r="242" spans="1:13" ht="12.75" x14ac:dyDescent="0.2">
      <c r="A242" s="5">
        <v>1910438</v>
      </c>
      <c r="B242" s="6">
        <v>44058</v>
      </c>
      <c r="C242" s="6">
        <v>44059</v>
      </c>
      <c r="D242" s="5" t="s">
        <v>5</v>
      </c>
      <c r="E242" s="5" t="s">
        <v>75</v>
      </c>
      <c r="F242" s="5"/>
      <c r="G242" s="5" t="s">
        <v>6</v>
      </c>
      <c r="H242" s="5">
        <v>75</v>
      </c>
      <c r="I242" s="5" t="s">
        <v>2</v>
      </c>
      <c r="J242" s="6">
        <v>44089</v>
      </c>
      <c r="K242" s="5" t="s">
        <v>3</v>
      </c>
      <c r="L242" s="6"/>
      <c r="M242" s="5" t="s">
        <v>4</v>
      </c>
    </row>
    <row r="243" spans="1:13" ht="12.75" x14ac:dyDescent="0.2">
      <c r="A243" s="1">
        <v>902945</v>
      </c>
      <c r="B243" s="2">
        <v>44019</v>
      </c>
      <c r="C243" s="2">
        <v>44019</v>
      </c>
      <c r="D243" s="1" t="s">
        <v>0</v>
      </c>
      <c r="E243" s="1" t="s">
        <v>33</v>
      </c>
      <c r="F243" s="1">
        <v>13</v>
      </c>
      <c r="G243" s="1" t="s">
        <v>6</v>
      </c>
      <c r="H243" s="1">
        <v>90</v>
      </c>
      <c r="I243" s="1" t="s">
        <v>2</v>
      </c>
      <c r="J243" s="2">
        <v>44026</v>
      </c>
      <c r="K243" s="1" t="s">
        <v>3</v>
      </c>
      <c r="L243" s="2"/>
      <c r="M243" s="1" t="s">
        <v>9</v>
      </c>
    </row>
    <row r="244" spans="1:13" ht="12.75" x14ac:dyDescent="0.2">
      <c r="A244" s="5">
        <v>792817</v>
      </c>
      <c r="B244" s="6">
        <v>44014</v>
      </c>
      <c r="C244" s="6">
        <v>44015</v>
      </c>
      <c r="D244" s="5" t="s">
        <v>0</v>
      </c>
      <c r="E244" s="5" t="s">
        <v>10</v>
      </c>
      <c r="F244" s="5">
        <v>5</v>
      </c>
      <c r="G244" s="5" t="s">
        <v>6</v>
      </c>
      <c r="H244" s="5">
        <v>63</v>
      </c>
      <c r="I244" s="5" t="s">
        <v>2</v>
      </c>
      <c r="J244" s="6">
        <v>44021</v>
      </c>
      <c r="K244" s="5" t="s">
        <v>3</v>
      </c>
      <c r="L244" s="6"/>
      <c r="M244" s="5" t="s">
        <v>4</v>
      </c>
    </row>
    <row r="245" spans="1:13" ht="12.75" x14ac:dyDescent="0.2">
      <c r="A245" s="1">
        <v>1078583</v>
      </c>
      <c r="B245" s="2">
        <v>43996</v>
      </c>
      <c r="C245" s="2">
        <v>43997</v>
      </c>
      <c r="D245" s="1" t="s">
        <v>0</v>
      </c>
      <c r="E245" s="1" t="s">
        <v>10</v>
      </c>
      <c r="F245" s="1">
        <v>5</v>
      </c>
      <c r="G245" s="1" t="s">
        <v>1</v>
      </c>
      <c r="H245" s="1">
        <v>88</v>
      </c>
      <c r="I245" s="1" t="s">
        <v>2</v>
      </c>
      <c r="J245" s="2">
        <v>43996</v>
      </c>
      <c r="K245" s="1" t="s">
        <v>3</v>
      </c>
      <c r="L245" s="2"/>
      <c r="M245" s="1" t="s">
        <v>4</v>
      </c>
    </row>
    <row r="246" spans="1:13" ht="12.75" x14ac:dyDescent="0.2">
      <c r="A246" s="5">
        <v>1390349</v>
      </c>
      <c r="B246" s="6">
        <v>44028</v>
      </c>
      <c r="C246" s="6">
        <v>44028</v>
      </c>
      <c r="D246" s="5" t="s">
        <v>0</v>
      </c>
      <c r="E246" s="5" t="s">
        <v>13</v>
      </c>
      <c r="F246" s="5">
        <v>2</v>
      </c>
      <c r="G246" s="5" t="s">
        <v>1</v>
      </c>
      <c r="H246" s="5">
        <v>98</v>
      </c>
      <c r="I246" s="5" t="s">
        <v>2</v>
      </c>
      <c r="J246" s="6">
        <v>44036</v>
      </c>
      <c r="K246" s="5" t="s">
        <v>3</v>
      </c>
      <c r="L246" s="6"/>
      <c r="M246" s="5" t="s">
        <v>9</v>
      </c>
    </row>
    <row r="247" spans="1:13" ht="12.75" x14ac:dyDescent="0.2">
      <c r="A247" s="1">
        <v>5549398</v>
      </c>
      <c r="B247" s="2">
        <v>44187</v>
      </c>
      <c r="C247" s="2">
        <v>44188</v>
      </c>
      <c r="D247" s="1" t="s">
        <v>5</v>
      </c>
      <c r="E247" s="1" t="s">
        <v>102</v>
      </c>
      <c r="G247" s="1" t="s">
        <v>6</v>
      </c>
      <c r="H247" s="1">
        <v>92</v>
      </c>
      <c r="I247" s="1" t="s">
        <v>2</v>
      </c>
      <c r="J247" s="2">
        <v>44190</v>
      </c>
      <c r="K247" s="1" t="s">
        <v>3</v>
      </c>
      <c r="L247" s="2"/>
      <c r="M247" s="1" t="s">
        <v>4</v>
      </c>
    </row>
    <row r="248" spans="1:13" ht="12.75" x14ac:dyDescent="0.2">
      <c r="A248" s="5">
        <v>4793497</v>
      </c>
      <c r="B248" s="6">
        <v>44162</v>
      </c>
      <c r="C248" s="6">
        <v>44165</v>
      </c>
      <c r="D248" s="5" t="s">
        <v>0</v>
      </c>
      <c r="E248" s="5" t="s">
        <v>24</v>
      </c>
      <c r="F248" s="5">
        <v>9</v>
      </c>
      <c r="G248" s="5" t="s">
        <v>1</v>
      </c>
      <c r="H248" s="5">
        <v>81</v>
      </c>
      <c r="I248" s="5" t="s">
        <v>2</v>
      </c>
      <c r="J248" s="6">
        <v>44178</v>
      </c>
      <c r="K248" s="5" t="s">
        <v>3</v>
      </c>
      <c r="L248" s="6"/>
      <c r="M248" s="5" t="s">
        <v>4</v>
      </c>
    </row>
    <row r="249" spans="1:13" ht="12.75" x14ac:dyDescent="0.2">
      <c r="A249" s="1">
        <v>2375278</v>
      </c>
      <c r="B249" s="2">
        <v>44077</v>
      </c>
      <c r="C249" s="2">
        <v>44078</v>
      </c>
      <c r="D249" s="1" t="s">
        <v>0</v>
      </c>
      <c r="E249" s="1" t="s">
        <v>14</v>
      </c>
      <c r="F249" s="1">
        <v>14</v>
      </c>
      <c r="G249" s="1" t="s">
        <v>1</v>
      </c>
      <c r="H249" s="1">
        <v>99</v>
      </c>
      <c r="I249" s="1" t="s">
        <v>2</v>
      </c>
      <c r="J249" s="2">
        <v>44096</v>
      </c>
      <c r="K249" s="1" t="s">
        <v>3</v>
      </c>
      <c r="L249" s="2"/>
      <c r="M249" s="1" t="s">
        <v>4</v>
      </c>
    </row>
    <row r="250" spans="1:13" ht="12.75" x14ac:dyDescent="0.2">
      <c r="A250" s="5">
        <v>3089009</v>
      </c>
      <c r="B250" s="6">
        <v>44106</v>
      </c>
      <c r="C250" s="6">
        <v>44106</v>
      </c>
      <c r="D250" s="5" t="s">
        <v>5</v>
      </c>
      <c r="E250" s="5" t="s">
        <v>88</v>
      </c>
      <c r="F250" s="5"/>
      <c r="G250" s="5" t="s">
        <v>1</v>
      </c>
      <c r="H250" s="5">
        <v>94</v>
      </c>
      <c r="I250" s="5" t="s">
        <v>2</v>
      </c>
      <c r="J250" s="6">
        <v>44108</v>
      </c>
      <c r="K250" s="5" t="s">
        <v>3</v>
      </c>
      <c r="L250" s="6"/>
      <c r="M250" s="5" t="s">
        <v>9</v>
      </c>
    </row>
    <row r="251" spans="1:13" ht="12.75" x14ac:dyDescent="0.2">
      <c r="A251" s="1">
        <v>4657512</v>
      </c>
      <c r="B251" s="2">
        <v>44154</v>
      </c>
      <c r="C251" s="2">
        <v>44155</v>
      </c>
      <c r="D251" s="1" t="s">
        <v>0</v>
      </c>
      <c r="E251" s="1" t="s">
        <v>8</v>
      </c>
      <c r="F251" s="1">
        <v>7</v>
      </c>
      <c r="G251" s="1" t="s">
        <v>1</v>
      </c>
      <c r="H251" s="1">
        <v>91</v>
      </c>
      <c r="I251" s="1" t="s">
        <v>15</v>
      </c>
      <c r="J251" s="2"/>
      <c r="K251" s="1" t="s">
        <v>121</v>
      </c>
      <c r="L251" s="2"/>
    </row>
    <row r="252" spans="1:13" ht="12.75" x14ac:dyDescent="0.2">
      <c r="A252" s="5">
        <v>2498709</v>
      </c>
      <c r="B252" s="6">
        <v>44083</v>
      </c>
      <c r="C252" s="6">
        <v>44085</v>
      </c>
      <c r="D252" s="5" t="s">
        <v>0</v>
      </c>
      <c r="E252" s="5" t="s">
        <v>33</v>
      </c>
      <c r="F252" s="5">
        <v>13</v>
      </c>
      <c r="G252" s="5" t="s">
        <v>6</v>
      </c>
      <c r="H252" s="5">
        <v>96</v>
      </c>
      <c r="I252" s="5" t="s">
        <v>2</v>
      </c>
      <c r="J252" s="6">
        <v>44106</v>
      </c>
      <c r="K252" s="5" t="s">
        <v>3</v>
      </c>
      <c r="L252" s="6"/>
      <c r="M252" s="5" t="s">
        <v>4</v>
      </c>
    </row>
    <row r="253" spans="1:13" ht="12.75" x14ac:dyDescent="0.2">
      <c r="A253" s="1">
        <v>1542745</v>
      </c>
      <c r="B253" s="2">
        <v>44039</v>
      </c>
      <c r="C253" s="2">
        <v>44039</v>
      </c>
      <c r="D253" s="1" t="s">
        <v>5</v>
      </c>
      <c r="E253" s="1" t="s">
        <v>74</v>
      </c>
      <c r="G253" s="1" t="s">
        <v>6</v>
      </c>
      <c r="H253" s="1">
        <v>64</v>
      </c>
      <c r="I253" s="1" t="s">
        <v>2</v>
      </c>
      <c r="J253" s="2">
        <v>44040</v>
      </c>
      <c r="K253" s="1" t="s">
        <v>3</v>
      </c>
      <c r="L253" s="2"/>
      <c r="M253" s="1" t="s">
        <v>4</v>
      </c>
    </row>
    <row r="254" spans="1:13" ht="12.75" x14ac:dyDescent="0.2">
      <c r="A254" s="5">
        <v>4715799</v>
      </c>
      <c r="B254" s="6">
        <v>44159</v>
      </c>
      <c r="C254" s="6">
        <v>44160</v>
      </c>
      <c r="D254" s="5" t="s">
        <v>0</v>
      </c>
      <c r="E254" s="5" t="s">
        <v>24</v>
      </c>
      <c r="F254" s="5">
        <v>9</v>
      </c>
      <c r="G254" s="5" t="s">
        <v>6</v>
      </c>
      <c r="H254" s="5">
        <v>84</v>
      </c>
      <c r="I254" s="5" t="s">
        <v>15</v>
      </c>
      <c r="J254" s="6"/>
      <c r="K254" s="5" t="s">
        <v>121</v>
      </c>
      <c r="L254" s="6"/>
      <c r="M254" s="5"/>
    </row>
    <row r="255" spans="1:13" ht="12.75" x14ac:dyDescent="0.2">
      <c r="A255" s="1">
        <v>2736514</v>
      </c>
      <c r="B255" s="2">
        <v>44093</v>
      </c>
      <c r="C255" s="2">
        <v>44120</v>
      </c>
      <c r="D255" s="1" t="s">
        <v>0</v>
      </c>
      <c r="E255" s="1" t="s">
        <v>14</v>
      </c>
      <c r="F255" s="1">
        <v>14</v>
      </c>
      <c r="G255" s="1" t="s">
        <v>6</v>
      </c>
      <c r="H255" s="1">
        <v>69</v>
      </c>
      <c r="I255" s="1" t="s">
        <v>2</v>
      </c>
      <c r="J255" s="2">
        <v>44125</v>
      </c>
      <c r="K255" s="1" t="s">
        <v>3</v>
      </c>
      <c r="L255" s="2"/>
      <c r="M255" s="1" t="s">
        <v>4</v>
      </c>
    </row>
    <row r="256" spans="1:13" ht="12.75" x14ac:dyDescent="0.2">
      <c r="A256" s="5">
        <v>1682592</v>
      </c>
      <c r="B256" s="6">
        <v>44047</v>
      </c>
      <c r="C256" s="6">
        <v>44048</v>
      </c>
      <c r="D256" s="5" t="s">
        <v>0</v>
      </c>
      <c r="E256" s="5" t="s">
        <v>16</v>
      </c>
      <c r="F256" s="5">
        <v>15</v>
      </c>
      <c r="G256" s="5" t="s">
        <v>1</v>
      </c>
      <c r="H256" s="5">
        <v>92</v>
      </c>
      <c r="I256" s="5" t="s">
        <v>2</v>
      </c>
      <c r="J256" s="6">
        <v>44065</v>
      </c>
      <c r="K256" s="5" t="s">
        <v>3</v>
      </c>
      <c r="L256" s="6"/>
      <c r="M256" s="5" t="s">
        <v>4</v>
      </c>
    </row>
    <row r="257" spans="1:13" ht="12.75" x14ac:dyDescent="0.2">
      <c r="A257" s="1">
        <v>834362</v>
      </c>
      <c r="B257" s="2">
        <v>43944</v>
      </c>
      <c r="C257" s="2">
        <v>43946</v>
      </c>
      <c r="D257" s="1" t="s">
        <v>0</v>
      </c>
      <c r="E257" s="1" t="s">
        <v>44</v>
      </c>
      <c r="F257" s="1">
        <v>9</v>
      </c>
      <c r="G257" s="1" t="s">
        <v>6</v>
      </c>
      <c r="H257" s="1">
        <v>79</v>
      </c>
      <c r="I257" s="1" t="s">
        <v>2</v>
      </c>
      <c r="J257" s="2">
        <v>43949</v>
      </c>
      <c r="K257" s="1" t="s">
        <v>3</v>
      </c>
      <c r="L257" s="2"/>
      <c r="M257" s="1" t="s">
        <v>4</v>
      </c>
    </row>
    <row r="258" spans="1:13" ht="12.75" x14ac:dyDescent="0.2">
      <c r="A258" s="5">
        <v>1933129</v>
      </c>
      <c r="B258" s="6">
        <v>44060</v>
      </c>
      <c r="C258" s="6">
        <v>44060</v>
      </c>
      <c r="D258" s="5" t="s">
        <v>0</v>
      </c>
      <c r="E258" s="5" t="s">
        <v>7</v>
      </c>
      <c r="F258" s="5">
        <v>3</v>
      </c>
      <c r="G258" s="5" t="s">
        <v>1</v>
      </c>
      <c r="H258" s="5">
        <v>99</v>
      </c>
      <c r="I258" s="5" t="s">
        <v>2</v>
      </c>
      <c r="J258" s="6">
        <v>44062</v>
      </c>
      <c r="K258" s="5" t="s">
        <v>3</v>
      </c>
      <c r="L258" s="6"/>
      <c r="M258" s="5" t="s">
        <v>20</v>
      </c>
    </row>
    <row r="259" spans="1:13" ht="12.75" x14ac:dyDescent="0.2">
      <c r="A259" s="1">
        <v>3136269</v>
      </c>
      <c r="B259" s="2">
        <v>44109</v>
      </c>
      <c r="C259" s="2">
        <v>44110</v>
      </c>
      <c r="D259" s="1" t="s">
        <v>0</v>
      </c>
      <c r="E259" s="1" t="s">
        <v>8</v>
      </c>
      <c r="F259" s="1">
        <v>7</v>
      </c>
      <c r="G259" s="1" t="s">
        <v>6</v>
      </c>
      <c r="H259" s="1">
        <v>79</v>
      </c>
      <c r="I259" s="1" t="s">
        <v>2</v>
      </c>
      <c r="J259" s="2">
        <v>44116</v>
      </c>
      <c r="K259" s="1" t="s">
        <v>3</v>
      </c>
      <c r="L259" s="2"/>
      <c r="M259" s="1" t="s">
        <v>4</v>
      </c>
    </row>
    <row r="260" spans="1:13" ht="12.75" x14ac:dyDescent="0.2">
      <c r="A260" s="5">
        <v>1922608</v>
      </c>
      <c r="B260" s="6">
        <v>44059</v>
      </c>
      <c r="C260" s="6">
        <v>44059</v>
      </c>
      <c r="D260" s="5" t="s">
        <v>0</v>
      </c>
      <c r="E260" s="5" t="s">
        <v>24</v>
      </c>
      <c r="F260" s="5">
        <v>9</v>
      </c>
      <c r="G260" s="5" t="s">
        <v>6</v>
      </c>
      <c r="H260" s="5">
        <v>81</v>
      </c>
      <c r="I260" s="5" t="s">
        <v>2</v>
      </c>
      <c r="J260" s="6">
        <v>44072</v>
      </c>
      <c r="K260" s="5" t="s">
        <v>3</v>
      </c>
      <c r="L260" s="6"/>
      <c r="M260" s="5" t="s">
        <v>4</v>
      </c>
    </row>
    <row r="261" spans="1:13" ht="12.75" x14ac:dyDescent="0.2">
      <c r="A261" s="1">
        <v>1880999</v>
      </c>
      <c r="B261" s="2">
        <v>44056</v>
      </c>
      <c r="C261" s="2">
        <v>44057</v>
      </c>
      <c r="D261" s="1" t="s">
        <v>0</v>
      </c>
      <c r="E261" s="1" t="s">
        <v>36</v>
      </c>
      <c r="F261" s="1">
        <v>1</v>
      </c>
      <c r="G261" s="1" t="s">
        <v>6</v>
      </c>
      <c r="H261" s="1">
        <v>86</v>
      </c>
      <c r="I261" s="1" t="s">
        <v>2</v>
      </c>
      <c r="J261" s="2">
        <v>44062</v>
      </c>
      <c r="K261" s="1" t="s">
        <v>3</v>
      </c>
      <c r="L261" s="2"/>
      <c r="M261" s="1" t="s">
        <v>20</v>
      </c>
    </row>
    <row r="262" spans="1:13" ht="12.75" x14ac:dyDescent="0.2">
      <c r="A262" s="5">
        <v>1821244</v>
      </c>
      <c r="B262" s="6">
        <v>44054</v>
      </c>
      <c r="C262" s="6">
        <v>44054</v>
      </c>
      <c r="D262" s="5" t="s">
        <v>5</v>
      </c>
      <c r="E262" s="5" t="s">
        <v>75</v>
      </c>
      <c r="F262" s="5"/>
      <c r="G262" s="5" t="s">
        <v>1</v>
      </c>
      <c r="H262" s="5">
        <v>77</v>
      </c>
      <c r="I262" s="5" t="s">
        <v>2</v>
      </c>
      <c r="J262" s="6">
        <v>44064</v>
      </c>
      <c r="K262" s="5" t="s">
        <v>3</v>
      </c>
      <c r="L262" s="6"/>
      <c r="M262" s="5" t="s">
        <v>20</v>
      </c>
    </row>
    <row r="263" spans="1:13" ht="12.75" x14ac:dyDescent="0.2">
      <c r="A263" s="1">
        <v>1196727</v>
      </c>
      <c r="B263" s="2">
        <v>44010</v>
      </c>
      <c r="C263" s="2">
        <v>44010</v>
      </c>
      <c r="D263" s="1" t="s">
        <v>0</v>
      </c>
      <c r="E263" s="1" t="s">
        <v>23</v>
      </c>
      <c r="F263" s="1">
        <v>10</v>
      </c>
      <c r="G263" s="1" t="s">
        <v>1</v>
      </c>
      <c r="H263" s="1">
        <v>93</v>
      </c>
      <c r="I263" s="1" t="s">
        <v>21</v>
      </c>
      <c r="J263" s="2"/>
      <c r="K263" s="1" t="s">
        <v>121</v>
      </c>
      <c r="L263" s="2"/>
      <c r="M263" s="5" t="s">
        <v>20</v>
      </c>
    </row>
    <row r="264" spans="1:13" ht="12.75" x14ac:dyDescent="0.2">
      <c r="A264" s="5">
        <v>1902463</v>
      </c>
      <c r="B264" s="6">
        <v>44057</v>
      </c>
      <c r="C264" s="6">
        <v>44058</v>
      </c>
      <c r="D264" s="5" t="s">
        <v>5</v>
      </c>
      <c r="E264" s="5" t="s">
        <v>82</v>
      </c>
      <c r="F264" s="5"/>
      <c r="G264" s="5" t="s">
        <v>6</v>
      </c>
      <c r="H264" s="5">
        <v>70</v>
      </c>
      <c r="I264" s="5" t="s">
        <v>2</v>
      </c>
      <c r="J264" s="6">
        <v>44083</v>
      </c>
      <c r="K264" s="5" t="s">
        <v>3</v>
      </c>
      <c r="L264" s="6"/>
      <c r="M264" s="5" t="s">
        <v>20</v>
      </c>
    </row>
    <row r="265" spans="1:13" ht="12.75" x14ac:dyDescent="0.2">
      <c r="A265" s="1">
        <v>1251964</v>
      </c>
      <c r="B265" s="2">
        <v>43995</v>
      </c>
      <c r="C265" s="2">
        <v>43996</v>
      </c>
      <c r="D265" s="1" t="s">
        <v>0</v>
      </c>
      <c r="E265" s="1" t="s">
        <v>7</v>
      </c>
      <c r="F265" s="1">
        <v>3</v>
      </c>
      <c r="G265" s="1" t="s">
        <v>6</v>
      </c>
      <c r="H265" s="1">
        <v>76</v>
      </c>
      <c r="I265" s="1" t="s">
        <v>15</v>
      </c>
      <c r="J265" s="2"/>
      <c r="K265" s="1" t="s">
        <v>121</v>
      </c>
      <c r="L265" s="2"/>
    </row>
    <row r="266" spans="1:13" ht="12.75" x14ac:dyDescent="0.2">
      <c r="A266" s="5">
        <v>1935156</v>
      </c>
      <c r="B266" s="6">
        <v>44071</v>
      </c>
      <c r="C266" s="6">
        <v>44071</v>
      </c>
      <c r="D266" s="5" t="s">
        <v>0</v>
      </c>
      <c r="E266" s="5" t="s">
        <v>30</v>
      </c>
      <c r="F266" s="5">
        <v>15</v>
      </c>
      <c r="G266" s="5" t="s">
        <v>6</v>
      </c>
      <c r="H266" s="5">
        <v>72</v>
      </c>
      <c r="I266" s="5" t="s">
        <v>2</v>
      </c>
      <c r="J266" s="6">
        <v>44074</v>
      </c>
      <c r="K266" s="5" t="s">
        <v>3</v>
      </c>
      <c r="L266" s="6"/>
      <c r="M266" s="5" t="s">
        <v>4</v>
      </c>
    </row>
    <row r="267" spans="1:13" ht="12.75" x14ac:dyDescent="0.2">
      <c r="A267" s="1">
        <v>2423797</v>
      </c>
      <c r="B267" s="2">
        <v>44081</v>
      </c>
      <c r="C267" s="2">
        <v>44081</v>
      </c>
      <c r="D267" s="1" t="s">
        <v>0</v>
      </c>
      <c r="E267" s="1" t="s">
        <v>54</v>
      </c>
      <c r="F267" s="1">
        <v>7</v>
      </c>
      <c r="G267" s="1" t="s">
        <v>6</v>
      </c>
      <c r="H267" s="1">
        <v>90</v>
      </c>
      <c r="I267" s="1" t="s">
        <v>2</v>
      </c>
      <c r="J267" s="2">
        <v>44084</v>
      </c>
      <c r="K267" s="1" t="s">
        <v>3</v>
      </c>
      <c r="L267" s="2"/>
      <c r="M267" s="1" t="s">
        <v>20</v>
      </c>
    </row>
    <row r="268" spans="1:13" ht="12.75" x14ac:dyDescent="0.2">
      <c r="A268" s="5">
        <v>2751320</v>
      </c>
      <c r="B268" s="6">
        <v>44092</v>
      </c>
      <c r="C268" s="6">
        <v>44093</v>
      </c>
      <c r="D268" s="5" t="s">
        <v>0</v>
      </c>
      <c r="E268" s="5" t="s">
        <v>33</v>
      </c>
      <c r="F268" s="5">
        <v>13</v>
      </c>
      <c r="G268" s="5" t="s">
        <v>6</v>
      </c>
      <c r="H268" s="5">
        <v>92</v>
      </c>
      <c r="I268" s="5" t="s">
        <v>2</v>
      </c>
      <c r="J268" s="6">
        <v>44109</v>
      </c>
      <c r="K268" s="5" t="s">
        <v>3</v>
      </c>
      <c r="L268" s="6"/>
      <c r="M268" s="5" t="s">
        <v>4</v>
      </c>
    </row>
    <row r="269" spans="1:13" ht="12.75" x14ac:dyDescent="0.2">
      <c r="A269" s="1">
        <v>1119577</v>
      </c>
      <c r="B269" s="2">
        <v>43999</v>
      </c>
      <c r="C269" s="2">
        <v>44001</v>
      </c>
      <c r="D269" s="1" t="s">
        <v>5</v>
      </c>
      <c r="E269" s="1" t="s">
        <v>97</v>
      </c>
      <c r="G269" s="1" t="s">
        <v>1</v>
      </c>
      <c r="H269" s="1">
        <v>74</v>
      </c>
      <c r="I269" s="1" t="s">
        <v>2</v>
      </c>
      <c r="J269" s="2">
        <v>44009</v>
      </c>
      <c r="K269" s="1" t="s">
        <v>3</v>
      </c>
      <c r="L269" s="2"/>
      <c r="M269" s="1" t="s">
        <v>4</v>
      </c>
    </row>
    <row r="270" spans="1:13" ht="12.75" x14ac:dyDescent="0.2">
      <c r="A270" s="5">
        <v>2472144</v>
      </c>
      <c r="B270" s="6">
        <v>44083</v>
      </c>
      <c r="C270" s="6">
        <v>44083</v>
      </c>
      <c r="D270" s="5" t="s">
        <v>0</v>
      </c>
      <c r="E270" s="5" t="s">
        <v>50</v>
      </c>
      <c r="F270" s="5">
        <v>1</v>
      </c>
      <c r="G270" s="5" t="s">
        <v>6</v>
      </c>
      <c r="H270" s="5">
        <v>62</v>
      </c>
      <c r="I270" s="5" t="s">
        <v>2</v>
      </c>
      <c r="J270" s="6">
        <v>44106</v>
      </c>
      <c r="K270" s="5" t="s">
        <v>3</v>
      </c>
      <c r="L270" s="6"/>
      <c r="M270" s="5" t="s">
        <v>4</v>
      </c>
    </row>
    <row r="271" spans="1:13" ht="12.75" x14ac:dyDescent="0.2">
      <c r="A271" s="1">
        <v>1252518</v>
      </c>
      <c r="B271" s="2">
        <v>44016</v>
      </c>
      <c r="C271" s="2">
        <v>44017</v>
      </c>
      <c r="D271" s="1" t="s">
        <v>0</v>
      </c>
      <c r="E271" s="1" t="s">
        <v>54</v>
      </c>
      <c r="F271" s="1">
        <v>7</v>
      </c>
      <c r="G271" s="1" t="s">
        <v>1</v>
      </c>
      <c r="H271" s="1">
        <v>87</v>
      </c>
      <c r="I271" s="1" t="s">
        <v>2</v>
      </c>
      <c r="J271" s="2">
        <v>44017</v>
      </c>
      <c r="K271" s="1" t="s">
        <v>3</v>
      </c>
      <c r="L271" s="2"/>
      <c r="M271" s="1" t="s">
        <v>4</v>
      </c>
    </row>
    <row r="272" spans="1:13" ht="12.75" x14ac:dyDescent="0.2">
      <c r="A272" s="5">
        <v>2016841</v>
      </c>
      <c r="B272" s="6">
        <v>44064</v>
      </c>
      <c r="C272" s="6">
        <v>44064</v>
      </c>
      <c r="D272" s="5" t="s">
        <v>0</v>
      </c>
      <c r="E272" s="5" t="s">
        <v>36</v>
      </c>
      <c r="F272" s="5">
        <v>1</v>
      </c>
      <c r="G272" s="5" t="s">
        <v>1</v>
      </c>
      <c r="H272" s="5">
        <v>80</v>
      </c>
      <c r="I272" s="5" t="s">
        <v>2</v>
      </c>
      <c r="J272" s="6">
        <v>44067</v>
      </c>
      <c r="K272" s="5" t="s">
        <v>3</v>
      </c>
      <c r="L272" s="6"/>
      <c r="M272" s="5" t="s">
        <v>4</v>
      </c>
    </row>
    <row r="273" spans="1:13" ht="12.75" x14ac:dyDescent="0.2">
      <c r="A273" s="1">
        <v>1171221</v>
      </c>
      <c r="B273" s="2">
        <v>44007</v>
      </c>
      <c r="C273" s="2">
        <v>44007</v>
      </c>
      <c r="D273" s="1" t="s">
        <v>0</v>
      </c>
      <c r="E273" s="1" t="s">
        <v>48</v>
      </c>
      <c r="F273" s="1">
        <v>10</v>
      </c>
      <c r="G273" s="1" t="s">
        <v>1</v>
      </c>
      <c r="H273" s="1">
        <v>84</v>
      </c>
      <c r="I273" s="1" t="s">
        <v>15</v>
      </c>
      <c r="J273" s="2"/>
      <c r="K273" s="1" t="s">
        <v>121</v>
      </c>
      <c r="L273" s="2"/>
    </row>
    <row r="274" spans="1:13" ht="12.75" x14ac:dyDescent="0.2">
      <c r="A274" s="5">
        <v>4231937</v>
      </c>
      <c r="B274" s="6">
        <v>44145</v>
      </c>
      <c r="C274" s="6">
        <v>44145</v>
      </c>
      <c r="D274" s="5" t="s">
        <v>0</v>
      </c>
      <c r="E274" s="5" t="s">
        <v>14</v>
      </c>
      <c r="F274" s="5">
        <v>14</v>
      </c>
      <c r="G274" s="5" t="s">
        <v>6</v>
      </c>
      <c r="H274" s="5">
        <v>78</v>
      </c>
      <c r="I274" s="5" t="s">
        <v>21</v>
      </c>
      <c r="J274" s="6"/>
      <c r="K274" s="1" t="s">
        <v>121</v>
      </c>
      <c r="L274" s="6"/>
      <c r="M274" s="5" t="s">
        <v>20</v>
      </c>
    </row>
    <row r="275" spans="1:13" ht="12.75" x14ac:dyDescent="0.2">
      <c r="A275" s="1">
        <v>3342348</v>
      </c>
      <c r="B275" s="2">
        <v>44124</v>
      </c>
      <c r="C275" s="2">
        <v>44127</v>
      </c>
      <c r="D275" s="1" t="s">
        <v>0</v>
      </c>
      <c r="E275" s="1" t="s">
        <v>12</v>
      </c>
      <c r="F275" s="1">
        <v>1</v>
      </c>
      <c r="G275" s="1" t="s">
        <v>6</v>
      </c>
      <c r="H275" s="1">
        <v>83</v>
      </c>
      <c r="I275" s="1" t="s">
        <v>2</v>
      </c>
      <c r="J275" s="2">
        <v>44131</v>
      </c>
      <c r="K275" s="1" t="s">
        <v>3</v>
      </c>
      <c r="L275" s="2"/>
      <c r="M275" s="1" t="s">
        <v>4</v>
      </c>
    </row>
    <row r="276" spans="1:13" ht="12.75" x14ac:dyDescent="0.2">
      <c r="A276" s="5">
        <v>1399313</v>
      </c>
      <c r="B276" s="6">
        <v>44029</v>
      </c>
      <c r="C276" s="6">
        <v>44030</v>
      </c>
      <c r="D276" s="5" t="s">
        <v>0</v>
      </c>
      <c r="E276" s="5" t="s">
        <v>29</v>
      </c>
      <c r="F276" s="5">
        <v>12</v>
      </c>
      <c r="G276" s="5" t="s">
        <v>1</v>
      </c>
      <c r="H276" s="5">
        <v>65</v>
      </c>
      <c r="I276" s="5" t="s">
        <v>2</v>
      </c>
      <c r="J276" s="6">
        <v>44031</v>
      </c>
      <c r="K276" s="5" t="s">
        <v>3</v>
      </c>
      <c r="L276" s="6"/>
      <c r="M276" s="5" t="s">
        <v>4</v>
      </c>
    </row>
    <row r="277" spans="1:13" ht="12.75" x14ac:dyDescent="0.2">
      <c r="A277" s="1">
        <v>1914073</v>
      </c>
      <c r="B277" s="2">
        <v>44058</v>
      </c>
      <c r="C277" s="2">
        <v>44058</v>
      </c>
      <c r="D277" s="1" t="s">
        <v>0</v>
      </c>
      <c r="E277" s="1" t="s">
        <v>51</v>
      </c>
      <c r="F277" s="1">
        <v>15</v>
      </c>
      <c r="G277" s="1" t="s">
        <v>6</v>
      </c>
      <c r="H277" s="1">
        <v>78</v>
      </c>
      <c r="I277" s="1" t="s">
        <v>2</v>
      </c>
      <c r="J277" s="2">
        <v>44078</v>
      </c>
      <c r="K277" s="1" t="s">
        <v>3</v>
      </c>
      <c r="L277" s="2"/>
      <c r="M277" s="1" t="s">
        <v>9</v>
      </c>
    </row>
    <row r="278" spans="1:13" ht="12.75" x14ac:dyDescent="0.2">
      <c r="A278" s="5">
        <v>915743</v>
      </c>
      <c r="B278" s="6">
        <v>44059</v>
      </c>
      <c r="C278" s="6">
        <v>44059</v>
      </c>
      <c r="D278" s="5" t="s">
        <v>5</v>
      </c>
      <c r="E278" s="5" t="s">
        <v>82</v>
      </c>
      <c r="F278" s="5"/>
      <c r="G278" s="5" t="s">
        <v>6</v>
      </c>
      <c r="H278" s="5">
        <v>76</v>
      </c>
      <c r="I278" s="5" t="s">
        <v>2</v>
      </c>
      <c r="J278" s="6">
        <v>44063</v>
      </c>
      <c r="K278" s="5" t="s">
        <v>3</v>
      </c>
      <c r="L278" s="6"/>
      <c r="M278" s="5" t="s">
        <v>4</v>
      </c>
    </row>
    <row r="279" spans="1:13" ht="12.75" x14ac:dyDescent="0.2">
      <c r="A279" s="1">
        <v>3393159</v>
      </c>
      <c r="B279" s="2">
        <v>44117</v>
      </c>
      <c r="C279" s="2">
        <v>44117</v>
      </c>
      <c r="D279" s="1" t="s">
        <v>5</v>
      </c>
      <c r="E279" s="1" t="s">
        <v>76</v>
      </c>
      <c r="G279" s="1" t="s">
        <v>1</v>
      </c>
      <c r="H279" s="1">
        <v>74</v>
      </c>
      <c r="I279" s="1" t="s">
        <v>2</v>
      </c>
      <c r="J279" s="2">
        <v>44130</v>
      </c>
      <c r="K279" s="1" t="s">
        <v>3</v>
      </c>
      <c r="L279" s="2"/>
      <c r="M279" s="1" t="s">
        <v>4</v>
      </c>
    </row>
    <row r="280" spans="1:13" ht="12.75" x14ac:dyDescent="0.2">
      <c r="A280" s="5">
        <v>2832206</v>
      </c>
      <c r="B280" s="6">
        <v>44105</v>
      </c>
      <c r="C280" s="6">
        <v>44105</v>
      </c>
      <c r="D280" s="5" t="s">
        <v>0</v>
      </c>
      <c r="E280" s="5" t="s">
        <v>33</v>
      </c>
      <c r="F280" s="5">
        <v>13</v>
      </c>
      <c r="G280" s="5" t="s">
        <v>1</v>
      </c>
      <c r="H280" s="5">
        <v>86</v>
      </c>
      <c r="I280" s="5" t="s">
        <v>2</v>
      </c>
      <c r="J280" s="6">
        <v>44115</v>
      </c>
      <c r="K280" s="5" t="s">
        <v>3</v>
      </c>
      <c r="L280" s="6"/>
      <c r="M280" s="5" t="s">
        <v>4</v>
      </c>
    </row>
    <row r="281" spans="1:13" ht="12.75" x14ac:dyDescent="0.2">
      <c r="A281" s="1">
        <v>1228867</v>
      </c>
      <c r="B281" s="2">
        <v>44013</v>
      </c>
      <c r="C281" s="2">
        <v>44014</v>
      </c>
      <c r="D281" s="1" t="s">
        <v>5</v>
      </c>
      <c r="E281" s="1" t="s">
        <v>74</v>
      </c>
      <c r="G281" s="1" t="s">
        <v>1</v>
      </c>
      <c r="H281" s="1">
        <v>68</v>
      </c>
      <c r="I281" s="1" t="s">
        <v>2</v>
      </c>
      <c r="J281" s="2">
        <v>44049</v>
      </c>
      <c r="K281" s="1" t="s">
        <v>3</v>
      </c>
      <c r="L281" s="2"/>
      <c r="M281" s="1" t="s">
        <v>4</v>
      </c>
    </row>
    <row r="282" spans="1:13" ht="12.75" x14ac:dyDescent="0.2">
      <c r="A282" s="5">
        <v>1200970</v>
      </c>
      <c r="B282" s="6">
        <v>44011</v>
      </c>
      <c r="C282" s="6">
        <v>44012</v>
      </c>
      <c r="D282" s="5" t="s">
        <v>0</v>
      </c>
      <c r="E282" s="5" t="s">
        <v>8</v>
      </c>
      <c r="F282" s="5">
        <v>7</v>
      </c>
      <c r="G282" s="5" t="s">
        <v>1</v>
      </c>
      <c r="H282" s="5">
        <v>86</v>
      </c>
      <c r="I282" s="5" t="s">
        <v>2</v>
      </c>
      <c r="J282" s="6">
        <v>44026</v>
      </c>
      <c r="K282" s="5" t="s">
        <v>3</v>
      </c>
      <c r="L282" s="6"/>
      <c r="M282" s="5" t="s">
        <v>4</v>
      </c>
    </row>
    <row r="283" spans="1:13" ht="12.75" x14ac:dyDescent="0.2">
      <c r="A283" s="1">
        <v>4650712</v>
      </c>
      <c r="B283" s="2">
        <v>44181</v>
      </c>
      <c r="C283" s="2">
        <v>44182</v>
      </c>
      <c r="D283" s="1" t="s">
        <v>5</v>
      </c>
      <c r="E283" s="1" t="s">
        <v>95</v>
      </c>
      <c r="G283" s="1" t="s">
        <v>6</v>
      </c>
      <c r="H283" s="1">
        <v>74</v>
      </c>
      <c r="I283" s="1" t="s">
        <v>2</v>
      </c>
      <c r="J283" s="2">
        <v>44186</v>
      </c>
      <c r="K283" s="1" t="s">
        <v>3</v>
      </c>
      <c r="L283" s="2"/>
      <c r="M283" s="1" t="s">
        <v>4</v>
      </c>
    </row>
    <row r="284" spans="1:13" ht="12.75" x14ac:dyDescent="0.2">
      <c r="A284" s="5">
        <v>1527131</v>
      </c>
      <c r="B284" s="6">
        <v>44054</v>
      </c>
      <c r="C284" s="6">
        <v>44055</v>
      </c>
      <c r="D284" s="5" t="s">
        <v>0</v>
      </c>
      <c r="E284" s="5" t="s">
        <v>19</v>
      </c>
      <c r="F284" s="5">
        <v>15</v>
      </c>
      <c r="G284" s="5" t="s">
        <v>6</v>
      </c>
      <c r="H284" s="5">
        <v>79</v>
      </c>
      <c r="I284" s="5" t="s">
        <v>2</v>
      </c>
      <c r="J284" s="6">
        <v>44056</v>
      </c>
      <c r="K284" s="5" t="s">
        <v>3</v>
      </c>
      <c r="L284" s="6"/>
      <c r="M284" s="5" t="s">
        <v>4</v>
      </c>
    </row>
    <row r="285" spans="1:13" ht="12.75" x14ac:dyDescent="0.2">
      <c r="A285" s="1">
        <v>3499986</v>
      </c>
      <c r="B285" s="2">
        <v>44120</v>
      </c>
      <c r="C285" s="2">
        <v>44120</v>
      </c>
      <c r="D285" s="1" t="s">
        <v>5</v>
      </c>
      <c r="E285" s="1" t="s">
        <v>75</v>
      </c>
      <c r="G285" s="1" t="s">
        <v>6</v>
      </c>
      <c r="H285" s="1">
        <v>82</v>
      </c>
      <c r="I285" s="1" t="s">
        <v>2</v>
      </c>
      <c r="J285" s="2">
        <v>44131</v>
      </c>
      <c r="K285" s="1" t="s">
        <v>3</v>
      </c>
      <c r="L285" s="2"/>
      <c r="M285" s="1" t="s">
        <v>4</v>
      </c>
    </row>
    <row r="286" spans="1:13" ht="12.75" x14ac:dyDescent="0.2">
      <c r="A286" s="5">
        <v>4599220</v>
      </c>
      <c r="B286" s="6">
        <v>44153</v>
      </c>
      <c r="C286" s="6">
        <v>44154</v>
      </c>
      <c r="D286" s="5" t="s">
        <v>0</v>
      </c>
      <c r="E286" s="5" t="s">
        <v>11</v>
      </c>
      <c r="F286" s="5">
        <v>6</v>
      </c>
      <c r="G286" s="5" t="s">
        <v>6</v>
      </c>
      <c r="H286" s="5">
        <v>73</v>
      </c>
      <c r="I286" s="5" t="s">
        <v>2</v>
      </c>
      <c r="J286" s="6">
        <v>44173</v>
      </c>
      <c r="K286" s="5" t="s">
        <v>3</v>
      </c>
      <c r="L286" s="6"/>
      <c r="M286" s="5" t="s">
        <v>4</v>
      </c>
    </row>
    <row r="287" spans="1:13" ht="12.75" x14ac:dyDescent="0.2">
      <c r="A287" s="1">
        <v>3166698</v>
      </c>
      <c r="B287" s="2">
        <v>44109</v>
      </c>
      <c r="C287" s="2">
        <v>44109</v>
      </c>
      <c r="D287" s="1" t="s">
        <v>0</v>
      </c>
      <c r="E287" s="1" t="s">
        <v>8</v>
      </c>
      <c r="F287" s="1">
        <v>7</v>
      </c>
      <c r="G287" s="1" t="s">
        <v>6</v>
      </c>
      <c r="H287" s="1">
        <v>52</v>
      </c>
      <c r="I287" s="1" t="s">
        <v>2</v>
      </c>
      <c r="J287" s="2">
        <v>44110</v>
      </c>
      <c r="K287" s="1" t="s">
        <v>3</v>
      </c>
      <c r="L287" s="2"/>
      <c r="M287" s="1" t="s">
        <v>4</v>
      </c>
    </row>
    <row r="288" spans="1:13" ht="12.75" x14ac:dyDescent="0.2">
      <c r="A288" s="5">
        <v>1110884</v>
      </c>
      <c r="B288" s="6">
        <v>44000</v>
      </c>
      <c r="C288" s="6">
        <v>44000</v>
      </c>
      <c r="D288" s="5" t="s">
        <v>0</v>
      </c>
      <c r="E288" s="5" t="s">
        <v>13</v>
      </c>
      <c r="F288" s="5">
        <v>2</v>
      </c>
      <c r="G288" s="5" t="s">
        <v>6</v>
      </c>
      <c r="H288" s="5">
        <v>88</v>
      </c>
      <c r="I288" s="5" t="s">
        <v>15</v>
      </c>
      <c r="J288" s="6"/>
      <c r="K288" s="5" t="s">
        <v>121</v>
      </c>
      <c r="L288" s="6"/>
      <c r="M288" s="5"/>
    </row>
    <row r="289" spans="1:13" ht="12.75" x14ac:dyDescent="0.2">
      <c r="A289" s="1">
        <v>1229862</v>
      </c>
      <c r="B289" s="2">
        <v>44014</v>
      </c>
      <c r="C289" s="2">
        <v>44015</v>
      </c>
      <c r="D289" s="1" t="s">
        <v>0</v>
      </c>
      <c r="E289" s="1" t="s">
        <v>18</v>
      </c>
      <c r="F289" s="1">
        <v>8</v>
      </c>
      <c r="G289" s="1" t="s">
        <v>1</v>
      </c>
      <c r="H289" s="1">
        <v>73</v>
      </c>
      <c r="I289" s="1" t="s">
        <v>2</v>
      </c>
      <c r="J289" s="2">
        <v>44018</v>
      </c>
      <c r="K289" s="1" t="s">
        <v>3</v>
      </c>
      <c r="L289" s="2"/>
      <c r="M289" s="1" t="s">
        <v>4</v>
      </c>
    </row>
    <row r="290" spans="1:13" ht="12.75" x14ac:dyDescent="0.2">
      <c r="A290" s="5">
        <v>2935010</v>
      </c>
      <c r="B290" s="6">
        <v>44100</v>
      </c>
      <c r="C290" s="6">
        <v>44100</v>
      </c>
      <c r="D290" s="5" t="s">
        <v>0</v>
      </c>
      <c r="E290" s="5" t="s">
        <v>27</v>
      </c>
      <c r="F290" s="5">
        <v>4</v>
      </c>
      <c r="G290" s="5" t="s">
        <v>6</v>
      </c>
      <c r="H290" s="5">
        <v>75</v>
      </c>
      <c r="I290" s="5" t="s">
        <v>2</v>
      </c>
      <c r="J290" s="6">
        <v>44107</v>
      </c>
      <c r="K290" s="5" t="s">
        <v>3</v>
      </c>
      <c r="L290" s="6"/>
      <c r="M290" s="5" t="s">
        <v>4</v>
      </c>
    </row>
    <row r="291" spans="1:13" ht="12.75" x14ac:dyDescent="0.2">
      <c r="A291" s="1">
        <v>1299916</v>
      </c>
      <c r="B291" s="2">
        <v>44020</v>
      </c>
      <c r="C291" s="2">
        <v>44021</v>
      </c>
      <c r="D291" s="1" t="s">
        <v>0</v>
      </c>
      <c r="E291" s="1" t="s">
        <v>25</v>
      </c>
      <c r="F291" s="1">
        <v>13</v>
      </c>
      <c r="G291" s="1" t="s">
        <v>1</v>
      </c>
      <c r="H291" s="1">
        <v>95</v>
      </c>
      <c r="I291" s="1" t="s">
        <v>2</v>
      </c>
      <c r="J291" s="2">
        <v>44030</v>
      </c>
      <c r="K291" s="1" t="s">
        <v>3</v>
      </c>
      <c r="L291" s="2"/>
      <c r="M291" s="1" t="s">
        <v>4</v>
      </c>
    </row>
    <row r="292" spans="1:13" ht="12.75" x14ac:dyDescent="0.2">
      <c r="A292" s="5">
        <v>2167657</v>
      </c>
      <c r="B292" s="6">
        <v>44069</v>
      </c>
      <c r="C292" s="6">
        <v>44069</v>
      </c>
      <c r="D292" s="5" t="s">
        <v>0</v>
      </c>
      <c r="E292" s="5" t="s">
        <v>16</v>
      </c>
      <c r="F292" s="5">
        <v>15</v>
      </c>
      <c r="G292" s="5" t="s">
        <v>1</v>
      </c>
      <c r="H292" s="5">
        <v>80</v>
      </c>
      <c r="I292" s="5" t="s">
        <v>2</v>
      </c>
      <c r="J292" s="6">
        <v>44070</v>
      </c>
      <c r="K292" s="5" t="s">
        <v>3</v>
      </c>
      <c r="L292" s="6"/>
      <c r="M292" s="5" t="s">
        <v>20</v>
      </c>
    </row>
    <row r="293" spans="1:13" ht="12.75" x14ac:dyDescent="0.2">
      <c r="A293" s="1">
        <v>1337973</v>
      </c>
      <c r="B293" s="2">
        <v>44024</v>
      </c>
      <c r="C293" s="2">
        <v>44025</v>
      </c>
      <c r="D293" s="1" t="s">
        <v>0</v>
      </c>
      <c r="E293" s="1" t="s">
        <v>51</v>
      </c>
      <c r="F293" s="1">
        <v>15</v>
      </c>
      <c r="G293" s="1" t="s">
        <v>6</v>
      </c>
      <c r="H293" s="1">
        <v>90</v>
      </c>
      <c r="I293" s="1" t="s">
        <v>2</v>
      </c>
      <c r="J293" s="2">
        <v>44032</v>
      </c>
      <c r="K293" s="1" t="s">
        <v>3</v>
      </c>
      <c r="L293" s="2"/>
      <c r="M293" s="1" t="s">
        <v>4</v>
      </c>
    </row>
    <row r="294" spans="1:13" ht="12.75" x14ac:dyDescent="0.2">
      <c r="A294" s="5">
        <v>2542430</v>
      </c>
      <c r="B294" s="6">
        <v>44084</v>
      </c>
      <c r="C294" s="6">
        <v>44085</v>
      </c>
      <c r="D294" s="5" t="s">
        <v>5</v>
      </c>
      <c r="E294" s="5" t="s">
        <v>80</v>
      </c>
      <c r="F294" s="5"/>
      <c r="G294" s="5" t="s">
        <v>1</v>
      </c>
      <c r="H294" s="5">
        <v>82</v>
      </c>
      <c r="I294" s="5" t="s">
        <v>2</v>
      </c>
      <c r="J294" s="6">
        <v>44102</v>
      </c>
      <c r="K294" s="5" t="s">
        <v>3</v>
      </c>
      <c r="L294" s="6"/>
      <c r="M294" s="5" t="s">
        <v>4</v>
      </c>
    </row>
    <row r="295" spans="1:13" ht="12.75" x14ac:dyDescent="0.2">
      <c r="A295" s="1">
        <v>2850283</v>
      </c>
      <c r="B295" s="2">
        <v>44097</v>
      </c>
      <c r="C295" s="2">
        <v>44098</v>
      </c>
      <c r="D295" s="1" t="s">
        <v>0</v>
      </c>
      <c r="E295" s="1" t="s">
        <v>17</v>
      </c>
      <c r="F295" s="1">
        <v>1</v>
      </c>
      <c r="G295" s="1" t="s">
        <v>1</v>
      </c>
      <c r="H295" s="1">
        <v>46</v>
      </c>
      <c r="I295" s="1" t="s">
        <v>2</v>
      </c>
      <c r="J295" s="2">
        <v>44099</v>
      </c>
      <c r="K295" s="1" t="s">
        <v>3</v>
      </c>
      <c r="L295" s="2"/>
      <c r="M295" s="1" t="s">
        <v>4</v>
      </c>
    </row>
    <row r="296" spans="1:13" ht="12.75" x14ac:dyDescent="0.2">
      <c r="A296" s="5">
        <v>2576927</v>
      </c>
      <c r="B296" s="6">
        <v>44087</v>
      </c>
      <c r="C296" s="6">
        <v>44087</v>
      </c>
      <c r="D296" s="5" t="s">
        <v>0</v>
      </c>
      <c r="E296" s="5" t="s">
        <v>34</v>
      </c>
      <c r="F296" s="5">
        <v>9</v>
      </c>
      <c r="G296" s="5" t="s">
        <v>6</v>
      </c>
      <c r="H296" s="5">
        <v>75</v>
      </c>
      <c r="I296" s="5" t="s">
        <v>15</v>
      </c>
      <c r="J296" s="6"/>
      <c r="K296" s="5" t="s">
        <v>121</v>
      </c>
      <c r="L296" s="6"/>
      <c r="M296" s="5"/>
    </row>
    <row r="297" spans="1:13" ht="12.75" x14ac:dyDescent="0.2">
      <c r="A297" s="1">
        <v>1171405</v>
      </c>
      <c r="B297" s="2">
        <v>44006</v>
      </c>
      <c r="C297" s="2">
        <v>44007</v>
      </c>
      <c r="D297" s="1" t="s">
        <v>0</v>
      </c>
      <c r="E297" s="1" t="s">
        <v>47</v>
      </c>
      <c r="F297" s="1">
        <v>12</v>
      </c>
      <c r="G297" s="1" t="s">
        <v>1</v>
      </c>
      <c r="H297" s="1">
        <v>97</v>
      </c>
      <c r="I297" s="1" t="s">
        <v>2</v>
      </c>
      <c r="J297" s="2">
        <v>44016</v>
      </c>
      <c r="K297" s="1" t="s">
        <v>3</v>
      </c>
      <c r="L297" s="2"/>
      <c r="M297" s="1" t="s">
        <v>4</v>
      </c>
    </row>
    <row r="298" spans="1:13" ht="12.75" x14ac:dyDescent="0.2">
      <c r="A298" s="5">
        <v>1476838</v>
      </c>
      <c r="B298" s="6">
        <v>44034</v>
      </c>
      <c r="C298" s="6">
        <v>44055</v>
      </c>
      <c r="D298" s="5" t="s">
        <v>0</v>
      </c>
      <c r="E298" s="5" t="s">
        <v>8</v>
      </c>
      <c r="F298" s="5">
        <v>7</v>
      </c>
      <c r="G298" s="5" t="s">
        <v>6</v>
      </c>
      <c r="H298" s="5">
        <v>74</v>
      </c>
      <c r="I298" s="5" t="s">
        <v>2</v>
      </c>
      <c r="J298" s="6">
        <v>44053</v>
      </c>
      <c r="K298" s="5" t="s">
        <v>3</v>
      </c>
      <c r="L298" s="6"/>
      <c r="M298" s="5" t="s">
        <v>4</v>
      </c>
    </row>
    <row r="299" spans="1:13" ht="12.75" x14ac:dyDescent="0.2">
      <c r="A299" s="1">
        <v>1099743</v>
      </c>
      <c r="B299" s="2">
        <v>43999</v>
      </c>
      <c r="C299" s="2">
        <v>43999</v>
      </c>
      <c r="D299" s="1" t="s">
        <v>0</v>
      </c>
      <c r="E299" s="1" t="s">
        <v>51</v>
      </c>
      <c r="F299" s="1">
        <v>15</v>
      </c>
      <c r="G299" s="1" t="s">
        <v>1</v>
      </c>
      <c r="H299" s="1">
        <v>100</v>
      </c>
      <c r="I299" s="1" t="s">
        <v>2</v>
      </c>
      <c r="J299" s="2">
        <v>44005</v>
      </c>
      <c r="K299" s="1" t="s">
        <v>3</v>
      </c>
      <c r="L299" s="2"/>
      <c r="M299" s="1" t="s">
        <v>9</v>
      </c>
    </row>
    <row r="300" spans="1:13" ht="12.75" x14ac:dyDescent="0.2">
      <c r="A300" s="5">
        <v>1900816</v>
      </c>
      <c r="B300" s="6">
        <v>44058</v>
      </c>
      <c r="C300" s="6">
        <v>44059</v>
      </c>
      <c r="D300" s="5" t="s">
        <v>0</v>
      </c>
      <c r="E300" s="5" t="s">
        <v>14</v>
      </c>
      <c r="F300" s="5">
        <v>14</v>
      </c>
      <c r="G300" s="5" t="s">
        <v>6</v>
      </c>
      <c r="H300" s="5">
        <v>80</v>
      </c>
      <c r="I300" s="5" t="s">
        <v>2</v>
      </c>
      <c r="J300" s="6">
        <v>44071</v>
      </c>
      <c r="K300" s="5" t="s">
        <v>3</v>
      </c>
      <c r="L300" s="6"/>
      <c r="M300" s="5" t="s">
        <v>4</v>
      </c>
    </row>
    <row r="301" spans="1:13" ht="12.75" x14ac:dyDescent="0.2">
      <c r="A301" s="1">
        <v>1280664</v>
      </c>
      <c r="B301" s="2">
        <v>44019</v>
      </c>
      <c r="C301" s="2">
        <v>44019</v>
      </c>
      <c r="D301" s="1" t="s">
        <v>0</v>
      </c>
      <c r="E301" s="1" t="s">
        <v>13</v>
      </c>
      <c r="F301" s="1">
        <v>2</v>
      </c>
      <c r="G301" s="1" t="s">
        <v>6</v>
      </c>
      <c r="H301" s="1">
        <v>60</v>
      </c>
      <c r="I301" s="1" t="s">
        <v>2</v>
      </c>
      <c r="J301" s="2">
        <v>44052</v>
      </c>
      <c r="K301" s="1" t="s">
        <v>3</v>
      </c>
      <c r="L301" s="2"/>
      <c r="M301" s="1" t="s">
        <v>20</v>
      </c>
    </row>
    <row r="302" spans="1:13" ht="12.75" x14ac:dyDescent="0.2">
      <c r="A302" s="5">
        <v>1263420</v>
      </c>
      <c r="B302" s="6">
        <v>44017</v>
      </c>
      <c r="C302" s="6">
        <v>44018</v>
      </c>
      <c r="D302" s="5" t="s">
        <v>0</v>
      </c>
      <c r="E302" s="5" t="s">
        <v>44</v>
      </c>
      <c r="F302" s="5">
        <v>9</v>
      </c>
      <c r="G302" s="5" t="s">
        <v>6</v>
      </c>
      <c r="H302" s="5">
        <v>57</v>
      </c>
      <c r="I302" s="5" t="s">
        <v>2</v>
      </c>
      <c r="J302" s="6">
        <v>44046</v>
      </c>
      <c r="K302" s="5" t="s">
        <v>3</v>
      </c>
      <c r="L302" s="6"/>
      <c r="M302" s="5" t="s">
        <v>9</v>
      </c>
    </row>
    <row r="303" spans="1:13" ht="12.75" x14ac:dyDescent="0.2">
      <c r="A303" s="1">
        <v>1100765</v>
      </c>
      <c r="B303" s="2">
        <v>43999</v>
      </c>
      <c r="C303" s="2">
        <v>44003</v>
      </c>
      <c r="D303" s="1" t="s">
        <v>0</v>
      </c>
      <c r="E303" s="1" t="s">
        <v>46</v>
      </c>
      <c r="F303" s="1">
        <v>5</v>
      </c>
      <c r="G303" s="1" t="s">
        <v>6</v>
      </c>
      <c r="H303" s="1">
        <v>71</v>
      </c>
      <c r="I303" s="1" t="s">
        <v>2</v>
      </c>
      <c r="J303" s="2">
        <v>44022</v>
      </c>
      <c r="K303" s="1" t="s">
        <v>3</v>
      </c>
      <c r="L303" s="2"/>
      <c r="M303" s="1" t="s">
        <v>4</v>
      </c>
    </row>
    <row r="304" spans="1:13" ht="12.75" x14ac:dyDescent="0.2">
      <c r="A304" s="5">
        <v>1587634</v>
      </c>
      <c r="B304" s="6">
        <v>44041</v>
      </c>
      <c r="C304" s="6">
        <v>44042</v>
      </c>
      <c r="D304" s="5" t="s">
        <v>0</v>
      </c>
      <c r="E304" s="5" t="s">
        <v>33</v>
      </c>
      <c r="F304" s="5">
        <v>13</v>
      </c>
      <c r="G304" s="5" t="s">
        <v>6</v>
      </c>
      <c r="H304" s="5">
        <v>74</v>
      </c>
      <c r="I304" s="5" t="s">
        <v>15</v>
      </c>
      <c r="J304" s="6"/>
      <c r="K304" s="5" t="s">
        <v>121</v>
      </c>
      <c r="L304" s="6"/>
      <c r="M304" s="5"/>
    </row>
    <row r="305" spans="1:13" ht="12.75" x14ac:dyDescent="0.2">
      <c r="A305" s="1">
        <v>4136965</v>
      </c>
      <c r="B305" s="2">
        <v>44139</v>
      </c>
      <c r="C305" s="2">
        <v>44139</v>
      </c>
      <c r="D305" s="1" t="s">
        <v>0</v>
      </c>
      <c r="E305" s="1" t="s">
        <v>27</v>
      </c>
      <c r="F305" s="1">
        <v>4</v>
      </c>
      <c r="G305" s="1" t="s">
        <v>1</v>
      </c>
      <c r="H305" s="1">
        <v>74</v>
      </c>
      <c r="I305" s="1" t="s">
        <v>2</v>
      </c>
      <c r="J305" s="2">
        <v>44147</v>
      </c>
      <c r="K305" s="1" t="s">
        <v>3</v>
      </c>
      <c r="L305" s="2"/>
      <c r="M305" s="1" t="s">
        <v>4</v>
      </c>
    </row>
    <row r="306" spans="1:13" ht="12.75" x14ac:dyDescent="0.2">
      <c r="A306" s="5">
        <v>1185745</v>
      </c>
      <c r="B306" s="6">
        <v>44008</v>
      </c>
      <c r="C306" s="6">
        <v>44010</v>
      </c>
      <c r="D306" s="5" t="s">
        <v>0</v>
      </c>
      <c r="E306" s="5" t="s">
        <v>34</v>
      </c>
      <c r="F306" s="5">
        <v>9</v>
      </c>
      <c r="G306" s="5" t="s">
        <v>6</v>
      </c>
      <c r="H306" s="5">
        <v>64</v>
      </c>
      <c r="I306" s="5" t="s">
        <v>2</v>
      </c>
      <c r="J306" s="6">
        <v>44045</v>
      </c>
      <c r="K306" s="5" t="s">
        <v>3</v>
      </c>
      <c r="L306" s="6"/>
      <c r="M306" s="5" t="s">
        <v>20</v>
      </c>
    </row>
    <row r="307" spans="1:13" ht="12.75" x14ac:dyDescent="0.2">
      <c r="A307" s="1">
        <v>4536780</v>
      </c>
      <c r="B307" s="2">
        <v>44150</v>
      </c>
      <c r="C307" s="2">
        <v>44150</v>
      </c>
      <c r="D307" s="1" t="s">
        <v>0</v>
      </c>
      <c r="E307" s="1" t="s">
        <v>28</v>
      </c>
      <c r="F307" s="1">
        <v>11</v>
      </c>
      <c r="G307" s="1" t="s">
        <v>1</v>
      </c>
      <c r="H307" s="1">
        <v>90</v>
      </c>
      <c r="I307" s="1" t="s">
        <v>2</v>
      </c>
      <c r="J307" s="2">
        <v>44163</v>
      </c>
      <c r="K307" s="1" t="s">
        <v>3</v>
      </c>
      <c r="L307" s="2"/>
      <c r="M307" s="1" t="s">
        <v>4</v>
      </c>
    </row>
    <row r="308" spans="1:13" ht="12.75" x14ac:dyDescent="0.2">
      <c r="A308" s="5">
        <v>1349060</v>
      </c>
      <c r="B308" s="6">
        <v>44025</v>
      </c>
      <c r="C308" s="6">
        <v>44025</v>
      </c>
      <c r="D308" s="5" t="s">
        <v>0</v>
      </c>
      <c r="E308" s="5" t="s">
        <v>33</v>
      </c>
      <c r="F308" s="5">
        <v>13</v>
      </c>
      <c r="G308" s="5" t="s">
        <v>1</v>
      </c>
      <c r="H308" s="5">
        <v>86</v>
      </c>
      <c r="I308" s="5" t="s">
        <v>2</v>
      </c>
      <c r="J308" s="6">
        <v>44033</v>
      </c>
      <c r="K308" s="5" t="s">
        <v>3</v>
      </c>
      <c r="L308" s="6"/>
      <c r="M308" s="5" t="s">
        <v>4</v>
      </c>
    </row>
    <row r="309" spans="1:13" ht="12.75" x14ac:dyDescent="0.2">
      <c r="A309" s="1">
        <v>1286284</v>
      </c>
      <c r="B309" s="2">
        <v>44019</v>
      </c>
      <c r="C309" s="2">
        <v>44020</v>
      </c>
      <c r="D309" s="1" t="s">
        <v>0</v>
      </c>
      <c r="E309" s="1" t="s">
        <v>43</v>
      </c>
      <c r="F309" s="1">
        <v>10</v>
      </c>
      <c r="G309" s="1" t="s">
        <v>1</v>
      </c>
      <c r="H309" s="1">
        <v>98</v>
      </c>
      <c r="I309" s="1" t="s">
        <v>2</v>
      </c>
      <c r="J309" s="2">
        <v>44023</v>
      </c>
      <c r="K309" s="1" t="s">
        <v>3</v>
      </c>
      <c r="L309" s="2"/>
      <c r="M309" s="1" t="s">
        <v>4</v>
      </c>
    </row>
    <row r="310" spans="1:13" ht="12.75" x14ac:dyDescent="0.2">
      <c r="A310" s="5">
        <v>2225008</v>
      </c>
      <c r="B310" s="6">
        <v>44072</v>
      </c>
      <c r="C310" s="6">
        <v>44072</v>
      </c>
      <c r="D310" s="5" t="s">
        <v>0</v>
      </c>
      <c r="E310" s="5" t="s">
        <v>47</v>
      </c>
      <c r="F310" s="5">
        <v>12</v>
      </c>
      <c r="G310" s="5" t="s">
        <v>1</v>
      </c>
      <c r="H310" s="5">
        <v>94</v>
      </c>
      <c r="I310" s="5" t="s">
        <v>15</v>
      </c>
      <c r="J310" s="6"/>
      <c r="K310" s="5" t="s">
        <v>121</v>
      </c>
      <c r="L310" s="6"/>
      <c r="M310" s="5"/>
    </row>
    <row r="311" spans="1:13" ht="12.75" x14ac:dyDescent="0.2">
      <c r="A311" s="1">
        <v>1814385</v>
      </c>
      <c r="B311" s="2">
        <v>44054</v>
      </c>
      <c r="C311" s="2">
        <v>44054</v>
      </c>
      <c r="D311" s="1" t="s">
        <v>0</v>
      </c>
      <c r="E311" s="1" t="s">
        <v>33</v>
      </c>
      <c r="F311" s="1">
        <v>13</v>
      </c>
      <c r="G311" s="1" t="s">
        <v>6</v>
      </c>
      <c r="H311" s="1">
        <v>102</v>
      </c>
      <c r="I311" s="1" t="s">
        <v>15</v>
      </c>
      <c r="J311" s="2"/>
      <c r="K311" s="1" t="s">
        <v>121</v>
      </c>
      <c r="L311" s="2"/>
    </row>
    <row r="312" spans="1:13" ht="12.75" x14ac:dyDescent="0.2">
      <c r="A312" s="5">
        <v>1061727</v>
      </c>
      <c r="B312" s="6">
        <v>44001</v>
      </c>
      <c r="C312" s="6">
        <v>44004</v>
      </c>
      <c r="D312" s="5" t="s">
        <v>5</v>
      </c>
      <c r="E312" s="5" t="s">
        <v>81</v>
      </c>
      <c r="F312" s="5"/>
      <c r="G312" s="5" t="s">
        <v>1</v>
      </c>
      <c r="H312" s="5">
        <v>67</v>
      </c>
      <c r="I312" s="5" t="s">
        <v>2</v>
      </c>
      <c r="J312" s="6">
        <v>44026</v>
      </c>
      <c r="K312" s="5" t="s">
        <v>3</v>
      </c>
      <c r="L312" s="6"/>
      <c r="M312" s="5" t="s">
        <v>20</v>
      </c>
    </row>
    <row r="313" spans="1:13" ht="12.75" x14ac:dyDescent="0.2">
      <c r="A313" s="1">
        <v>2224785</v>
      </c>
      <c r="B313" s="2">
        <v>44071</v>
      </c>
      <c r="C313" s="2">
        <v>44072</v>
      </c>
      <c r="D313" s="1" t="s">
        <v>0</v>
      </c>
      <c r="E313" s="1" t="s">
        <v>47</v>
      </c>
      <c r="F313" s="1">
        <v>12</v>
      </c>
      <c r="G313" s="1" t="s">
        <v>1</v>
      </c>
      <c r="H313" s="1">
        <v>89</v>
      </c>
      <c r="I313" s="1" t="s">
        <v>15</v>
      </c>
      <c r="J313" s="2"/>
      <c r="K313" s="1" t="s">
        <v>121</v>
      </c>
      <c r="L313" s="2"/>
    </row>
    <row r="314" spans="1:13" ht="12.75" x14ac:dyDescent="0.2">
      <c r="A314" s="5">
        <v>1385645</v>
      </c>
      <c r="B314" s="6">
        <v>44041</v>
      </c>
      <c r="C314" s="6">
        <v>44043</v>
      </c>
      <c r="D314" s="5" t="s">
        <v>0</v>
      </c>
      <c r="E314" s="5" t="s">
        <v>7</v>
      </c>
      <c r="F314" s="5">
        <v>3</v>
      </c>
      <c r="G314" s="5" t="s">
        <v>1</v>
      </c>
      <c r="H314" s="5">
        <v>54</v>
      </c>
      <c r="I314" s="5" t="s">
        <v>2</v>
      </c>
      <c r="J314" s="6">
        <v>44058</v>
      </c>
      <c r="K314" s="5" t="s">
        <v>3</v>
      </c>
      <c r="L314" s="6"/>
      <c r="M314" s="5" t="s">
        <v>4</v>
      </c>
    </row>
    <row r="315" spans="1:13" ht="12.75" x14ac:dyDescent="0.2">
      <c r="A315" s="1">
        <v>1067999</v>
      </c>
      <c r="B315" s="2">
        <v>43994</v>
      </c>
      <c r="C315" s="2">
        <v>43994</v>
      </c>
      <c r="D315" s="1" t="s">
        <v>0</v>
      </c>
      <c r="E315" s="1" t="s">
        <v>28</v>
      </c>
      <c r="F315" s="1">
        <v>11</v>
      </c>
      <c r="G315" s="1" t="s">
        <v>6</v>
      </c>
      <c r="H315" s="1">
        <v>80</v>
      </c>
      <c r="I315" s="1" t="s">
        <v>2</v>
      </c>
      <c r="J315" s="2">
        <v>44000</v>
      </c>
      <c r="K315" s="1" t="s">
        <v>3</v>
      </c>
      <c r="L315" s="2"/>
      <c r="M315" s="1" t="s">
        <v>4</v>
      </c>
    </row>
    <row r="316" spans="1:13" ht="12.75" x14ac:dyDescent="0.2">
      <c r="A316" s="5">
        <v>2482164</v>
      </c>
      <c r="B316" s="6">
        <v>44083</v>
      </c>
      <c r="C316" s="6">
        <v>44083</v>
      </c>
      <c r="D316" s="5" t="s">
        <v>5</v>
      </c>
      <c r="E316" s="5" t="s">
        <v>102</v>
      </c>
      <c r="F316" s="5"/>
      <c r="G316" s="5" t="s">
        <v>1</v>
      </c>
      <c r="H316" s="5">
        <v>92</v>
      </c>
      <c r="I316" s="5" t="s">
        <v>2</v>
      </c>
      <c r="J316" s="6">
        <v>44106</v>
      </c>
      <c r="K316" s="5" t="s">
        <v>3</v>
      </c>
      <c r="L316" s="6"/>
      <c r="M316" s="5" t="s">
        <v>4</v>
      </c>
    </row>
    <row r="317" spans="1:13" ht="12.75" x14ac:dyDescent="0.2">
      <c r="A317" s="1">
        <v>2227655</v>
      </c>
      <c r="B317" s="2">
        <v>44073</v>
      </c>
      <c r="C317" s="2">
        <v>44075</v>
      </c>
      <c r="D317" s="1" t="s">
        <v>0</v>
      </c>
      <c r="E317" s="1" t="s">
        <v>11</v>
      </c>
      <c r="F317" s="1">
        <v>6</v>
      </c>
      <c r="G317" s="1" t="s">
        <v>1</v>
      </c>
      <c r="H317" s="1">
        <v>82</v>
      </c>
      <c r="I317" s="1" t="s">
        <v>2</v>
      </c>
      <c r="J317" s="2">
        <v>44075</v>
      </c>
      <c r="K317" s="1" t="s">
        <v>3</v>
      </c>
      <c r="L317" s="2"/>
      <c r="M317" s="1" t="s">
        <v>4</v>
      </c>
    </row>
    <row r="318" spans="1:13" ht="12.75" x14ac:dyDescent="0.2">
      <c r="A318" s="5">
        <v>986272</v>
      </c>
      <c r="B318" s="6">
        <v>43979</v>
      </c>
      <c r="C318" s="6">
        <v>43981</v>
      </c>
      <c r="D318" s="5" t="s">
        <v>0</v>
      </c>
      <c r="E318" s="5" t="s">
        <v>46</v>
      </c>
      <c r="F318" s="5">
        <v>5</v>
      </c>
      <c r="G318" s="5" t="s">
        <v>1</v>
      </c>
      <c r="H318" s="5">
        <v>84</v>
      </c>
      <c r="I318" s="5" t="s">
        <v>2</v>
      </c>
      <c r="J318" s="6">
        <v>43987</v>
      </c>
      <c r="K318" s="5" t="s">
        <v>3</v>
      </c>
      <c r="L318" s="6"/>
      <c r="M318" s="5" t="s">
        <v>4</v>
      </c>
    </row>
    <row r="319" spans="1:13" ht="12.75" x14ac:dyDescent="0.2">
      <c r="A319" s="1">
        <v>1955181</v>
      </c>
      <c r="B319" s="2">
        <v>44061</v>
      </c>
      <c r="C319" s="2">
        <v>44061</v>
      </c>
      <c r="D319" s="1" t="s">
        <v>0</v>
      </c>
      <c r="E319" s="1" t="s">
        <v>31</v>
      </c>
      <c r="F319" s="1">
        <v>10</v>
      </c>
      <c r="G319" s="1" t="s">
        <v>1</v>
      </c>
      <c r="H319" s="1">
        <v>96</v>
      </c>
      <c r="I319" s="1" t="s">
        <v>2</v>
      </c>
      <c r="J319" s="2">
        <v>44083</v>
      </c>
      <c r="K319" s="1" t="s">
        <v>3</v>
      </c>
      <c r="L319" s="2"/>
      <c r="M319" s="1" t="s">
        <v>4</v>
      </c>
    </row>
    <row r="320" spans="1:13" ht="12.75" x14ac:dyDescent="0.2">
      <c r="A320" s="5">
        <v>1233184</v>
      </c>
      <c r="B320" s="6">
        <v>44013</v>
      </c>
      <c r="C320" s="6">
        <v>44014</v>
      </c>
      <c r="D320" s="5" t="s">
        <v>5</v>
      </c>
      <c r="E320" s="5" t="s">
        <v>80</v>
      </c>
      <c r="F320" s="5"/>
      <c r="G320" s="5" t="s">
        <v>6</v>
      </c>
      <c r="H320" s="5">
        <v>94</v>
      </c>
      <c r="I320" s="5" t="s">
        <v>2</v>
      </c>
      <c r="J320" s="6">
        <v>44042</v>
      </c>
      <c r="K320" s="5" t="s">
        <v>3</v>
      </c>
      <c r="L320" s="6"/>
      <c r="M320" s="5" t="s">
        <v>4</v>
      </c>
    </row>
    <row r="321" spans="1:13" ht="12.75" x14ac:dyDescent="0.2">
      <c r="A321" s="1">
        <v>1779519</v>
      </c>
      <c r="B321" s="2">
        <v>44043</v>
      </c>
      <c r="C321" s="2">
        <v>44043</v>
      </c>
      <c r="D321" s="1" t="s">
        <v>0</v>
      </c>
      <c r="E321" s="1" t="s">
        <v>45</v>
      </c>
      <c r="F321" s="1">
        <v>4</v>
      </c>
      <c r="G321" s="1" t="s">
        <v>6</v>
      </c>
      <c r="H321" s="1">
        <v>82</v>
      </c>
      <c r="I321" s="1" t="s">
        <v>2</v>
      </c>
      <c r="J321" s="2">
        <v>44053</v>
      </c>
      <c r="K321" s="1" t="s">
        <v>3</v>
      </c>
      <c r="L321" s="2"/>
      <c r="M321" s="1" t="s">
        <v>20</v>
      </c>
    </row>
    <row r="322" spans="1:13" ht="12.75" x14ac:dyDescent="0.2">
      <c r="A322" s="5">
        <v>2804365</v>
      </c>
      <c r="B322" s="6">
        <v>44096</v>
      </c>
      <c r="C322" s="6">
        <v>44097</v>
      </c>
      <c r="D322" s="5" t="s">
        <v>0</v>
      </c>
      <c r="E322" s="5" t="s">
        <v>13</v>
      </c>
      <c r="F322" s="5">
        <v>2</v>
      </c>
      <c r="G322" s="5" t="s">
        <v>1</v>
      </c>
      <c r="H322" s="5">
        <v>103</v>
      </c>
      <c r="I322" s="5" t="s">
        <v>2</v>
      </c>
      <c r="J322" s="6">
        <v>44107</v>
      </c>
      <c r="K322" s="5" t="s">
        <v>3</v>
      </c>
      <c r="L322" s="6"/>
      <c r="M322" s="5" t="s">
        <v>4</v>
      </c>
    </row>
    <row r="323" spans="1:13" ht="12.75" x14ac:dyDescent="0.2">
      <c r="A323" s="1">
        <v>5323743</v>
      </c>
      <c r="B323" s="2">
        <v>44181</v>
      </c>
      <c r="C323" s="2">
        <v>44182</v>
      </c>
      <c r="D323" s="1" t="s">
        <v>0</v>
      </c>
      <c r="E323" s="1" t="s">
        <v>7</v>
      </c>
      <c r="F323" s="1">
        <v>3</v>
      </c>
      <c r="G323" s="1" t="s">
        <v>1</v>
      </c>
      <c r="H323" s="1">
        <v>86</v>
      </c>
      <c r="I323" s="1" t="s">
        <v>2</v>
      </c>
      <c r="J323" s="2">
        <v>44198</v>
      </c>
      <c r="K323" s="1" t="s">
        <v>3</v>
      </c>
      <c r="L323" s="2"/>
      <c r="M323" s="1" t="s">
        <v>4</v>
      </c>
    </row>
    <row r="324" spans="1:13" ht="12.75" x14ac:dyDescent="0.2">
      <c r="A324" s="5">
        <v>1108613</v>
      </c>
      <c r="B324" s="6">
        <v>44000</v>
      </c>
      <c r="C324" s="6">
        <v>44000</v>
      </c>
      <c r="D324" s="5" t="s">
        <v>0</v>
      </c>
      <c r="E324" s="5" t="s">
        <v>14</v>
      </c>
      <c r="F324" s="5">
        <v>14</v>
      </c>
      <c r="G324" s="5" t="s">
        <v>6</v>
      </c>
      <c r="H324" s="5">
        <v>67</v>
      </c>
      <c r="I324" s="5" t="s">
        <v>2</v>
      </c>
      <c r="J324" s="6">
        <v>44024</v>
      </c>
      <c r="K324" s="5" t="s">
        <v>3</v>
      </c>
      <c r="L324" s="6"/>
      <c r="M324" s="5" t="s">
        <v>4</v>
      </c>
    </row>
    <row r="325" spans="1:13" ht="12.75" x14ac:dyDescent="0.2">
      <c r="A325" s="1">
        <v>901202</v>
      </c>
      <c r="B325" s="2">
        <v>43956</v>
      </c>
      <c r="C325" s="2">
        <v>43958</v>
      </c>
      <c r="D325" s="1" t="s">
        <v>0</v>
      </c>
      <c r="E325" s="1" t="s">
        <v>24</v>
      </c>
      <c r="F325" s="1">
        <v>9</v>
      </c>
      <c r="G325" s="1" t="s">
        <v>6</v>
      </c>
      <c r="H325" s="1">
        <v>86</v>
      </c>
      <c r="I325" s="1" t="s">
        <v>2</v>
      </c>
      <c r="J325" s="2">
        <v>43977</v>
      </c>
      <c r="K325" s="1" t="s">
        <v>3</v>
      </c>
      <c r="L325" s="2"/>
      <c r="M325" s="1" t="s">
        <v>4</v>
      </c>
    </row>
    <row r="326" spans="1:13" ht="12.75" x14ac:dyDescent="0.2">
      <c r="A326" s="5">
        <v>1034280</v>
      </c>
      <c r="B326" s="6">
        <v>43989</v>
      </c>
      <c r="C326" s="6">
        <v>43989</v>
      </c>
      <c r="D326" s="5" t="s">
        <v>0</v>
      </c>
      <c r="E326" s="5" t="s">
        <v>55</v>
      </c>
      <c r="F326" s="5">
        <v>15</v>
      </c>
      <c r="G326" s="5" t="s">
        <v>1</v>
      </c>
      <c r="H326" s="5">
        <v>85</v>
      </c>
      <c r="I326" s="5" t="s">
        <v>2</v>
      </c>
      <c r="J326" s="6">
        <v>44006</v>
      </c>
      <c r="K326" s="5" t="s">
        <v>3</v>
      </c>
      <c r="L326" s="6"/>
      <c r="M326" s="5" t="s">
        <v>4</v>
      </c>
    </row>
    <row r="327" spans="1:13" ht="12.75" x14ac:dyDescent="0.2">
      <c r="A327" s="1">
        <v>2333209</v>
      </c>
      <c r="B327" s="2">
        <v>44077</v>
      </c>
      <c r="C327" s="2">
        <v>44077</v>
      </c>
      <c r="D327" s="1" t="s">
        <v>5</v>
      </c>
      <c r="E327" s="1" t="s">
        <v>80</v>
      </c>
      <c r="G327" s="1" t="s">
        <v>6</v>
      </c>
      <c r="H327" s="1">
        <v>92</v>
      </c>
      <c r="I327" s="1" t="s">
        <v>2</v>
      </c>
      <c r="J327" s="2">
        <v>44077</v>
      </c>
      <c r="K327" s="1" t="s">
        <v>3</v>
      </c>
      <c r="L327" s="2"/>
      <c r="M327" s="1" t="s">
        <v>9</v>
      </c>
    </row>
    <row r="328" spans="1:13" ht="12.75" x14ac:dyDescent="0.2">
      <c r="A328" s="5">
        <v>2154067</v>
      </c>
      <c r="B328" s="6">
        <v>44070</v>
      </c>
      <c r="C328" s="6">
        <v>44070</v>
      </c>
      <c r="D328" s="5" t="s">
        <v>0</v>
      </c>
      <c r="E328" s="5" t="s">
        <v>35</v>
      </c>
      <c r="F328" s="5">
        <v>3</v>
      </c>
      <c r="G328" s="5" t="s">
        <v>6</v>
      </c>
      <c r="H328" s="5">
        <v>60</v>
      </c>
      <c r="I328" s="5" t="s">
        <v>2</v>
      </c>
      <c r="J328" s="6">
        <v>44093</v>
      </c>
      <c r="K328" s="5" t="s">
        <v>3</v>
      </c>
      <c r="L328" s="6"/>
      <c r="M328" s="5" t="s">
        <v>9</v>
      </c>
    </row>
    <row r="329" spans="1:13" ht="12.75" x14ac:dyDescent="0.2">
      <c r="A329" s="1">
        <v>2231761</v>
      </c>
      <c r="B329" s="2">
        <v>44075</v>
      </c>
      <c r="C329" s="2">
        <v>44076</v>
      </c>
      <c r="D329" s="1" t="s">
        <v>0</v>
      </c>
      <c r="E329" s="1" t="s">
        <v>25</v>
      </c>
      <c r="F329" s="1">
        <v>13</v>
      </c>
      <c r="G329" s="1" t="s">
        <v>6</v>
      </c>
      <c r="H329" s="1">
        <v>89</v>
      </c>
      <c r="I329" s="1" t="s">
        <v>2</v>
      </c>
      <c r="J329" s="2">
        <v>44079</v>
      </c>
      <c r="K329" s="1" t="s">
        <v>3</v>
      </c>
      <c r="L329" s="2"/>
      <c r="M329" s="1" t="s">
        <v>4</v>
      </c>
    </row>
    <row r="330" spans="1:13" ht="12.75" x14ac:dyDescent="0.2">
      <c r="A330" s="5">
        <v>1230760</v>
      </c>
      <c r="B330" s="6">
        <v>44013</v>
      </c>
      <c r="C330" s="6">
        <v>44028</v>
      </c>
      <c r="D330" s="5" t="s">
        <v>0</v>
      </c>
      <c r="E330" s="5" t="s">
        <v>44</v>
      </c>
      <c r="F330" s="5">
        <v>9</v>
      </c>
      <c r="G330" s="5" t="s">
        <v>6</v>
      </c>
      <c r="H330" s="5">
        <v>57</v>
      </c>
      <c r="I330" s="5" t="s">
        <v>2</v>
      </c>
      <c r="J330" s="6">
        <v>44033</v>
      </c>
      <c r="K330" s="5" t="s">
        <v>3</v>
      </c>
      <c r="L330" s="6"/>
      <c r="M330" s="5" t="s">
        <v>4</v>
      </c>
    </row>
    <row r="331" spans="1:13" ht="12.75" x14ac:dyDescent="0.2">
      <c r="A331" s="1">
        <v>1398005</v>
      </c>
      <c r="B331" s="2">
        <v>44065</v>
      </c>
      <c r="C331" s="2">
        <v>44067</v>
      </c>
      <c r="D331" s="1" t="s">
        <v>5</v>
      </c>
      <c r="E331" s="1" t="s">
        <v>96</v>
      </c>
      <c r="G331" s="1" t="s">
        <v>6</v>
      </c>
      <c r="H331" s="1">
        <v>80</v>
      </c>
      <c r="I331" s="1" t="s">
        <v>2</v>
      </c>
      <c r="J331" s="2">
        <v>44066</v>
      </c>
      <c r="K331" s="1" t="s">
        <v>3</v>
      </c>
      <c r="L331" s="2"/>
      <c r="M331" s="1" t="s">
        <v>9</v>
      </c>
    </row>
    <row r="332" spans="1:13" ht="12.75" x14ac:dyDescent="0.2">
      <c r="A332" s="5">
        <v>973509</v>
      </c>
      <c r="B332" s="6">
        <v>43978</v>
      </c>
      <c r="C332" s="6">
        <v>43978</v>
      </c>
      <c r="D332" s="5" t="s">
        <v>5</v>
      </c>
      <c r="E332" s="5" t="s">
        <v>82</v>
      </c>
      <c r="F332" s="5"/>
      <c r="G332" s="5" t="s">
        <v>6</v>
      </c>
      <c r="H332" s="5">
        <v>68</v>
      </c>
      <c r="I332" s="5" t="s">
        <v>15</v>
      </c>
      <c r="J332" s="6"/>
      <c r="K332" s="5" t="s">
        <v>121</v>
      </c>
      <c r="L332" s="6"/>
      <c r="M332" s="5"/>
    </row>
    <row r="333" spans="1:13" ht="12.75" x14ac:dyDescent="0.2">
      <c r="A333" s="1">
        <v>2047362</v>
      </c>
      <c r="B333" s="2">
        <v>44065</v>
      </c>
      <c r="C333" s="2">
        <v>44065</v>
      </c>
      <c r="D333" s="1" t="s">
        <v>0</v>
      </c>
      <c r="E333" s="1" t="s">
        <v>10</v>
      </c>
      <c r="F333" s="1">
        <v>5</v>
      </c>
      <c r="G333" s="1" t="s">
        <v>6</v>
      </c>
      <c r="H333" s="1">
        <v>82</v>
      </c>
      <c r="I333" s="1" t="s">
        <v>2</v>
      </c>
      <c r="J333" s="2">
        <v>44077</v>
      </c>
      <c r="K333" s="1" t="s">
        <v>3</v>
      </c>
      <c r="L333" s="2"/>
      <c r="M333" s="1" t="s">
        <v>4</v>
      </c>
    </row>
    <row r="334" spans="1:13" ht="12.75" x14ac:dyDescent="0.2">
      <c r="A334" s="5">
        <v>3280126</v>
      </c>
      <c r="B334" s="6">
        <v>44113</v>
      </c>
      <c r="C334" s="6">
        <v>44334</v>
      </c>
      <c r="D334" s="5" t="s">
        <v>0</v>
      </c>
      <c r="E334" s="5" t="s">
        <v>38</v>
      </c>
      <c r="F334" s="5">
        <v>12</v>
      </c>
      <c r="G334" s="5" t="s">
        <v>1</v>
      </c>
      <c r="H334" s="5">
        <v>82</v>
      </c>
      <c r="I334" s="5" t="s">
        <v>2</v>
      </c>
      <c r="J334" s="6">
        <v>44112</v>
      </c>
      <c r="K334" s="5" t="s">
        <v>3</v>
      </c>
      <c r="L334" s="6"/>
      <c r="M334" s="5" t="s">
        <v>4</v>
      </c>
    </row>
    <row r="335" spans="1:13" ht="12.75" x14ac:dyDescent="0.2">
      <c r="A335" s="1">
        <v>803336</v>
      </c>
      <c r="B335" s="2">
        <v>43930</v>
      </c>
      <c r="C335" s="2">
        <v>43931</v>
      </c>
      <c r="D335" s="1" t="s">
        <v>0</v>
      </c>
      <c r="E335" s="1" t="s">
        <v>34</v>
      </c>
      <c r="F335" s="1">
        <v>9</v>
      </c>
      <c r="G335" s="1" t="s">
        <v>1</v>
      </c>
      <c r="H335" s="1">
        <v>62</v>
      </c>
      <c r="I335" s="1" t="s">
        <v>15</v>
      </c>
      <c r="J335" s="2"/>
      <c r="K335" s="1" t="s">
        <v>121</v>
      </c>
      <c r="L335" s="2"/>
    </row>
    <row r="336" spans="1:13" ht="12.75" x14ac:dyDescent="0.2">
      <c r="A336" s="5">
        <v>4121135</v>
      </c>
      <c r="B336" s="6">
        <v>44139</v>
      </c>
      <c r="C336" s="6">
        <v>44139</v>
      </c>
      <c r="D336" s="5" t="s">
        <v>0</v>
      </c>
      <c r="E336" s="5" t="s">
        <v>44</v>
      </c>
      <c r="F336" s="5">
        <v>9</v>
      </c>
      <c r="G336" s="5" t="s">
        <v>6</v>
      </c>
      <c r="H336" s="5">
        <v>92</v>
      </c>
      <c r="I336" s="5" t="s">
        <v>2</v>
      </c>
      <c r="J336" s="6">
        <v>44151</v>
      </c>
      <c r="K336" s="5" t="s">
        <v>3</v>
      </c>
      <c r="L336" s="6"/>
      <c r="M336" s="5" t="s">
        <v>4</v>
      </c>
    </row>
    <row r="337" spans="1:13" ht="12.75" x14ac:dyDescent="0.2">
      <c r="A337" s="1">
        <v>2249478</v>
      </c>
      <c r="B337" s="2">
        <v>44075</v>
      </c>
      <c r="C337" s="2">
        <v>44075</v>
      </c>
      <c r="D337" s="1" t="s">
        <v>5</v>
      </c>
      <c r="E337" s="1" t="s">
        <v>81</v>
      </c>
      <c r="G337" s="1" t="s">
        <v>1</v>
      </c>
      <c r="H337" s="1">
        <v>85</v>
      </c>
      <c r="I337" s="1" t="s">
        <v>2</v>
      </c>
      <c r="J337" s="2">
        <v>44085</v>
      </c>
      <c r="K337" s="1" t="s">
        <v>3</v>
      </c>
      <c r="L337" s="2"/>
      <c r="M337" s="1" t="s">
        <v>4</v>
      </c>
    </row>
    <row r="338" spans="1:13" ht="12.75" x14ac:dyDescent="0.2">
      <c r="A338" s="5">
        <v>4084693</v>
      </c>
      <c r="B338" s="6">
        <v>44146</v>
      </c>
      <c r="C338" s="6">
        <v>44146</v>
      </c>
      <c r="D338" s="5" t="s">
        <v>0</v>
      </c>
      <c r="E338" s="5" t="s">
        <v>13</v>
      </c>
      <c r="F338" s="5">
        <v>2</v>
      </c>
      <c r="G338" s="5" t="s">
        <v>1</v>
      </c>
      <c r="H338" s="5">
        <v>85</v>
      </c>
      <c r="I338" s="5" t="s">
        <v>2</v>
      </c>
      <c r="J338" s="6">
        <v>44157</v>
      </c>
      <c r="K338" s="5" t="s">
        <v>3</v>
      </c>
      <c r="L338" s="6"/>
      <c r="M338" s="5" t="s">
        <v>4</v>
      </c>
    </row>
    <row r="339" spans="1:13" ht="12.75" x14ac:dyDescent="0.2">
      <c r="A339" s="1">
        <v>1887640</v>
      </c>
      <c r="B339" s="2">
        <v>44065</v>
      </c>
      <c r="C339" s="2">
        <v>44065</v>
      </c>
      <c r="D339" s="1" t="s">
        <v>0</v>
      </c>
      <c r="E339" s="1" t="s">
        <v>53</v>
      </c>
      <c r="F339" s="1">
        <v>11</v>
      </c>
      <c r="G339" s="1" t="s">
        <v>1</v>
      </c>
      <c r="H339" s="1">
        <v>83</v>
      </c>
      <c r="I339" s="1" t="s">
        <v>2</v>
      </c>
      <c r="J339" s="2">
        <v>44069</v>
      </c>
      <c r="K339" s="1" t="s">
        <v>3</v>
      </c>
      <c r="L339" s="2"/>
      <c r="M339" s="1" t="s">
        <v>9</v>
      </c>
    </row>
    <row r="340" spans="1:13" ht="12.75" x14ac:dyDescent="0.2">
      <c r="A340" s="5">
        <v>1099447</v>
      </c>
      <c r="B340" s="6">
        <v>44000</v>
      </c>
      <c r="C340" s="6">
        <v>44001</v>
      </c>
      <c r="D340" s="5" t="s">
        <v>0</v>
      </c>
      <c r="E340" s="5" t="s">
        <v>36</v>
      </c>
      <c r="F340" s="5">
        <v>1</v>
      </c>
      <c r="G340" s="5" t="s">
        <v>6</v>
      </c>
      <c r="H340" s="5">
        <v>52</v>
      </c>
      <c r="I340" s="5" t="s">
        <v>2</v>
      </c>
      <c r="J340" s="6">
        <v>44009</v>
      </c>
      <c r="K340" s="5" t="s">
        <v>3</v>
      </c>
      <c r="L340" s="6"/>
      <c r="M340" s="5" t="s">
        <v>20</v>
      </c>
    </row>
    <row r="341" spans="1:13" ht="12.75" x14ac:dyDescent="0.2">
      <c r="A341" s="1">
        <v>1423315</v>
      </c>
      <c r="B341" s="2">
        <v>44031</v>
      </c>
      <c r="C341" s="2">
        <v>44031</v>
      </c>
      <c r="D341" s="1" t="s">
        <v>5</v>
      </c>
      <c r="E341" s="1" t="s">
        <v>87</v>
      </c>
      <c r="G341" s="1" t="s">
        <v>6</v>
      </c>
      <c r="H341" s="1">
        <v>60</v>
      </c>
      <c r="I341" s="1" t="s">
        <v>2</v>
      </c>
      <c r="J341" s="2">
        <v>44034</v>
      </c>
      <c r="K341" s="1" t="s">
        <v>3</v>
      </c>
      <c r="L341" s="2"/>
      <c r="M341" s="1" t="s">
        <v>4</v>
      </c>
    </row>
    <row r="342" spans="1:13" ht="12.75" x14ac:dyDescent="0.2">
      <c r="A342" s="5">
        <v>5069751</v>
      </c>
      <c r="B342" s="6">
        <v>44172</v>
      </c>
      <c r="C342" s="6">
        <v>44172</v>
      </c>
      <c r="D342" s="5" t="s">
        <v>0</v>
      </c>
      <c r="E342" s="5" t="s">
        <v>16</v>
      </c>
      <c r="F342" s="5">
        <v>15</v>
      </c>
      <c r="G342" s="5" t="s">
        <v>1</v>
      </c>
      <c r="H342" s="5">
        <v>75</v>
      </c>
      <c r="I342" s="5" t="s">
        <v>2</v>
      </c>
      <c r="J342" s="6">
        <v>44195</v>
      </c>
      <c r="K342" s="5" t="s">
        <v>3</v>
      </c>
      <c r="L342" s="6"/>
      <c r="M342" s="5" t="s">
        <v>20</v>
      </c>
    </row>
    <row r="343" spans="1:13" ht="12.75" x14ac:dyDescent="0.2">
      <c r="A343" s="1">
        <v>2231152</v>
      </c>
      <c r="B343" s="2">
        <v>44069</v>
      </c>
      <c r="C343" s="2">
        <v>44070</v>
      </c>
      <c r="D343" s="1" t="s">
        <v>5</v>
      </c>
      <c r="E343" s="1" t="s">
        <v>83</v>
      </c>
      <c r="G343" s="1" t="s">
        <v>1</v>
      </c>
      <c r="H343" s="1">
        <v>84</v>
      </c>
      <c r="I343" s="1" t="s">
        <v>2</v>
      </c>
      <c r="J343" s="2">
        <v>44099</v>
      </c>
      <c r="K343" s="1" t="s">
        <v>3</v>
      </c>
      <c r="L343" s="2"/>
      <c r="M343" s="1" t="s">
        <v>4</v>
      </c>
    </row>
    <row r="344" spans="1:13" ht="12.75" x14ac:dyDescent="0.2">
      <c r="A344" s="5">
        <v>831338</v>
      </c>
      <c r="B344" s="6">
        <v>43938</v>
      </c>
      <c r="C344" s="6">
        <v>43939</v>
      </c>
      <c r="D344" s="5" t="s">
        <v>0</v>
      </c>
      <c r="E344" s="5" t="s">
        <v>16</v>
      </c>
      <c r="F344" s="5">
        <v>15</v>
      </c>
      <c r="G344" s="5" t="s">
        <v>6</v>
      </c>
      <c r="H344" s="5">
        <v>83</v>
      </c>
      <c r="I344" s="5" t="s">
        <v>2</v>
      </c>
      <c r="J344" s="6">
        <v>43948</v>
      </c>
      <c r="K344" s="5" t="s">
        <v>3</v>
      </c>
      <c r="L344" s="6"/>
      <c r="M344" s="5" t="s">
        <v>4</v>
      </c>
    </row>
    <row r="345" spans="1:13" ht="12.75" x14ac:dyDescent="0.2">
      <c r="A345" s="1">
        <v>2735511</v>
      </c>
      <c r="B345" s="2">
        <v>44092</v>
      </c>
      <c r="C345" s="2">
        <v>44093</v>
      </c>
      <c r="D345" s="1" t="s">
        <v>5</v>
      </c>
      <c r="E345" s="1" t="s">
        <v>85</v>
      </c>
      <c r="G345" s="1" t="s">
        <v>1</v>
      </c>
      <c r="H345" s="1">
        <v>61</v>
      </c>
      <c r="I345" s="1" t="s">
        <v>2</v>
      </c>
      <c r="J345" s="2">
        <v>44106</v>
      </c>
      <c r="K345" s="1" t="s">
        <v>3</v>
      </c>
      <c r="L345" s="2"/>
      <c r="M345" s="1" t="s">
        <v>4</v>
      </c>
    </row>
    <row r="346" spans="1:13" ht="12.75" x14ac:dyDescent="0.2">
      <c r="A346" s="5">
        <v>1211889</v>
      </c>
      <c r="B346" s="6">
        <v>44012</v>
      </c>
      <c r="C346" s="6">
        <v>44013</v>
      </c>
      <c r="D346" s="5" t="s">
        <v>0</v>
      </c>
      <c r="E346" s="5" t="s">
        <v>40</v>
      </c>
      <c r="F346" s="5">
        <v>1</v>
      </c>
      <c r="G346" s="5" t="s">
        <v>1</v>
      </c>
      <c r="H346" s="5">
        <v>75</v>
      </c>
      <c r="I346" s="5" t="s">
        <v>2</v>
      </c>
      <c r="J346" s="6">
        <v>44038</v>
      </c>
      <c r="K346" s="5" t="s">
        <v>3</v>
      </c>
      <c r="L346" s="6"/>
      <c r="M346" s="5" t="s">
        <v>4</v>
      </c>
    </row>
    <row r="347" spans="1:13" ht="12.75" x14ac:dyDescent="0.2">
      <c r="A347" s="1">
        <v>821109</v>
      </c>
      <c r="B347" s="2">
        <v>43936</v>
      </c>
      <c r="C347" s="2">
        <v>43940</v>
      </c>
      <c r="D347" s="1" t="s">
        <v>0</v>
      </c>
      <c r="E347" s="1" t="s">
        <v>10</v>
      </c>
      <c r="F347" s="1">
        <v>5</v>
      </c>
      <c r="G347" s="1" t="s">
        <v>6</v>
      </c>
      <c r="H347" s="1">
        <v>82</v>
      </c>
      <c r="I347" s="1" t="s">
        <v>15</v>
      </c>
      <c r="J347" s="2"/>
      <c r="K347" s="1" t="s">
        <v>121</v>
      </c>
      <c r="L347" s="2"/>
    </row>
    <row r="348" spans="1:13" ht="12.75" x14ac:dyDescent="0.2">
      <c r="A348" s="5">
        <v>864956</v>
      </c>
      <c r="B348" s="6">
        <v>44319</v>
      </c>
      <c r="C348" s="6">
        <v>44319</v>
      </c>
      <c r="D348" s="5" t="s">
        <v>0</v>
      </c>
      <c r="E348" s="5" t="s">
        <v>43</v>
      </c>
      <c r="F348" s="5">
        <v>10</v>
      </c>
      <c r="G348" s="5" t="s">
        <v>6</v>
      </c>
      <c r="H348" s="5">
        <v>49</v>
      </c>
      <c r="I348" s="5" t="s">
        <v>2</v>
      </c>
      <c r="J348" s="6">
        <v>44331</v>
      </c>
      <c r="K348" s="5" t="s">
        <v>3</v>
      </c>
      <c r="L348" s="6"/>
      <c r="M348" s="5" t="s">
        <v>4</v>
      </c>
    </row>
    <row r="349" spans="1:13" ht="12.75" x14ac:dyDescent="0.2">
      <c r="A349" s="1">
        <v>1258455</v>
      </c>
      <c r="B349" s="2">
        <v>44016</v>
      </c>
      <c r="C349" s="2">
        <v>44016</v>
      </c>
      <c r="D349" s="1" t="s">
        <v>0</v>
      </c>
      <c r="E349" s="1" t="s">
        <v>34</v>
      </c>
      <c r="F349" s="1">
        <v>9</v>
      </c>
      <c r="G349" s="1" t="s">
        <v>1</v>
      </c>
      <c r="H349" s="1">
        <v>93</v>
      </c>
      <c r="I349" s="1" t="s">
        <v>2</v>
      </c>
      <c r="J349" s="2">
        <v>44033</v>
      </c>
      <c r="K349" s="1" t="s">
        <v>3</v>
      </c>
      <c r="L349" s="2"/>
      <c r="M349" s="1" t="s">
        <v>4</v>
      </c>
    </row>
    <row r="350" spans="1:13" ht="12.75" x14ac:dyDescent="0.2">
      <c r="A350" s="5">
        <v>917726</v>
      </c>
      <c r="B350" s="6">
        <v>43965</v>
      </c>
      <c r="C350" s="6">
        <v>44011</v>
      </c>
      <c r="D350" s="5" t="s">
        <v>0</v>
      </c>
      <c r="E350" s="5" t="s">
        <v>33</v>
      </c>
      <c r="F350" s="5">
        <v>13</v>
      </c>
      <c r="G350" s="5" t="s">
        <v>6</v>
      </c>
      <c r="H350" s="5">
        <v>70</v>
      </c>
      <c r="I350" s="5" t="s">
        <v>2</v>
      </c>
      <c r="J350" s="6">
        <v>44046</v>
      </c>
      <c r="K350" s="5" t="s">
        <v>3</v>
      </c>
      <c r="L350" s="6"/>
      <c r="M350" s="5" t="s">
        <v>4</v>
      </c>
    </row>
    <row r="351" spans="1:13" ht="12.75" x14ac:dyDescent="0.2">
      <c r="A351" s="1">
        <v>1943179</v>
      </c>
      <c r="B351" s="2">
        <v>44060</v>
      </c>
      <c r="C351" s="2">
        <v>44061</v>
      </c>
      <c r="D351" s="1" t="s">
        <v>0</v>
      </c>
      <c r="E351" s="1" t="s">
        <v>7</v>
      </c>
      <c r="F351" s="1">
        <v>3</v>
      </c>
      <c r="G351" s="1" t="s">
        <v>6</v>
      </c>
      <c r="H351" s="1">
        <v>71</v>
      </c>
      <c r="I351" s="1" t="s">
        <v>2</v>
      </c>
      <c r="J351" s="2">
        <v>44070</v>
      </c>
      <c r="K351" s="1" t="s">
        <v>3</v>
      </c>
      <c r="L351" s="2"/>
      <c r="M351" s="1" t="s">
        <v>20</v>
      </c>
    </row>
    <row r="352" spans="1:13" ht="12.75" x14ac:dyDescent="0.2">
      <c r="A352" s="5">
        <v>1940381</v>
      </c>
      <c r="B352" s="6">
        <v>44061</v>
      </c>
      <c r="C352" s="6">
        <v>44062</v>
      </c>
      <c r="D352" s="5" t="s">
        <v>0</v>
      </c>
      <c r="E352" s="5" t="s">
        <v>47</v>
      </c>
      <c r="F352" s="5">
        <v>12</v>
      </c>
      <c r="G352" s="5" t="s">
        <v>6</v>
      </c>
      <c r="H352" s="5">
        <v>73</v>
      </c>
      <c r="I352" s="5" t="s">
        <v>2</v>
      </c>
      <c r="J352" s="6">
        <v>44063</v>
      </c>
      <c r="K352" s="5" t="s">
        <v>3</v>
      </c>
      <c r="L352" s="6"/>
      <c r="M352" s="5" t="s">
        <v>4</v>
      </c>
    </row>
    <row r="353" spans="1:13" ht="12.75" x14ac:dyDescent="0.2">
      <c r="A353" s="1">
        <v>1323107</v>
      </c>
      <c r="B353" s="2">
        <v>44023</v>
      </c>
      <c r="C353" s="2">
        <v>44023</v>
      </c>
      <c r="D353" s="1" t="s">
        <v>0</v>
      </c>
      <c r="E353" s="1" t="s">
        <v>7</v>
      </c>
      <c r="F353" s="1">
        <v>3</v>
      </c>
      <c r="G353" s="1" t="s">
        <v>6</v>
      </c>
      <c r="H353" s="1">
        <v>72</v>
      </c>
      <c r="I353" s="1" t="s">
        <v>15</v>
      </c>
      <c r="J353" s="2"/>
      <c r="K353" s="1" t="s">
        <v>121</v>
      </c>
      <c r="L353" s="2"/>
    </row>
    <row r="354" spans="1:13" ht="12.75" x14ac:dyDescent="0.2">
      <c r="A354" s="5">
        <v>2010014</v>
      </c>
      <c r="B354" s="6">
        <v>44063</v>
      </c>
      <c r="C354" s="6">
        <v>44063</v>
      </c>
      <c r="D354" s="5" t="s">
        <v>0</v>
      </c>
      <c r="E354" s="5" t="s">
        <v>10</v>
      </c>
      <c r="F354" s="5">
        <v>5</v>
      </c>
      <c r="G354" s="5" t="s">
        <v>6</v>
      </c>
      <c r="H354" s="5">
        <v>90</v>
      </c>
      <c r="I354" s="5" t="s">
        <v>2</v>
      </c>
      <c r="J354" s="6">
        <v>44085</v>
      </c>
      <c r="K354" s="5" t="s">
        <v>3</v>
      </c>
      <c r="L354" s="6"/>
      <c r="M354" s="5" t="s">
        <v>4</v>
      </c>
    </row>
    <row r="355" spans="1:13" ht="12.75" x14ac:dyDescent="0.2">
      <c r="A355" s="1">
        <v>2740644</v>
      </c>
      <c r="B355" s="2">
        <v>44090</v>
      </c>
      <c r="C355" s="2">
        <v>44092</v>
      </c>
      <c r="D355" s="1" t="s">
        <v>0</v>
      </c>
      <c r="E355" s="1" t="s">
        <v>40</v>
      </c>
      <c r="F355" s="1">
        <v>1</v>
      </c>
      <c r="G355" s="1" t="s">
        <v>6</v>
      </c>
      <c r="H355" s="1">
        <v>88</v>
      </c>
      <c r="I355" s="1" t="s">
        <v>2</v>
      </c>
      <c r="J355" s="2">
        <v>44101</v>
      </c>
      <c r="K355" s="1" t="s">
        <v>3</v>
      </c>
      <c r="L355" s="2"/>
      <c r="M355" s="1" t="s">
        <v>9</v>
      </c>
    </row>
    <row r="356" spans="1:13" ht="12.75" x14ac:dyDescent="0.2">
      <c r="A356" s="5">
        <v>2702931</v>
      </c>
      <c r="B356" s="6">
        <v>44102</v>
      </c>
      <c r="C356" s="6">
        <v>44102</v>
      </c>
      <c r="D356" s="5" t="s">
        <v>0</v>
      </c>
      <c r="E356" s="5" t="s">
        <v>38</v>
      </c>
      <c r="F356" s="5">
        <v>12</v>
      </c>
      <c r="G356" s="5" t="s">
        <v>1</v>
      </c>
      <c r="H356" s="5">
        <v>50</v>
      </c>
      <c r="I356" s="5" t="s">
        <v>2</v>
      </c>
      <c r="J356" s="6">
        <v>44118</v>
      </c>
      <c r="K356" s="5" t="s">
        <v>3</v>
      </c>
      <c r="L356" s="6"/>
      <c r="M356" s="5" t="s">
        <v>9</v>
      </c>
    </row>
    <row r="357" spans="1:13" ht="12.75" x14ac:dyDescent="0.2">
      <c r="A357" s="1">
        <v>1348412</v>
      </c>
      <c r="B357" s="2">
        <v>44047</v>
      </c>
      <c r="C357" s="2">
        <v>44048</v>
      </c>
      <c r="D357" s="1" t="s">
        <v>0</v>
      </c>
      <c r="E357" s="1" t="s">
        <v>24</v>
      </c>
      <c r="F357" s="1">
        <v>9</v>
      </c>
      <c r="G357" s="1" t="s">
        <v>1</v>
      </c>
      <c r="H357" s="1">
        <v>94</v>
      </c>
      <c r="I357" s="1" t="s">
        <v>2</v>
      </c>
      <c r="J357" s="2">
        <v>44058</v>
      </c>
      <c r="K357" s="1" t="s">
        <v>3</v>
      </c>
      <c r="L357" s="2"/>
      <c r="M357" s="1" t="s">
        <v>4</v>
      </c>
    </row>
    <row r="358" spans="1:13" ht="12.75" x14ac:dyDescent="0.2">
      <c r="A358" s="5">
        <v>1467668</v>
      </c>
      <c r="B358" s="6">
        <v>44031</v>
      </c>
      <c r="C358" s="6">
        <v>44032</v>
      </c>
      <c r="D358" s="5" t="s">
        <v>0</v>
      </c>
      <c r="E358" s="5" t="s">
        <v>13</v>
      </c>
      <c r="F358" s="5">
        <v>2</v>
      </c>
      <c r="G358" s="5" t="s">
        <v>6</v>
      </c>
      <c r="H358" s="5">
        <v>101</v>
      </c>
      <c r="I358" s="5" t="s">
        <v>2</v>
      </c>
      <c r="J358" s="6">
        <v>44041</v>
      </c>
      <c r="K358" s="5" t="s">
        <v>3</v>
      </c>
      <c r="L358" s="6"/>
      <c r="M358" s="5" t="s">
        <v>4</v>
      </c>
    </row>
    <row r="359" spans="1:13" ht="12.75" x14ac:dyDescent="0.2">
      <c r="A359" s="1">
        <v>1238397</v>
      </c>
      <c r="B359" s="2">
        <v>44014</v>
      </c>
      <c r="C359" s="2">
        <v>44015</v>
      </c>
      <c r="D359" s="1" t="s">
        <v>5</v>
      </c>
      <c r="E359" s="1" t="s">
        <v>74</v>
      </c>
      <c r="G359" s="1" t="s">
        <v>6</v>
      </c>
      <c r="H359" s="1">
        <v>50</v>
      </c>
      <c r="I359" s="1" t="s">
        <v>2</v>
      </c>
      <c r="J359" s="2">
        <v>44034</v>
      </c>
      <c r="K359" s="1" t="s">
        <v>3</v>
      </c>
      <c r="L359" s="2"/>
      <c r="M359" s="1" t="s">
        <v>9</v>
      </c>
    </row>
    <row r="360" spans="1:13" ht="12.75" x14ac:dyDescent="0.2">
      <c r="A360" s="5">
        <v>1736040</v>
      </c>
      <c r="B360" s="6">
        <v>44050</v>
      </c>
      <c r="C360" s="6">
        <v>44052</v>
      </c>
      <c r="D360" s="5" t="s">
        <v>5</v>
      </c>
      <c r="E360" s="5" t="s">
        <v>99</v>
      </c>
      <c r="F360" s="5"/>
      <c r="G360" s="5" t="s">
        <v>1</v>
      </c>
      <c r="H360" s="5">
        <v>42</v>
      </c>
      <c r="I360" s="5" t="s">
        <v>2</v>
      </c>
      <c r="J360" s="6">
        <v>44076</v>
      </c>
      <c r="K360" s="5" t="s">
        <v>3</v>
      </c>
      <c r="L360" s="6"/>
      <c r="M360" s="5" t="s">
        <v>9</v>
      </c>
    </row>
    <row r="361" spans="1:13" ht="12.75" x14ac:dyDescent="0.2">
      <c r="A361" s="1">
        <v>1104139</v>
      </c>
      <c r="B361" s="2">
        <v>44000</v>
      </c>
      <c r="C361" s="2">
        <v>44000</v>
      </c>
      <c r="D361" s="1" t="s">
        <v>0</v>
      </c>
      <c r="E361" s="1" t="s">
        <v>25</v>
      </c>
      <c r="F361" s="1">
        <v>13</v>
      </c>
      <c r="G361" s="1" t="s">
        <v>6</v>
      </c>
      <c r="H361" s="1">
        <v>94</v>
      </c>
      <c r="I361" s="1" t="s">
        <v>2</v>
      </c>
      <c r="J361" s="2">
        <v>44013</v>
      </c>
      <c r="K361" s="1" t="s">
        <v>3</v>
      </c>
      <c r="L361" s="2"/>
      <c r="M361" s="1" t="s">
        <v>9</v>
      </c>
    </row>
    <row r="362" spans="1:13" ht="12.75" x14ac:dyDescent="0.2">
      <c r="A362" s="5">
        <v>2884036</v>
      </c>
      <c r="B362" s="6">
        <v>44098</v>
      </c>
      <c r="C362" s="6">
        <v>44117</v>
      </c>
      <c r="D362" s="5" t="s">
        <v>5</v>
      </c>
      <c r="E362" s="5" t="s">
        <v>82</v>
      </c>
      <c r="F362" s="5"/>
      <c r="G362" s="5" t="s">
        <v>6</v>
      </c>
      <c r="H362" s="5">
        <v>76</v>
      </c>
      <c r="I362" s="5" t="s">
        <v>2</v>
      </c>
      <c r="J362" s="6">
        <v>44129</v>
      </c>
      <c r="K362" s="5" t="s">
        <v>3</v>
      </c>
      <c r="L362" s="6"/>
      <c r="M362" s="5" t="s">
        <v>4</v>
      </c>
    </row>
    <row r="363" spans="1:13" ht="12.75" x14ac:dyDescent="0.2">
      <c r="A363" s="1">
        <v>4796097</v>
      </c>
      <c r="B363" s="2">
        <v>44163</v>
      </c>
      <c r="C363" s="2">
        <v>44163</v>
      </c>
      <c r="D363" s="1" t="s">
        <v>0</v>
      </c>
      <c r="E363" s="1" t="s">
        <v>10</v>
      </c>
      <c r="F363" s="1">
        <v>5</v>
      </c>
      <c r="G363" s="1" t="s">
        <v>1</v>
      </c>
      <c r="H363" s="1">
        <v>78</v>
      </c>
      <c r="I363" s="1" t="s">
        <v>2</v>
      </c>
      <c r="J363" s="2">
        <v>44192</v>
      </c>
      <c r="K363" s="1" t="s">
        <v>3</v>
      </c>
      <c r="L363" s="2"/>
      <c r="M363" s="1" t="s">
        <v>4</v>
      </c>
    </row>
    <row r="364" spans="1:13" ht="12.75" x14ac:dyDescent="0.2">
      <c r="A364" s="5">
        <v>1774272</v>
      </c>
      <c r="B364" s="6">
        <v>44052</v>
      </c>
      <c r="C364" s="6">
        <v>44052</v>
      </c>
      <c r="D364" s="5" t="s">
        <v>0</v>
      </c>
      <c r="E364" s="5" t="s">
        <v>41</v>
      </c>
      <c r="F364" s="5">
        <v>4</v>
      </c>
      <c r="G364" s="5" t="s">
        <v>1</v>
      </c>
      <c r="H364" s="5">
        <v>93</v>
      </c>
      <c r="I364" s="5" t="s">
        <v>15</v>
      </c>
      <c r="J364" s="6"/>
      <c r="K364" s="5" t="s">
        <v>121</v>
      </c>
      <c r="L364" s="6"/>
      <c r="M364" s="5"/>
    </row>
    <row r="365" spans="1:13" ht="12.75" x14ac:dyDescent="0.2">
      <c r="A365" s="1">
        <v>3699491</v>
      </c>
      <c r="B365" s="2">
        <v>44127</v>
      </c>
      <c r="C365" s="2">
        <v>44129</v>
      </c>
      <c r="D365" s="1" t="s">
        <v>0</v>
      </c>
      <c r="E365" s="1" t="s">
        <v>38</v>
      </c>
      <c r="F365" s="1">
        <v>12</v>
      </c>
      <c r="G365" s="1" t="s">
        <v>1</v>
      </c>
      <c r="H365" s="1">
        <v>90</v>
      </c>
      <c r="I365" s="1" t="s">
        <v>2</v>
      </c>
      <c r="J365" s="2">
        <v>44157</v>
      </c>
      <c r="K365" s="1" t="s">
        <v>3</v>
      </c>
      <c r="L365" s="2"/>
      <c r="M365" s="1" t="s">
        <v>4</v>
      </c>
    </row>
    <row r="366" spans="1:13" ht="12.75" x14ac:dyDescent="0.2">
      <c r="A366" s="5">
        <v>2145828</v>
      </c>
      <c r="B366" s="6">
        <v>44083</v>
      </c>
      <c r="C366" s="6">
        <v>44083</v>
      </c>
      <c r="D366" s="5" t="s">
        <v>0</v>
      </c>
      <c r="E366" s="5" t="s">
        <v>29</v>
      </c>
      <c r="F366" s="5">
        <v>12</v>
      </c>
      <c r="G366" s="5" t="s">
        <v>6</v>
      </c>
      <c r="H366" s="5">
        <v>57</v>
      </c>
      <c r="I366" s="5" t="s">
        <v>2</v>
      </c>
      <c r="J366" s="6">
        <v>44089</v>
      </c>
      <c r="K366" s="5" t="s">
        <v>3</v>
      </c>
      <c r="L366" s="6"/>
      <c r="M366" s="5" t="s">
        <v>4</v>
      </c>
    </row>
    <row r="367" spans="1:13" ht="12.75" x14ac:dyDescent="0.2">
      <c r="A367" s="1">
        <v>1156273</v>
      </c>
      <c r="B367" s="2">
        <v>44005</v>
      </c>
      <c r="C367" s="2">
        <v>44027</v>
      </c>
      <c r="D367" s="1" t="s">
        <v>0</v>
      </c>
      <c r="E367" s="1" t="s">
        <v>14</v>
      </c>
      <c r="F367" s="1">
        <v>14</v>
      </c>
      <c r="G367" s="1" t="s">
        <v>6</v>
      </c>
      <c r="H367" s="1">
        <v>78</v>
      </c>
      <c r="I367" s="1" t="s">
        <v>2</v>
      </c>
      <c r="J367" s="2">
        <v>44069</v>
      </c>
      <c r="K367" s="1" t="s">
        <v>3</v>
      </c>
      <c r="L367" s="2"/>
      <c r="M367" s="1" t="s">
        <v>4</v>
      </c>
    </row>
    <row r="368" spans="1:13" ht="12.75" x14ac:dyDescent="0.2">
      <c r="A368" s="5">
        <v>1192434</v>
      </c>
      <c r="B368" s="6">
        <v>44010</v>
      </c>
      <c r="C368" s="6">
        <v>44010</v>
      </c>
      <c r="D368" s="5" t="s">
        <v>0</v>
      </c>
      <c r="E368" s="5" t="s">
        <v>14</v>
      </c>
      <c r="F368" s="5">
        <v>14</v>
      </c>
      <c r="G368" s="5" t="s">
        <v>1</v>
      </c>
      <c r="H368" s="5">
        <v>77</v>
      </c>
      <c r="I368" s="5" t="s">
        <v>2</v>
      </c>
      <c r="J368" s="6">
        <v>44011</v>
      </c>
      <c r="K368" s="5" t="s">
        <v>3</v>
      </c>
      <c r="L368" s="6"/>
      <c r="M368" s="5" t="s">
        <v>20</v>
      </c>
    </row>
    <row r="369" spans="1:13" ht="12.75" x14ac:dyDescent="0.2">
      <c r="A369" s="1">
        <v>1349609</v>
      </c>
      <c r="B369" s="2">
        <v>44025</v>
      </c>
      <c r="C369" s="2">
        <v>44027</v>
      </c>
      <c r="D369" s="1" t="s">
        <v>0</v>
      </c>
      <c r="E369" s="1" t="s">
        <v>19</v>
      </c>
      <c r="F369" s="1">
        <v>15</v>
      </c>
      <c r="G369" s="1" t="s">
        <v>1</v>
      </c>
      <c r="H369" s="1">
        <v>84</v>
      </c>
      <c r="I369" s="1" t="s">
        <v>15</v>
      </c>
      <c r="J369" s="2"/>
      <c r="K369" s="1" t="s">
        <v>121</v>
      </c>
      <c r="L369" s="2"/>
    </row>
    <row r="370" spans="1:13" ht="12.75" x14ac:dyDescent="0.2">
      <c r="A370" s="5">
        <v>1509687</v>
      </c>
      <c r="B370" s="6">
        <v>44037</v>
      </c>
      <c r="C370" s="6">
        <v>44037</v>
      </c>
      <c r="D370" s="5" t="s">
        <v>0</v>
      </c>
      <c r="E370" s="5" t="s">
        <v>14</v>
      </c>
      <c r="F370" s="5">
        <v>14</v>
      </c>
      <c r="G370" s="5" t="s">
        <v>1</v>
      </c>
      <c r="H370" s="5">
        <v>54</v>
      </c>
      <c r="I370" s="5" t="s">
        <v>2</v>
      </c>
      <c r="J370" s="6">
        <v>44048</v>
      </c>
      <c r="K370" s="5" t="s">
        <v>3</v>
      </c>
      <c r="L370" s="6"/>
      <c r="M370" s="5" t="s">
        <v>22</v>
      </c>
    </row>
    <row r="371" spans="1:13" ht="12.75" x14ac:dyDescent="0.2">
      <c r="A371" s="1">
        <v>1098273</v>
      </c>
      <c r="B371" s="2">
        <v>43997</v>
      </c>
      <c r="C371" s="2">
        <v>43999</v>
      </c>
      <c r="D371" s="1" t="s">
        <v>5</v>
      </c>
      <c r="E371" s="1" t="s">
        <v>96</v>
      </c>
      <c r="G371" s="1" t="s">
        <v>6</v>
      </c>
      <c r="H371" s="1">
        <v>64</v>
      </c>
      <c r="I371" s="1" t="s">
        <v>15</v>
      </c>
      <c r="J371" s="2"/>
      <c r="K371" s="1" t="s">
        <v>121</v>
      </c>
      <c r="L371" s="2"/>
    </row>
    <row r="372" spans="1:13" ht="12.75" x14ac:dyDescent="0.2">
      <c r="A372" s="5">
        <v>1158428</v>
      </c>
      <c r="B372" s="6">
        <v>44006</v>
      </c>
      <c r="C372" s="6">
        <v>44008</v>
      </c>
      <c r="D372" s="5" t="s">
        <v>0</v>
      </c>
      <c r="E372" s="5" t="s">
        <v>38</v>
      </c>
      <c r="F372" s="5">
        <v>12</v>
      </c>
      <c r="G372" s="5" t="s">
        <v>1</v>
      </c>
      <c r="H372" s="5">
        <v>69</v>
      </c>
      <c r="I372" s="5" t="s">
        <v>2</v>
      </c>
      <c r="J372" s="6">
        <v>44019</v>
      </c>
      <c r="K372" s="5" t="s">
        <v>3</v>
      </c>
      <c r="L372" s="6"/>
      <c r="M372" s="5" t="s">
        <v>4</v>
      </c>
    </row>
    <row r="373" spans="1:13" ht="12.75" x14ac:dyDescent="0.2">
      <c r="A373" s="1">
        <v>1478692</v>
      </c>
      <c r="B373" s="2">
        <v>44035</v>
      </c>
      <c r="C373" s="2">
        <v>44035</v>
      </c>
      <c r="D373" s="1" t="s">
        <v>0</v>
      </c>
      <c r="E373" s="1" t="s">
        <v>43</v>
      </c>
      <c r="F373" s="1">
        <v>10</v>
      </c>
      <c r="G373" s="1" t="s">
        <v>1</v>
      </c>
      <c r="H373" s="1">
        <v>91</v>
      </c>
      <c r="I373" s="1" t="s">
        <v>2</v>
      </c>
      <c r="J373" s="2">
        <v>44040</v>
      </c>
      <c r="K373" s="1" t="s">
        <v>3</v>
      </c>
      <c r="L373" s="2"/>
      <c r="M373" s="1" t="s">
        <v>4</v>
      </c>
    </row>
    <row r="374" spans="1:13" ht="12.75" x14ac:dyDescent="0.2">
      <c r="A374" s="5">
        <v>2113972</v>
      </c>
      <c r="B374" s="6">
        <v>44071</v>
      </c>
      <c r="C374" s="6">
        <v>44072</v>
      </c>
      <c r="D374" s="5" t="s">
        <v>0</v>
      </c>
      <c r="E374" s="5" t="s">
        <v>14</v>
      </c>
      <c r="F374" s="5">
        <v>14</v>
      </c>
      <c r="G374" s="5" t="s">
        <v>6</v>
      </c>
      <c r="H374" s="5">
        <v>54</v>
      </c>
      <c r="I374" s="5" t="s">
        <v>2</v>
      </c>
      <c r="J374" s="6">
        <v>44087</v>
      </c>
      <c r="K374" s="5" t="s">
        <v>3</v>
      </c>
      <c r="L374" s="6"/>
      <c r="M374" s="5" t="s">
        <v>4</v>
      </c>
    </row>
    <row r="375" spans="1:13" ht="12.75" x14ac:dyDescent="0.2">
      <c r="A375" s="1">
        <v>2928467</v>
      </c>
      <c r="B375" s="2">
        <v>44098</v>
      </c>
      <c r="C375" s="2">
        <v>44099</v>
      </c>
      <c r="D375" s="1" t="s">
        <v>0</v>
      </c>
      <c r="E375" s="1" t="s">
        <v>18</v>
      </c>
      <c r="F375" s="1">
        <v>8</v>
      </c>
      <c r="G375" s="1" t="s">
        <v>6</v>
      </c>
      <c r="H375" s="1">
        <v>92</v>
      </c>
      <c r="I375" s="1" t="s">
        <v>2</v>
      </c>
      <c r="J375" s="2">
        <v>44098</v>
      </c>
      <c r="K375" s="1" t="s">
        <v>3</v>
      </c>
      <c r="L375" s="2"/>
      <c r="M375" s="1" t="s">
        <v>4</v>
      </c>
    </row>
    <row r="376" spans="1:13" ht="12.75" x14ac:dyDescent="0.2">
      <c r="A376" s="5">
        <v>1264012</v>
      </c>
      <c r="B376" s="6">
        <v>44303</v>
      </c>
      <c r="C376" s="6">
        <v>44306</v>
      </c>
      <c r="D376" s="5" t="s">
        <v>5</v>
      </c>
      <c r="E376" s="5" t="s">
        <v>83</v>
      </c>
      <c r="F376" s="5"/>
      <c r="G376" s="5" t="s">
        <v>6</v>
      </c>
      <c r="H376" s="5">
        <v>58</v>
      </c>
      <c r="I376" s="5" t="s">
        <v>2</v>
      </c>
      <c r="J376" s="6">
        <v>44311</v>
      </c>
      <c r="K376" s="5" t="s">
        <v>3</v>
      </c>
      <c r="L376" s="6"/>
      <c r="M376" s="5" t="s">
        <v>20</v>
      </c>
    </row>
    <row r="377" spans="1:13" ht="12.75" x14ac:dyDescent="0.2">
      <c r="A377" s="1">
        <v>3213081</v>
      </c>
      <c r="B377" s="2">
        <v>44111</v>
      </c>
      <c r="C377" s="2">
        <v>44112</v>
      </c>
      <c r="D377" s="1" t="s">
        <v>0</v>
      </c>
      <c r="E377" s="1" t="s">
        <v>18</v>
      </c>
      <c r="F377" s="1">
        <v>8</v>
      </c>
      <c r="G377" s="1" t="s">
        <v>1</v>
      </c>
      <c r="H377" s="1">
        <v>85</v>
      </c>
      <c r="I377" s="1" t="s">
        <v>2</v>
      </c>
      <c r="J377" s="2">
        <v>44113</v>
      </c>
      <c r="K377" s="1" t="s">
        <v>3</v>
      </c>
      <c r="L377" s="2"/>
      <c r="M377" s="1" t="s">
        <v>4</v>
      </c>
    </row>
    <row r="378" spans="1:13" ht="12.75" x14ac:dyDescent="0.2">
      <c r="A378" s="5">
        <v>1080515</v>
      </c>
      <c r="B378" s="6">
        <v>44000</v>
      </c>
      <c r="C378" s="6">
        <v>44000</v>
      </c>
      <c r="D378" s="5" t="s">
        <v>0</v>
      </c>
      <c r="E378" s="5" t="s">
        <v>53</v>
      </c>
      <c r="F378" s="5">
        <v>11</v>
      </c>
      <c r="G378" s="5" t="s">
        <v>6</v>
      </c>
      <c r="H378" s="5">
        <v>73</v>
      </c>
      <c r="I378" s="5" t="s">
        <v>15</v>
      </c>
      <c r="J378" s="6"/>
      <c r="K378" s="5" t="s">
        <v>3</v>
      </c>
      <c r="L378" s="6"/>
      <c r="M378" s="5"/>
    </row>
    <row r="379" spans="1:13" ht="12.75" x14ac:dyDescent="0.2">
      <c r="A379" s="1">
        <v>1949832</v>
      </c>
      <c r="B379" s="2">
        <v>44060</v>
      </c>
      <c r="C379" s="2">
        <v>44062</v>
      </c>
      <c r="D379" s="1" t="s">
        <v>0</v>
      </c>
      <c r="E379" s="1" t="s">
        <v>40</v>
      </c>
      <c r="F379" s="1">
        <v>1</v>
      </c>
      <c r="G379" s="1" t="s">
        <v>6</v>
      </c>
      <c r="H379" s="1">
        <v>78</v>
      </c>
      <c r="I379" s="1" t="s">
        <v>2</v>
      </c>
      <c r="J379" s="2">
        <v>44069</v>
      </c>
      <c r="K379" s="1" t="s">
        <v>3</v>
      </c>
      <c r="L379" s="2"/>
      <c r="M379" s="1" t="s">
        <v>4</v>
      </c>
    </row>
    <row r="380" spans="1:13" ht="12.75" x14ac:dyDescent="0.2">
      <c r="A380" s="5">
        <v>2765934</v>
      </c>
      <c r="B380" s="6">
        <v>44076</v>
      </c>
      <c r="C380" s="6">
        <v>44077</v>
      </c>
      <c r="D380" s="5" t="s">
        <v>57</v>
      </c>
      <c r="E380" s="5" t="s">
        <v>104</v>
      </c>
      <c r="F380" s="5"/>
      <c r="G380" s="5" t="s">
        <v>6</v>
      </c>
      <c r="H380" s="5">
        <v>77</v>
      </c>
      <c r="I380" s="5" t="s">
        <v>2</v>
      </c>
      <c r="J380" s="6">
        <v>44099</v>
      </c>
      <c r="K380" s="5" t="s">
        <v>3</v>
      </c>
      <c r="L380" s="6"/>
      <c r="M380" s="5" t="s">
        <v>4</v>
      </c>
    </row>
    <row r="381" spans="1:13" ht="12.75" x14ac:dyDescent="0.2">
      <c r="A381" s="1">
        <v>2292770</v>
      </c>
      <c r="B381" s="2">
        <v>44075</v>
      </c>
      <c r="C381" s="2">
        <v>44076</v>
      </c>
      <c r="D381" s="1" t="s">
        <v>0</v>
      </c>
      <c r="E381" s="1" t="s">
        <v>7</v>
      </c>
      <c r="F381" s="1">
        <v>3</v>
      </c>
      <c r="G381" s="1" t="s">
        <v>6</v>
      </c>
      <c r="H381" s="1">
        <v>80</v>
      </c>
      <c r="I381" s="1" t="s">
        <v>2</v>
      </c>
      <c r="J381" s="2">
        <v>44085</v>
      </c>
      <c r="K381" s="1" t="s">
        <v>3</v>
      </c>
      <c r="L381" s="2"/>
      <c r="M381" s="1" t="s">
        <v>4</v>
      </c>
    </row>
    <row r="382" spans="1:13" ht="12.75" x14ac:dyDescent="0.2">
      <c r="A382" s="5">
        <v>5711744</v>
      </c>
      <c r="B382" s="6">
        <v>44193</v>
      </c>
      <c r="C382" s="6">
        <v>44193</v>
      </c>
      <c r="D382" s="5" t="s">
        <v>0</v>
      </c>
      <c r="E382" s="5" t="s">
        <v>10</v>
      </c>
      <c r="F382" s="5">
        <v>5</v>
      </c>
      <c r="G382" s="5" t="s">
        <v>6</v>
      </c>
      <c r="H382" s="5">
        <v>35</v>
      </c>
      <c r="I382" s="5" t="s">
        <v>15</v>
      </c>
      <c r="J382" s="6"/>
      <c r="K382" s="5" t="s">
        <v>121</v>
      </c>
      <c r="L382" s="6"/>
      <c r="M382" s="5"/>
    </row>
    <row r="383" spans="1:13" ht="12.75" x14ac:dyDescent="0.2">
      <c r="A383" s="1">
        <v>1314036</v>
      </c>
      <c r="B383" s="2">
        <v>44000</v>
      </c>
      <c r="C383" s="2">
        <v>44000</v>
      </c>
      <c r="D383" s="1" t="s">
        <v>0</v>
      </c>
      <c r="E383" s="1" t="s">
        <v>10</v>
      </c>
      <c r="F383" s="1">
        <v>5</v>
      </c>
      <c r="G383" s="1" t="s">
        <v>6</v>
      </c>
      <c r="H383" s="1">
        <v>35</v>
      </c>
      <c r="I383" s="1" t="s">
        <v>15</v>
      </c>
      <c r="J383" s="2"/>
      <c r="K383" s="1" t="s">
        <v>121</v>
      </c>
      <c r="L383" s="2"/>
    </row>
    <row r="384" spans="1:13" ht="12.75" x14ac:dyDescent="0.2">
      <c r="A384" s="5">
        <v>4836447</v>
      </c>
      <c r="B384" s="6">
        <v>44165</v>
      </c>
      <c r="C384" s="6">
        <v>44165</v>
      </c>
      <c r="D384" s="5" t="s">
        <v>5</v>
      </c>
      <c r="E384" s="5" t="s">
        <v>82</v>
      </c>
      <c r="F384" s="5"/>
      <c r="G384" s="5" t="s">
        <v>6</v>
      </c>
      <c r="H384" s="5">
        <v>60</v>
      </c>
      <c r="I384" s="5" t="s">
        <v>15</v>
      </c>
      <c r="J384" s="6"/>
      <c r="K384" s="5" t="s">
        <v>121</v>
      </c>
      <c r="L384" s="6"/>
      <c r="M384" s="5"/>
    </row>
    <row r="385" spans="1:13" ht="12.75" x14ac:dyDescent="0.2">
      <c r="A385" s="1">
        <v>2404669</v>
      </c>
      <c r="B385" s="2">
        <v>44081</v>
      </c>
      <c r="C385" s="2">
        <v>44081</v>
      </c>
      <c r="D385" s="1" t="s">
        <v>5</v>
      </c>
      <c r="E385" s="1" t="s">
        <v>76</v>
      </c>
      <c r="G385" s="1" t="s">
        <v>6</v>
      </c>
      <c r="H385" s="1">
        <v>58</v>
      </c>
      <c r="I385" s="1" t="s">
        <v>15</v>
      </c>
      <c r="J385" s="2"/>
      <c r="K385" s="1" t="s">
        <v>121</v>
      </c>
      <c r="L385" s="2"/>
    </row>
    <row r="386" spans="1:13" ht="12.75" x14ac:dyDescent="0.2">
      <c r="A386" s="5">
        <v>2076116</v>
      </c>
      <c r="B386" s="6">
        <v>44065</v>
      </c>
      <c r="C386" s="6">
        <v>44065</v>
      </c>
      <c r="D386" s="5" t="s">
        <v>5</v>
      </c>
      <c r="E386" s="5" t="s">
        <v>74</v>
      </c>
      <c r="F386" s="5"/>
      <c r="G386" s="5" t="s">
        <v>1</v>
      </c>
      <c r="H386" s="5">
        <v>28</v>
      </c>
      <c r="I386" s="5" t="s">
        <v>15</v>
      </c>
      <c r="J386" s="6"/>
      <c r="K386" s="5" t="s">
        <v>121</v>
      </c>
      <c r="L386" s="6"/>
      <c r="M386" s="5"/>
    </row>
    <row r="387" spans="1:13" ht="12.75" x14ac:dyDescent="0.2">
      <c r="A387" s="1">
        <v>1987944</v>
      </c>
      <c r="B387" s="2">
        <v>44112</v>
      </c>
      <c r="C387" s="2">
        <v>44113</v>
      </c>
      <c r="D387" s="1" t="s">
        <v>5</v>
      </c>
      <c r="E387" s="1" t="s">
        <v>75</v>
      </c>
      <c r="G387" s="1" t="s">
        <v>1</v>
      </c>
      <c r="H387" s="1">
        <v>64</v>
      </c>
      <c r="I387" s="1" t="s">
        <v>2</v>
      </c>
      <c r="J387" s="2">
        <v>43947</v>
      </c>
      <c r="K387" s="1" t="s">
        <v>121</v>
      </c>
      <c r="L387" s="2"/>
      <c r="M387" s="1" t="s">
        <v>4</v>
      </c>
    </row>
    <row r="388" spans="1:13" ht="12.75" x14ac:dyDescent="0.2">
      <c r="A388" s="5">
        <v>1561780</v>
      </c>
      <c r="B388" s="6">
        <v>44040</v>
      </c>
      <c r="C388" s="6">
        <v>44041</v>
      </c>
      <c r="D388" s="5" t="s">
        <v>0</v>
      </c>
      <c r="E388" s="5" t="s">
        <v>10</v>
      </c>
      <c r="F388" s="5">
        <v>5</v>
      </c>
      <c r="G388" s="5" t="s">
        <v>1</v>
      </c>
      <c r="H388" s="5">
        <v>71</v>
      </c>
      <c r="I388" s="5" t="s">
        <v>2</v>
      </c>
      <c r="J388" s="6">
        <v>43972</v>
      </c>
      <c r="K388" s="5" t="s">
        <v>121</v>
      </c>
      <c r="L388" s="6">
        <v>44050</v>
      </c>
      <c r="M388" s="5" t="s">
        <v>4</v>
      </c>
    </row>
    <row r="389" spans="1:13" ht="12.75" x14ac:dyDescent="0.2">
      <c r="A389" s="1">
        <v>5034807</v>
      </c>
      <c r="B389" s="2">
        <v>44171</v>
      </c>
      <c r="C389" s="2">
        <v>44174</v>
      </c>
      <c r="D389" s="1" t="s">
        <v>0</v>
      </c>
      <c r="E389" s="1" t="s">
        <v>10</v>
      </c>
      <c r="F389" s="1">
        <v>5</v>
      </c>
      <c r="G389" s="1" t="s">
        <v>6</v>
      </c>
      <c r="H389" s="1">
        <v>77</v>
      </c>
      <c r="I389" s="1" t="s">
        <v>2</v>
      </c>
      <c r="J389" s="2">
        <v>44220</v>
      </c>
      <c r="K389" s="1" t="s">
        <v>121</v>
      </c>
      <c r="L389" s="2"/>
      <c r="M389" s="1" t="s">
        <v>4</v>
      </c>
    </row>
    <row r="390" spans="1:13" ht="12.75" x14ac:dyDescent="0.2">
      <c r="A390" s="5">
        <v>2203444</v>
      </c>
      <c r="B390" s="6">
        <v>44055</v>
      </c>
      <c r="C390" s="6">
        <v>44056</v>
      </c>
      <c r="D390" s="5" t="s">
        <v>5</v>
      </c>
      <c r="E390" s="5" t="s">
        <v>78</v>
      </c>
      <c r="F390" s="5"/>
      <c r="G390" s="5" t="s">
        <v>1</v>
      </c>
      <c r="H390" s="5">
        <v>22</v>
      </c>
      <c r="I390" s="5" t="s">
        <v>15</v>
      </c>
      <c r="J390" s="6"/>
      <c r="K390" s="5" t="s">
        <v>121</v>
      </c>
      <c r="L390" s="6"/>
      <c r="M390" s="5"/>
    </row>
    <row r="391" spans="1:13" ht="12.75" x14ac:dyDescent="0.2">
      <c r="A391" s="1">
        <v>4464707</v>
      </c>
      <c r="B391" s="2">
        <v>44148</v>
      </c>
      <c r="C391" s="2">
        <v>44148</v>
      </c>
      <c r="D391" s="1" t="s">
        <v>5</v>
      </c>
      <c r="E391" s="1" t="s">
        <v>79</v>
      </c>
      <c r="G391" s="1" t="s">
        <v>6</v>
      </c>
      <c r="H391" s="1">
        <v>35</v>
      </c>
      <c r="I391" s="1" t="s">
        <v>15</v>
      </c>
      <c r="J391" s="2"/>
      <c r="K391" s="1" t="s">
        <v>121</v>
      </c>
      <c r="L391" s="2"/>
    </row>
    <row r="392" spans="1:13" ht="12.75" x14ac:dyDescent="0.2">
      <c r="A392" s="5">
        <v>2176538</v>
      </c>
      <c r="B392" s="6">
        <v>44070</v>
      </c>
      <c r="C392" s="6">
        <v>44071</v>
      </c>
      <c r="D392" s="5" t="s">
        <v>0</v>
      </c>
      <c r="E392" s="5" t="s">
        <v>18</v>
      </c>
      <c r="F392" s="5">
        <v>8</v>
      </c>
      <c r="G392" s="5" t="s">
        <v>6</v>
      </c>
      <c r="H392" s="5">
        <v>55</v>
      </c>
      <c r="I392" s="5" t="s">
        <v>2</v>
      </c>
      <c r="J392" s="6">
        <v>44030</v>
      </c>
      <c r="K392" s="5" t="s">
        <v>121</v>
      </c>
      <c r="L392" s="6">
        <v>44084</v>
      </c>
      <c r="M392" s="5" t="s">
        <v>20</v>
      </c>
    </row>
    <row r="393" spans="1:13" ht="12.75" x14ac:dyDescent="0.2">
      <c r="A393" s="1">
        <v>1398843</v>
      </c>
      <c r="B393" s="2">
        <v>44026</v>
      </c>
      <c r="C393" s="2">
        <v>44027</v>
      </c>
      <c r="D393" s="1" t="s">
        <v>5</v>
      </c>
      <c r="E393" s="1" t="s">
        <v>102</v>
      </c>
      <c r="G393" s="1" t="s">
        <v>6</v>
      </c>
      <c r="H393" s="1">
        <v>36</v>
      </c>
      <c r="I393" s="1" t="s">
        <v>2</v>
      </c>
      <c r="J393" s="2">
        <v>44119</v>
      </c>
      <c r="K393" s="1" t="s">
        <v>121</v>
      </c>
      <c r="L393" s="2"/>
      <c r="M393" s="1" t="s">
        <v>4</v>
      </c>
    </row>
    <row r="394" spans="1:13" ht="12.75" x14ac:dyDescent="0.2">
      <c r="A394" s="5">
        <v>4108293</v>
      </c>
      <c r="B394" s="6">
        <v>44138</v>
      </c>
      <c r="C394" s="6">
        <v>44139</v>
      </c>
      <c r="D394" s="5" t="s">
        <v>0</v>
      </c>
      <c r="E394" s="5" t="s">
        <v>18</v>
      </c>
      <c r="F394" s="5">
        <v>8</v>
      </c>
      <c r="G394" s="5" t="s">
        <v>1</v>
      </c>
      <c r="H394" s="5">
        <v>26</v>
      </c>
      <c r="I394" s="5" t="s">
        <v>15</v>
      </c>
      <c r="J394" s="6"/>
      <c r="K394" s="5" t="s">
        <v>121</v>
      </c>
      <c r="L394" s="6"/>
      <c r="M394" s="5"/>
    </row>
    <row r="395" spans="1:13" ht="12.75" x14ac:dyDescent="0.2">
      <c r="A395" s="1">
        <v>1678692</v>
      </c>
      <c r="B395" s="2">
        <v>44047</v>
      </c>
      <c r="C395" s="2">
        <v>44048</v>
      </c>
      <c r="D395" s="1" t="s">
        <v>0</v>
      </c>
      <c r="E395" s="1" t="s">
        <v>14</v>
      </c>
      <c r="F395" s="1">
        <v>14</v>
      </c>
      <c r="G395" s="1" t="s">
        <v>1</v>
      </c>
      <c r="H395" s="1">
        <v>50</v>
      </c>
      <c r="I395" s="1" t="s">
        <v>2</v>
      </c>
      <c r="J395" s="2">
        <v>43952</v>
      </c>
      <c r="K395" s="1" t="s">
        <v>121</v>
      </c>
      <c r="L395" s="2"/>
      <c r="M395" s="1" t="s">
        <v>4</v>
      </c>
    </row>
    <row r="396" spans="1:13" ht="12.75" x14ac:dyDescent="0.2">
      <c r="A396" s="5">
        <v>4585743</v>
      </c>
      <c r="B396" s="6">
        <v>44155</v>
      </c>
      <c r="C396" s="6">
        <v>44155</v>
      </c>
      <c r="D396" s="5" t="s">
        <v>5</v>
      </c>
      <c r="E396" s="5" t="s">
        <v>91</v>
      </c>
      <c r="F396" s="5"/>
      <c r="G396" s="5" t="s">
        <v>1</v>
      </c>
      <c r="H396" s="5">
        <v>26</v>
      </c>
      <c r="I396" s="5" t="s">
        <v>15</v>
      </c>
      <c r="J396" s="6"/>
      <c r="K396" s="5" t="s">
        <v>121</v>
      </c>
      <c r="L396" s="6"/>
      <c r="M396" s="5"/>
    </row>
    <row r="397" spans="1:13" ht="12.75" x14ac:dyDescent="0.2">
      <c r="A397" s="1">
        <v>5736109</v>
      </c>
      <c r="B397" s="2">
        <v>44189</v>
      </c>
      <c r="C397" s="2">
        <v>44189</v>
      </c>
      <c r="D397" s="1" t="s">
        <v>5</v>
      </c>
      <c r="E397" s="1" t="s">
        <v>80</v>
      </c>
      <c r="G397" s="1" t="s">
        <v>1</v>
      </c>
      <c r="H397" s="1">
        <v>48</v>
      </c>
      <c r="I397" s="1" t="s">
        <v>2</v>
      </c>
      <c r="J397" s="2"/>
      <c r="K397" s="1" t="s">
        <v>121</v>
      </c>
      <c r="L397" s="2"/>
      <c r="M397" s="1" t="s">
        <v>4</v>
      </c>
    </row>
    <row r="398" spans="1:13" ht="12.75" x14ac:dyDescent="0.2">
      <c r="A398" s="5">
        <v>4108726</v>
      </c>
      <c r="B398" s="6">
        <v>44140</v>
      </c>
      <c r="C398" s="6">
        <v>44141</v>
      </c>
      <c r="D398" s="5" t="s">
        <v>0</v>
      </c>
      <c r="E398" s="5" t="s">
        <v>14</v>
      </c>
      <c r="F398" s="5">
        <v>14</v>
      </c>
      <c r="G398" s="5" t="s">
        <v>1</v>
      </c>
      <c r="H398" s="5">
        <v>79</v>
      </c>
      <c r="I398" s="5" t="s">
        <v>15</v>
      </c>
      <c r="J398" s="6"/>
      <c r="K398" s="5" t="s">
        <v>121</v>
      </c>
      <c r="L398" s="6"/>
      <c r="M398" s="5"/>
    </row>
    <row r="399" spans="1:13" ht="12.75" x14ac:dyDescent="0.2">
      <c r="A399" s="1">
        <v>5794614</v>
      </c>
      <c r="B399" s="2">
        <v>44196</v>
      </c>
      <c r="C399" s="2">
        <v>44196</v>
      </c>
      <c r="D399" s="1" t="s">
        <v>5</v>
      </c>
      <c r="E399" s="1" t="s">
        <v>91</v>
      </c>
      <c r="G399" s="1" t="s">
        <v>6</v>
      </c>
      <c r="H399" s="1">
        <v>30</v>
      </c>
      <c r="I399" s="1" t="s">
        <v>15</v>
      </c>
      <c r="J399" s="2"/>
      <c r="K399" s="1" t="s">
        <v>121</v>
      </c>
      <c r="L399" s="2"/>
    </row>
    <row r="400" spans="1:13" ht="12.75" x14ac:dyDescent="0.2">
      <c r="A400" s="5">
        <v>5577531</v>
      </c>
      <c r="B400" s="6">
        <v>44188</v>
      </c>
      <c r="C400" s="6">
        <v>44188</v>
      </c>
      <c r="D400" s="5" t="s">
        <v>0</v>
      </c>
      <c r="E400" s="5" t="s">
        <v>46</v>
      </c>
      <c r="F400" s="5">
        <v>5</v>
      </c>
      <c r="G400" s="5" t="s">
        <v>1</v>
      </c>
      <c r="H400" s="5">
        <v>27</v>
      </c>
      <c r="I400" s="5" t="s">
        <v>15</v>
      </c>
      <c r="J400" s="6"/>
      <c r="K400" s="5" t="s">
        <v>121</v>
      </c>
      <c r="L400" s="6"/>
      <c r="M400" s="5"/>
    </row>
    <row r="401" spans="1:13" ht="12.75" x14ac:dyDescent="0.2">
      <c r="A401" s="1">
        <v>1131528</v>
      </c>
      <c r="B401" s="2">
        <v>43995</v>
      </c>
      <c r="C401" s="2">
        <v>43996</v>
      </c>
      <c r="D401" s="1" t="s">
        <v>0</v>
      </c>
      <c r="E401" s="1" t="s">
        <v>38</v>
      </c>
      <c r="F401" s="1">
        <v>12</v>
      </c>
      <c r="G401" s="1" t="s">
        <v>6</v>
      </c>
      <c r="H401" s="1">
        <v>54</v>
      </c>
      <c r="I401" s="1" t="s">
        <v>2</v>
      </c>
      <c r="J401" s="2">
        <v>44092</v>
      </c>
      <c r="K401" s="1" t="s">
        <v>121</v>
      </c>
      <c r="L401" s="2"/>
      <c r="M401" s="1" t="s">
        <v>4</v>
      </c>
    </row>
    <row r="402" spans="1:13" ht="12.75" x14ac:dyDescent="0.2">
      <c r="A402" s="5">
        <v>1430432</v>
      </c>
      <c r="B402" s="6">
        <v>44032</v>
      </c>
      <c r="C402" s="6">
        <v>44032</v>
      </c>
      <c r="D402" s="5" t="s">
        <v>0</v>
      </c>
      <c r="E402" s="5" t="s">
        <v>11</v>
      </c>
      <c r="F402" s="5">
        <v>6</v>
      </c>
      <c r="G402" s="5" t="s">
        <v>1</v>
      </c>
      <c r="H402" s="5">
        <v>21</v>
      </c>
      <c r="I402" s="5" t="s">
        <v>15</v>
      </c>
      <c r="J402" s="6"/>
      <c r="K402" s="5" t="s">
        <v>121</v>
      </c>
      <c r="L402" s="6"/>
      <c r="M402" s="5"/>
    </row>
    <row r="403" spans="1:13" ht="12.75" x14ac:dyDescent="0.2">
      <c r="A403" s="1">
        <v>3478630</v>
      </c>
      <c r="B403" s="2">
        <v>44119</v>
      </c>
      <c r="C403" s="2">
        <v>44120</v>
      </c>
      <c r="D403" s="1" t="s">
        <v>5</v>
      </c>
      <c r="E403" s="1" t="s">
        <v>80</v>
      </c>
      <c r="G403" s="1" t="s">
        <v>6</v>
      </c>
      <c r="H403" s="1">
        <v>18</v>
      </c>
      <c r="I403" s="1" t="s">
        <v>15</v>
      </c>
      <c r="J403" s="2"/>
      <c r="K403" s="1" t="s">
        <v>121</v>
      </c>
      <c r="L403" s="2"/>
    </row>
    <row r="404" spans="1:13" ht="12.75" x14ac:dyDescent="0.2">
      <c r="A404" s="5">
        <v>2672465</v>
      </c>
      <c r="B404" s="6">
        <v>44089</v>
      </c>
      <c r="C404" s="6">
        <v>44091</v>
      </c>
      <c r="D404" s="5" t="s">
        <v>0</v>
      </c>
      <c r="E404" s="5" t="s">
        <v>46</v>
      </c>
      <c r="F404" s="5">
        <v>5</v>
      </c>
      <c r="G404" s="5" t="s">
        <v>1</v>
      </c>
      <c r="H404" s="5">
        <v>15</v>
      </c>
      <c r="I404" s="5" t="s">
        <v>15</v>
      </c>
      <c r="J404" s="6"/>
      <c r="K404" s="5" t="s">
        <v>121</v>
      </c>
      <c r="L404" s="6"/>
      <c r="M404" s="5"/>
    </row>
    <row r="405" spans="1:13" ht="12.75" x14ac:dyDescent="0.2">
      <c r="A405" s="1">
        <v>5196138</v>
      </c>
      <c r="B405" s="2">
        <v>44174</v>
      </c>
      <c r="C405" s="2">
        <v>44178</v>
      </c>
      <c r="D405" s="1" t="s">
        <v>0</v>
      </c>
      <c r="E405" s="1" t="s">
        <v>11</v>
      </c>
      <c r="F405" s="1">
        <v>6</v>
      </c>
      <c r="G405" s="1" t="s">
        <v>6</v>
      </c>
      <c r="H405" s="1">
        <v>66</v>
      </c>
      <c r="I405" s="1" t="s">
        <v>15</v>
      </c>
      <c r="J405" s="2"/>
      <c r="K405" s="1" t="s">
        <v>121</v>
      </c>
      <c r="L405" s="2"/>
    </row>
    <row r="406" spans="1:13" ht="12.75" x14ac:dyDescent="0.2">
      <c r="A406" s="5">
        <v>5496472</v>
      </c>
      <c r="B406" s="6">
        <v>44187</v>
      </c>
      <c r="C406" s="6">
        <v>44187</v>
      </c>
      <c r="D406" s="5" t="s">
        <v>0</v>
      </c>
      <c r="E406" s="5" t="s">
        <v>14</v>
      </c>
      <c r="F406" s="5">
        <v>14</v>
      </c>
      <c r="G406" s="5" t="s">
        <v>6</v>
      </c>
      <c r="H406" s="5">
        <v>40</v>
      </c>
      <c r="I406" s="5" t="s">
        <v>15</v>
      </c>
      <c r="J406" s="6"/>
      <c r="K406" s="5" t="s">
        <v>121</v>
      </c>
      <c r="L406" s="6"/>
      <c r="M406" s="5"/>
    </row>
    <row r="407" spans="1:13" ht="12.75" x14ac:dyDescent="0.2">
      <c r="A407" s="1">
        <v>1396935</v>
      </c>
      <c r="B407" s="2">
        <v>44028</v>
      </c>
      <c r="C407" s="2">
        <v>44029</v>
      </c>
      <c r="D407" s="1" t="s">
        <v>0</v>
      </c>
      <c r="E407" s="1" t="s">
        <v>14</v>
      </c>
      <c r="F407" s="1">
        <v>14</v>
      </c>
      <c r="G407" s="1" t="s">
        <v>6</v>
      </c>
      <c r="H407" s="1">
        <v>83</v>
      </c>
      <c r="I407" s="1" t="s">
        <v>15</v>
      </c>
      <c r="J407" s="2"/>
      <c r="K407" s="1" t="s">
        <v>121</v>
      </c>
      <c r="L407" s="2"/>
    </row>
    <row r="408" spans="1:13" ht="12.75" x14ac:dyDescent="0.2">
      <c r="A408" s="5">
        <v>4840485</v>
      </c>
      <c r="B408" s="6">
        <v>44165</v>
      </c>
      <c r="C408" s="6">
        <v>44165</v>
      </c>
      <c r="D408" s="5" t="s">
        <v>0</v>
      </c>
      <c r="E408" s="5" t="s">
        <v>11</v>
      </c>
      <c r="F408" s="5">
        <v>6</v>
      </c>
      <c r="G408" s="5" t="s">
        <v>1</v>
      </c>
      <c r="H408" s="5">
        <v>89</v>
      </c>
      <c r="I408" s="5" t="s">
        <v>15</v>
      </c>
      <c r="J408" s="6"/>
      <c r="K408" s="5" t="s">
        <v>121</v>
      </c>
      <c r="L408" s="6"/>
      <c r="M408" s="5"/>
    </row>
    <row r="409" spans="1:13" ht="12.75" x14ac:dyDescent="0.2">
      <c r="A409" s="1">
        <v>2788661</v>
      </c>
      <c r="B409" s="2">
        <v>44096</v>
      </c>
      <c r="C409" s="2">
        <v>44096</v>
      </c>
      <c r="D409" s="1" t="s">
        <v>5</v>
      </c>
      <c r="E409" s="1" t="s">
        <v>83</v>
      </c>
      <c r="G409" s="1" t="s">
        <v>1</v>
      </c>
      <c r="H409" s="1">
        <v>35</v>
      </c>
      <c r="I409" s="1" t="s">
        <v>21</v>
      </c>
      <c r="J409" s="2"/>
      <c r="K409" s="1" t="s">
        <v>121</v>
      </c>
      <c r="L409" s="2"/>
      <c r="M409" s="5" t="s">
        <v>20</v>
      </c>
    </row>
    <row r="410" spans="1:13" ht="12.75" x14ac:dyDescent="0.2">
      <c r="A410" s="5">
        <v>3196061</v>
      </c>
      <c r="B410" s="6">
        <v>44110</v>
      </c>
      <c r="C410" s="6">
        <v>44110</v>
      </c>
      <c r="D410" s="5" t="s">
        <v>5</v>
      </c>
      <c r="E410" s="5" t="s">
        <v>84</v>
      </c>
      <c r="F410" s="5"/>
      <c r="G410" s="5" t="s">
        <v>6</v>
      </c>
      <c r="H410" s="5">
        <v>39</v>
      </c>
      <c r="I410" s="5" t="s">
        <v>15</v>
      </c>
      <c r="J410" s="6"/>
      <c r="K410" s="5" t="s">
        <v>121</v>
      </c>
      <c r="L410" s="6"/>
      <c r="M410" s="5"/>
    </row>
    <row r="411" spans="1:13" ht="12.75" x14ac:dyDescent="0.2">
      <c r="A411" s="1">
        <v>2030021</v>
      </c>
      <c r="B411" s="2">
        <v>44064</v>
      </c>
      <c r="C411" s="2">
        <v>44064</v>
      </c>
      <c r="D411" s="1" t="s">
        <v>0</v>
      </c>
      <c r="E411" s="1" t="s">
        <v>45</v>
      </c>
      <c r="F411" s="1">
        <v>4</v>
      </c>
      <c r="G411" s="1" t="s">
        <v>6</v>
      </c>
      <c r="H411" s="1">
        <v>45</v>
      </c>
      <c r="I411" s="1" t="s">
        <v>15</v>
      </c>
      <c r="J411" s="2"/>
      <c r="K411" s="1" t="s">
        <v>121</v>
      </c>
      <c r="L411" s="2"/>
    </row>
    <row r="412" spans="1:13" ht="12.75" x14ac:dyDescent="0.2">
      <c r="A412" s="5">
        <v>1838686</v>
      </c>
      <c r="B412" s="6">
        <v>44055</v>
      </c>
      <c r="C412" s="6">
        <v>44062</v>
      </c>
      <c r="D412" s="5" t="s">
        <v>0</v>
      </c>
      <c r="E412" s="5" t="s">
        <v>25</v>
      </c>
      <c r="F412" s="5">
        <v>13</v>
      </c>
      <c r="G412" s="5" t="s">
        <v>1</v>
      </c>
      <c r="H412" s="5">
        <v>92</v>
      </c>
      <c r="I412" s="5" t="s">
        <v>2</v>
      </c>
      <c r="J412" s="6">
        <v>44037</v>
      </c>
      <c r="K412" s="5" t="s">
        <v>121</v>
      </c>
      <c r="L412" s="6"/>
      <c r="M412" s="5" t="s">
        <v>4</v>
      </c>
    </row>
    <row r="413" spans="1:13" ht="12.75" x14ac:dyDescent="0.2">
      <c r="A413" s="1">
        <v>4072645</v>
      </c>
      <c r="B413" s="2">
        <v>44137</v>
      </c>
      <c r="C413" s="2">
        <v>44138</v>
      </c>
      <c r="D413" s="1" t="s">
        <v>0</v>
      </c>
      <c r="E413" s="1" t="s">
        <v>69</v>
      </c>
      <c r="F413" s="1">
        <v>1</v>
      </c>
      <c r="G413" s="1" t="s">
        <v>6</v>
      </c>
      <c r="H413" s="1">
        <v>56</v>
      </c>
      <c r="I413" s="1" t="s">
        <v>2</v>
      </c>
      <c r="J413" s="2"/>
      <c r="K413" s="1" t="s">
        <v>121</v>
      </c>
      <c r="L413" s="2"/>
      <c r="M413" s="1" t="s">
        <v>4</v>
      </c>
    </row>
    <row r="414" spans="1:13" ht="12.75" x14ac:dyDescent="0.2">
      <c r="A414" s="5">
        <v>796935</v>
      </c>
      <c r="B414" s="6">
        <v>43927</v>
      </c>
      <c r="C414" s="6">
        <v>43930</v>
      </c>
      <c r="D414" s="5" t="s">
        <v>5</v>
      </c>
      <c r="E414" s="5" t="s">
        <v>82</v>
      </c>
      <c r="F414" s="5"/>
      <c r="G414" s="5" t="s">
        <v>1</v>
      </c>
      <c r="H414" s="5">
        <v>81</v>
      </c>
      <c r="I414" s="5" t="s">
        <v>15</v>
      </c>
      <c r="J414" s="6"/>
      <c r="K414" s="5" t="s">
        <v>121</v>
      </c>
      <c r="L414" s="6"/>
      <c r="M414" s="5"/>
    </row>
    <row r="415" spans="1:13" ht="12.75" x14ac:dyDescent="0.2">
      <c r="A415" s="1">
        <v>1571576</v>
      </c>
      <c r="B415" s="2">
        <v>44040</v>
      </c>
      <c r="C415" s="2">
        <v>44041</v>
      </c>
      <c r="D415" s="1" t="s">
        <v>0</v>
      </c>
      <c r="E415" s="1" t="s">
        <v>13</v>
      </c>
      <c r="F415" s="1">
        <v>2</v>
      </c>
      <c r="G415" s="1" t="s">
        <v>6</v>
      </c>
      <c r="H415" s="1">
        <v>37</v>
      </c>
      <c r="I415" s="1" t="s">
        <v>2</v>
      </c>
      <c r="J415" s="2">
        <v>43979</v>
      </c>
      <c r="K415" s="1" t="s">
        <v>121</v>
      </c>
      <c r="L415" s="2"/>
      <c r="M415" s="1" t="s">
        <v>4</v>
      </c>
    </row>
    <row r="416" spans="1:13" ht="12.75" x14ac:dyDescent="0.2">
      <c r="A416" s="5">
        <v>4676913</v>
      </c>
      <c r="B416" s="6">
        <v>44157</v>
      </c>
      <c r="C416" s="6">
        <v>44157</v>
      </c>
      <c r="D416" s="5" t="s">
        <v>5</v>
      </c>
      <c r="E416" s="5" t="s">
        <v>79</v>
      </c>
      <c r="F416" s="5"/>
      <c r="G416" s="5" t="s">
        <v>1</v>
      </c>
      <c r="H416" s="5">
        <v>31</v>
      </c>
      <c r="I416" s="5" t="s">
        <v>2</v>
      </c>
      <c r="J416" s="6"/>
      <c r="K416" s="5" t="s">
        <v>121</v>
      </c>
      <c r="L416" s="6"/>
      <c r="M416" s="5" t="s">
        <v>4</v>
      </c>
    </row>
    <row r="417" spans="1:13" ht="12.75" x14ac:dyDescent="0.2">
      <c r="A417" s="1">
        <v>5612999</v>
      </c>
      <c r="B417" s="2">
        <v>44191</v>
      </c>
      <c r="C417" s="2">
        <v>44191</v>
      </c>
      <c r="D417" s="1" t="s">
        <v>0</v>
      </c>
      <c r="E417" s="1" t="s">
        <v>40</v>
      </c>
      <c r="F417" s="1">
        <v>1</v>
      </c>
      <c r="G417" s="1" t="s">
        <v>6</v>
      </c>
      <c r="H417" s="1">
        <v>25</v>
      </c>
      <c r="I417" s="1" t="s">
        <v>2</v>
      </c>
      <c r="J417" s="2">
        <v>44021</v>
      </c>
      <c r="K417" s="1" t="s">
        <v>121</v>
      </c>
      <c r="L417" s="2"/>
      <c r="M417" s="1" t="s">
        <v>4</v>
      </c>
    </row>
    <row r="418" spans="1:13" ht="12.75" x14ac:dyDescent="0.2">
      <c r="A418" s="5">
        <v>3519588</v>
      </c>
      <c r="B418" s="6">
        <v>44121</v>
      </c>
      <c r="C418" s="6">
        <v>44123</v>
      </c>
      <c r="D418" s="5" t="s">
        <v>0</v>
      </c>
      <c r="E418" s="5" t="s">
        <v>56</v>
      </c>
      <c r="F418" s="5">
        <v>10</v>
      </c>
      <c r="G418" s="5" t="s">
        <v>1</v>
      </c>
      <c r="H418" s="5">
        <v>23</v>
      </c>
      <c r="I418" s="5" t="s">
        <v>2</v>
      </c>
      <c r="J418" s="6"/>
      <c r="K418" s="5" t="s">
        <v>121</v>
      </c>
      <c r="L418" s="6"/>
      <c r="M418" s="5" t="s">
        <v>4</v>
      </c>
    </row>
    <row r="419" spans="1:13" ht="12.75" x14ac:dyDescent="0.2">
      <c r="A419" s="1">
        <v>1949909</v>
      </c>
      <c r="B419" s="2">
        <v>44055</v>
      </c>
      <c r="C419" s="2">
        <v>44055</v>
      </c>
      <c r="D419" s="1" t="s">
        <v>5</v>
      </c>
      <c r="E419" s="1" t="s">
        <v>81</v>
      </c>
      <c r="G419" s="1" t="s">
        <v>6</v>
      </c>
      <c r="H419" s="1">
        <v>42</v>
      </c>
      <c r="I419" s="1" t="s">
        <v>2</v>
      </c>
      <c r="J419" s="2"/>
      <c r="K419" s="1" t="s">
        <v>121</v>
      </c>
      <c r="L419" s="2"/>
      <c r="M419" s="1" t="s">
        <v>4</v>
      </c>
    </row>
    <row r="420" spans="1:13" ht="12.75" x14ac:dyDescent="0.2">
      <c r="A420" s="5">
        <v>2184262</v>
      </c>
      <c r="B420" s="6">
        <v>44068</v>
      </c>
      <c r="C420" s="6">
        <v>44069</v>
      </c>
      <c r="D420" s="5" t="s">
        <v>5</v>
      </c>
      <c r="E420" s="5" t="s">
        <v>75</v>
      </c>
      <c r="F420" s="5"/>
      <c r="G420" s="5" t="s">
        <v>1</v>
      </c>
      <c r="H420" s="5">
        <v>40</v>
      </c>
      <c r="I420" s="5" t="s">
        <v>2</v>
      </c>
      <c r="J420" s="6">
        <v>44091</v>
      </c>
      <c r="K420" s="5" t="s">
        <v>121</v>
      </c>
      <c r="L420" s="6"/>
      <c r="M420" s="5" t="s">
        <v>4</v>
      </c>
    </row>
    <row r="421" spans="1:13" ht="12.75" x14ac:dyDescent="0.2">
      <c r="A421" s="1">
        <v>2077889</v>
      </c>
      <c r="B421" s="2">
        <v>44050</v>
      </c>
      <c r="C421" s="2">
        <v>44050</v>
      </c>
      <c r="D421" s="1" t="s">
        <v>0</v>
      </c>
      <c r="E421" s="1" t="s">
        <v>8</v>
      </c>
      <c r="F421" s="1">
        <v>7</v>
      </c>
      <c r="G421" s="1" t="s">
        <v>1</v>
      </c>
      <c r="H421" s="1">
        <v>47</v>
      </c>
      <c r="I421" s="1" t="s">
        <v>15</v>
      </c>
      <c r="J421" s="2"/>
      <c r="K421" s="1" t="s">
        <v>121</v>
      </c>
      <c r="L421" s="2"/>
    </row>
    <row r="422" spans="1:13" ht="12.75" x14ac:dyDescent="0.2">
      <c r="A422" s="5">
        <v>4819761</v>
      </c>
      <c r="B422" s="6">
        <v>44163</v>
      </c>
      <c r="C422" s="6">
        <v>44163</v>
      </c>
      <c r="D422" s="5" t="s">
        <v>5</v>
      </c>
      <c r="E422" s="5" t="s">
        <v>77</v>
      </c>
      <c r="F422" s="5"/>
      <c r="G422" s="5" t="s">
        <v>6</v>
      </c>
      <c r="H422" s="5">
        <v>42</v>
      </c>
      <c r="I422" s="5" t="s">
        <v>15</v>
      </c>
      <c r="J422" s="6"/>
      <c r="K422" s="5" t="s">
        <v>121</v>
      </c>
      <c r="L422" s="6"/>
      <c r="M422" s="5"/>
    </row>
    <row r="423" spans="1:13" ht="12.75" x14ac:dyDescent="0.2">
      <c r="A423" s="1">
        <v>5155331</v>
      </c>
      <c r="B423" s="2">
        <v>44175</v>
      </c>
      <c r="C423" s="2">
        <v>44175</v>
      </c>
      <c r="D423" s="1" t="s">
        <v>5</v>
      </c>
      <c r="E423" s="1" t="s">
        <v>78</v>
      </c>
      <c r="G423" s="1" t="s">
        <v>1</v>
      </c>
      <c r="H423" s="1">
        <v>68</v>
      </c>
      <c r="I423" s="1" t="s">
        <v>15</v>
      </c>
      <c r="J423" s="2"/>
      <c r="K423" s="1" t="s">
        <v>121</v>
      </c>
      <c r="L423" s="2"/>
    </row>
    <row r="424" spans="1:13" ht="12.75" x14ac:dyDescent="0.2">
      <c r="A424" s="5">
        <v>3873754</v>
      </c>
      <c r="B424" s="6">
        <v>44131</v>
      </c>
      <c r="C424" s="6">
        <v>44132</v>
      </c>
      <c r="D424" s="5" t="s">
        <v>59</v>
      </c>
      <c r="E424" s="5" t="s">
        <v>105</v>
      </c>
      <c r="F424" s="5"/>
      <c r="G424" s="5" t="s">
        <v>1</v>
      </c>
      <c r="H424" s="5">
        <v>23</v>
      </c>
      <c r="I424" s="5" t="s">
        <v>15</v>
      </c>
      <c r="J424" s="6"/>
      <c r="K424" s="5" t="s">
        <v>121</v>
      </c>
      <c r="L424" s="6"/>
      <c r="M424" s="5"/>
    </row>
    <row r="425" spans="1:13" ht="12.75" x14ac:dyDescent="0.2">
      <c r="A425" s="1">
        <v>1718573</v>
      </c>
      <c r="B425" s="2">
        <v>44049</v>
      </c>
      <c r="C425" s="2">
        <v>44050</v>
      </c>
      <c r="D425" s="1" t="s">
        <v>0</v>
      </c>
      <c r="E425" s="1" t="s">
        <v>80</v>
      </c>
      <c r="F425" s="1">
        <v>1</v>
      </c>
      <c r="G425" s="1" t="s">
        <v>6</v>
      </c>
      <c r="H425" s="1">
        <v>25</v>
      </c>
      <c r="I425" s="1" t="s">
        <v>2</v>
      </c>
      <c r="J425" s="2">
        <v>43927</v>
      </c>
      <c r="K425" s="1" t="s">
        <v>121</v>
      </c>
      <c r="L425" s="2"/>
      <c r="M425" s="1" t="s">
        <v>4</v>
      </c>
    </row>
    <row r="426" spans="1:13" ht="12.75" x14ac:dyDescent="0.2">
      <c r="A426" s="5">
        <v>1801666</v>
      </c>
      <c r="B426" s="6">
        <v>44053</v>
      </c>
      <c r="C426" s="6">
        <v>44053</v>
      </c>
      <c r="D426" s="5" t="s">
        <v>0</v>
      </c>
      <c r="E426" s="5" t="s">
        <v>45</v>
      </c>
      <c r="F426" s="5">
        <v>4</v>
      </c>
      <c r="G426" s="5" t="s">
        <v>1</v>
      </c>
      <c r="H426" s="5">
        <v>76</v>
      </c>
      <c r="I426" s="5" t="s">
        <v>2</v>
      </c>
      <c r="J426" s="6"/>
      <c r="K426" s="5" t="s">
        <v>121</v>
      </c>
      <c r="L426" s="6"/>
      <c r="M426" s="5" t="s">
        <v>4</v>
      </c>
    </row>
    <row r="427" spans="1:13" ht="12.75" x14ac:dyDescent="0.2">
      <c r="A427" s="1">
        <v>1596120</v>
      </c>
      <c r="B427" s="2">
        <v>44037</v>
      </c>
      <c r="C427" s="2">
        <v>44042</v>
      </c>
      <c r="D427" s="1" t="s">
        <v>5</v>
      </c>
      <c r="E427" s="1" t="s">
        <v>82</v>
      </c>
      <c r="G427" s="1" t="s">
        <v>1</v>
      </c>
      <c r="H427" s="1">
        <v>36</v>
      </c>
      <c r="I427" s="1" t="s">
        <v>15</v>
      </c>
      <c r="J427" s="2"/>
      <c r="K427" s="1" t="s">
        <v>121</v>
      </c>
      <c r="L427" s="2"/>
    </row>
    <row r="428" spans="1:13" ht="12.75" x14ac:dyDescent="0.2">
      <c r="A428" s="5">
        <v>1550346</v>
      </c>
      <c r="B428" s="6">
        <v>44039</v>
      </c>
      <c r="C428" s="6">
        <v>44040</v>
      </c>
      <c r="D428" s="5" t="s">
        <v>5</v>
      </c>
      <c r="E428" s="5" t="s">
        <v>80</v>
      </c>
      <c r="F428" s="5"/>
      <c r="G428" s="5" t="s">
        <v>6</v>
      </c>
      <c r="H428" s="5">
        <v>37</v>
      </c>
      <c r="I428" s="5" t="s">
        <v>15</v>
      </c>
      <c r="J428" s="6"/>
      <c r="K428" s="5" t="s">
        <v>121</v>
      </c>
      <c r="L428" s="6"/>
      <c r="M428" s="5"/>
    </row>
    <row r="429" spans="1:13" ht="12.75" x14ac:dyDescent="0.2">
      <c r="A429" s="1">
        <v>3844360</v>
      </c>
      <c r="B429" s="2">
        <v>44130</v>
      </c>
      <c r="C429" s="2">
        <v>44131</v>
      </c>
      <c r="D429" s="1" t="s">
        <v>5</v>
      </c>
      <c r="E429" s="1" t="s">
        <v>82</v>
      </c>
      <c r="G429" s="1" t="s">
        <v>1</v>
      </c>
      <c r="H429" s="1">
        <v>74</v>
      </c>
      <c r="I429" s="1" t="s">
        <v>15</v>
      </c>
      <c r="J429" s="2"/>
      <c r="K429" s="1" t="s">
        <v>121</v>
      </c>
      <c r="L429" s="2"/>
    </row>
    <row r="430" spans="1:13" ht="12.75" x14ac:dyDescent="0.2">
      <c r="A430" s="5">
        <v>1366985</v>
      </c>
      <c r="B430" s="6">
        <v>44026</v>
      </c>
      <c r="C430" s="6">
        <v>44027</v>
      </c>
      <c r="D430" s="5" t="s">
        <v>5</v>
      </c>
      <c r="E430" s="5" t="s">
        <v>75</v>
      </c>
      <c r="F430" s="5"/>
      <c r="G430" s="5" t="s">
        <v>6</v>
      </c>
      <c r="H430" s="5">
        <v>49</v>
      </c>
      <c r="I430" s="5" t="s">
        <v>2</v>
      </c>
      <c r="J430" s="6"/>
      <c r="K430" s="5" t="s">
        <v>121</v>
      </c>
      <c r="L430" s="6"/>
      <c r="M430" s="5" t="s">
        <v>9</v>
      </c>
    </row>
    <row r="431" spans="1:13" ht="12.75" x14ac:dyDescent="0.2">
      <c r="A431" s="1">
        <v>1083872</v>
      </c>
      <c r="B431" s="2">
        <v>43997</v>
      </c>
      <c r="C431" s="2">
        <v>43999</v>
      </c>
      <c r="D431" s="1" t="s">
        <v>0</v>
      </c>
      <c r="E431" s="1" t="s">
        <v>54</v>
      </c>
      <c r="F431" s="1">
        <v>7</v>
      </c>
      <c r="G431" s="1" t="s">
        <v>6</v>
      </c>
      <c r="H431" s="1">
        <v>36</v>
      </c>
      <c r="I431" s="1" t="s">
        <v>2</v>
      </c>
      <c r="J431" s="2"/>
      <c r="K431" s="1" t="s">
        <v>121</v>
      </c>
      <c r="L431" s="2">
        <v>44004</v>
      </c>
      <c r="M431" s="1" t="s">
        <v>4</v>
      </c>
    </row>
    <row r="432" spans="1:13" ht="12.75" x14ac:dyDescent="0.2">
      <c r="A432" s="5">
        <v>2237721</v>
      </c>
      <c r="B432" s="6">
        <v>44073</v>
      </c>
      <c r="C432" s="6">
        <v>44074</v>
      </c>
      <c r="D432" s="5" t="s">
        <v>0</v>
      </c>
      <c r="E432" s="5" t="s">
        <v>48</v>
      </c>
      <c r="F432" s="5">
        <v>10</v>
      </c>
      <c r="G432" s="5" t="s">
        <v>1</v>
      </c>
      <c r="H432" s="5">
        <v>56</v>
      </c>
      <c r="I432" s="5" t="s">
        <v>2</v>
      </c>
      <c r="J432" s="6">
        <v>43925</v>
      </c>
      <c r="K432" s="5" t="s">
        <v>121</v>
      </c>
      <c r="L432" s="6"/>
      <c r="M432" s="5" t="s">
        <v>4</v>
      </c>
    </row>
    <row r="433" spans="1:13" ht="12.75" x14ac:dyDescent="0.2">
      <c r="A433" s="1">
        <v>3998376</v>
      </c>
      <c r="B433" s="2">
        <v>44137</v>
      </c>
      <c r="C433" s="2">
        <v>44137</v>
      </c>
      <c r="D433" s="1" t="s">
        <v>5</v>
      </c>
      <c r="E433" s="1" t="s">
        <v>80</v>
      </c>
      <c r="G433" s="1" t="s">
        <v>6</v>
      </c>
      <c r="H433" s="1">
        <v>56</v>
      </c>
      <c r="I433" s="1" t="s">
        <v>15</v>
      </c>
      <c r="J433" s="2"/>
      <c r="K433" s="1" t="s">
        <v>121</v>
      </c>
      <c r="L433" s="2"/>
    </row>
    <row r="434" spans="1:13" ht="12.75" x14ac:dyDescent="0.2">
      <c r="A434" s="5">
        <v>1831493</v>
      </c>
      <c r="B434" s="6">
        <v>44055</v>
      </c>
      <c r="C434" s="6">
        <v>44055</v>
      </c>
      <c r="D434" s="5" t="s">
        <v>5</v>
      </c>
      <c r="E434" s="5" t="s">
        <v>75</v>
      </c>
      <c r="F434" s="5"/>
      <c r="G434" s="5" t="s">
        <v>6</v>
      </c>
      <c r="H434" s="5">
        <v>46</v>
      </c>
      <c r="I434" s="5" t="s">
        <v>15</v>
      </c>
      <c r="J434" s="6"/>
      <c r="K434" s="5" t="s">
        <v>121</v>
      </c>
      <c r="L434" s="6"/>
      <c r="M434" s="5"/>
    </row>
    <row r="435" spans="1:13" ht="12.75" x14ac:dyDescent="0.2">
      <c r="A435" s="1">
        <v>1583055</v>
      </c>
      <c r="B435" s="2">
        <v>44041</v>
      </c>
      <c r="C435" s="2">
        <v>44042</v>
      </c>
      <c r="D435" s="1" t="s">
        <v>5</v>
      </c>
      <c r="E435" s="1" t="s">
        <v>74</v>
      </c>
      <c r="G435" s="1" t="s">
        <v>1</v>
      </c>
      <c r="H435" s="1">
        <v>41</v>
      </c>
      <c r="I435" s="1" t="s">
        <v>15</v>
      </c>
      <c r="J435" s="2"/>
      <c r="K435" s="1" t="s">
        <v>121</v>
      </c>
      <c r="L435" s="2"/>
    </row>
    <row r="436" spans="1:13" ht="12.75" x14ac:dyDescent="0.2">
      <c r="A436" s="5">
        <v>1455308</v>
      </c>
      <c r="B436" s="6">
        <v>44032</v>
      </c>
      <c r="C436" s="6">
        <v>44033</v>
      </c>
      <c r="D436" s="5" t="s">
        <v>0</v>
      </c>
      <c r="E436" s="5" t="s">
        <v>14</v>
      </c>
      <c r="F436" s="5">
        <v>14</v>
      </c>
      <c r="G436" s="5" t="s">
        <v>1</v>
      </c>
      <c r="H436" s="5">
        <v>68</v>
      </c>
      <c r="I436" s="5" t="s">
        <v>2</v>
      </c>
      <c r="J436" s="6"/>
      <c r="K436" s="5" t="s">
        <v>121</v>
      </c>
      <c r="L436" s="6"/>
      <c r="M436" s="5" t="s">
        <v>4</v>
      </c>
    </row>
    <row r="437" spans="1:13" ht="12.75" x14ac:dyDescent="0.2">
      <c r="A437" s="1">
        <v>2991128</v>
      </c>
      <c r="B437" s="2">
        <v>44103</v>
      </c>
      <c r="C437" s="2">
        <v>44103</v>
      </c>
      <c r="D437" s="1" t="s">
        <v>0</v>
      </c>
      <c r="E437" s="1" t="s">
        <v>44</v>
      </c>
      <c r="F437" s="1">
        <v>9</v>
      </c>
      <c r="G437" s="1" t="s">
        <v>1</v>
      </c>
      <c r="H437" s="1">
        <v>34</v>
      </c>
      <c r="I437" s="1" t="s">
        <v>15</v>
      </c>
      <c r="J437" s="2"/>
      <c r="K437" s="1" t="s">
        <v>121</v>
      </c>
      <c r="L437" s="2"/>
    </row>
    <row r="438" spans="1:13" ht="12.75" x14ac:dyDescent="0.2">
      <c r="A438" s="5">
        <v>5112313</v>
      </c>
      <c r="B438" s="6">
        <v>44175</v>
      </c>
      <c r="C438" s="6">
        <v>44175</v>
      </c>
      <c r="D438" s="5" t="s">
        <v>5</v>
      </c>
      <c r="E438" s="5" t="s">
        <v>95</v>
      </c>
      <c r="F438" s="5"/>
      <c r="G438" s="5" t="s">
        <v>6</v>
      </c>
      <c r="H438" s="5">
        <v>49</v>
      </c>
      <c r="I438" s="5" t="s">
        <v>2</v>
      </c>
      <c r="J438" s="6"/>
      <c r="K438" s="5" t="s">
        <v>121</v>
      </c>
      <c r="L438" s="6"/>
      <c r="M438" s="5" t="s">
        <v>4</v>
      </c>
    </row>
    <row r="439" spans="1:13" ht="12.75" x14ac:dyDescent="0.2">
      <c r="A439" s="1">
        <v>1456790</v>
      </c>
      <c r="B439" s="2">
        <v>44033</v>
      </c>
      <c r="C439" s="2">
        <v>44034</v>
      </c>
      <c r="D439" s="1" t="s">
        <v>0</v>
      </c>
      <c r="E439" s="1" t="s">
        <v>29</v>
      </c>
      <c r="F439" s="1">
        <v>12</v>
      </c>
      <c r="G439" s="1" t="s">
        <v>6</v>
      </c>
      <c r="H439" s="1">
        <v>63</v>
      </c>
      <c r="I439" s="1" t="s">
        <v>15</v>
      </c>
      <c r="J439" s="2"/>
      <c r="K439" s="1" t="s">
        <v>121</v>
      </c>
      <c r="L439" s="2"/>
    </row>
    <row r="440" spans="1:13" ht="12.75" x14ac:dyDescent="0.2">
      <c r="A440" s="5">
        <v>907542</v>
      </c>
      <c r="B440" s="6">
        <v>43962</v>
      </c>
      <c r="C440" s="6">
        <v>44000</v>
      </c>
      <c r="D440" s="5" t="s">
        <v>5</v>
      </c>
      <c r="E440" s="5" t="s">
        <v>102</v>
      </c>
      <c r="F440" s="5"/>
      <c r="G440" s="5" t="s">
        <v>1</v>
      </c>
      <c r="H440" s="5">
        <v>34</v>
      </c>
      <c r="I440" s="5" t="s">
        <v>15</v>
      </c>
      <c r="J440" s="6"/>
      <c r="K440" s="5" t="s">
        <v>121</v>
      </c>
      <c r="L440" s="6"/>
      <c r="M440" s="5"/>
    </row>
    <row r="441" spans="1:13" ht="12.75" x14ac:dyDescent="0.2">
      <c r="A441" s="1">
        <v>3903286</v>
      </c>
      <c r="B441" s="2">
        <v>44132</v>
      </c>
      <c r="C441" s="2">
        <v>44133</v>
      </c>
      <c r="D441" s="1" t="s">
        <v>60</v>
      </c>
      <c r="E441" s="1" t="s">
        <v>106</v>
      </c>
      <c r="G441" s="1" t="s">
        <v>6</v>
      </c>
      <c r="H441" s="1">
        <v>46</v>
      </c>
      <c r="I441" s="1" t="s">
        <v>15</v>
      </c>
      <c r="J441" s="2"/>
      <c r="K441" s="1" t="s">
        <v>121</v>
      </c>
      <c r="L441" s="2"/>
    </row>
    <row r="442" spans="1:13" ht="12.75" x14ac:dyDescent="0.2">
      <c r="A442" s="5">
        <v>1679896</v>
      </c>
      <c r="B442" s="6">
        <v>44046</v>
      </c>
      <c r="C442" s="6">
        <v>44046</v>
      </c>
      <c r="D442" s="5" t="s">
        <v>5</v>
      </c>
      <c r="E442" s="5" t="s">
        <v>85</v>
      </c>
      <c r="F442" s="5"/>
      <c r="G442" s="5" t="s">
        <v>6</v>
      </c>
      <c r="H442" s="5">
        <v>12</v>
      </c>
      <c r="I442" s="5" t="s">
        <v>2</v>
      </c>
      <c r="J442" s="6">
        <v>44034</v>
      </c>
      <c r="K442" s="5" t="s">
        <v>121</v>
      </c>
      <c r="L442" s="6"/>
      <c r="M442" s="5" t="s">
        <v>9</v>
      </c>
    </row>
    <row r="443" spans="1:13" ht="12.75" x14ac:dyDescent="0.2">
      <c r="A443" s="1">
        <v>1649432</v>
      </c>
      <c r="B443" s="2">
        <v>44046</v>
      </c>
      <c r="C443" s="2">
        <v>44046</v>
      </c>
      <c r="D443" s="1" t="s">
        <v>5</v>
      </c>
      <c r="E443" s="1" t="s">
        <v>86</v>
      </c>
      <c r="G443" s="1" t="s">
        <v>1</v>
      </c>
      <c r="H443" s="1">
        <v>49</v>
      </c>
      <c r="I443" s="1" t="s">
        <v>2</v>
      </c>
      <c r="J443" s="2"/>
      <c r="K443" s="1" t="s">
        <v>121</v>
      </c>
      <c r="L443" s="2"/>
      <c r="M443" s="1" t="s">
        <v>22</v>
      </c>
    </row>
    <row r="444" spans="1:13" ht="12.75" x14ac:dyDescent="0.2">
      <c r="A444" s="5">
        <v>4816178</v>
      </c>
      <c r="B444" s="6">
        <v>44162</v>
      </c>
      <c r="C444" s="6">
        <v>44163</v>
      </c>
      <c r="D444" s="5" t="s">
        <v>0</v>
      </c>
      <c r="E444" s="5" t="s">
        <v>13</v>
      </c>
      <c r="F444" s="5">
        <v>2</v>
      </c>
      <c r="G444" s="5" t="s">
        <v>6</v>
      </c>
      <c r="H444" s="5">
        <v>66</v>
      </c>
      <c r="I444" s="5" t="s">
        <v>15</v>
      </c>
      <c r="J444" s="6"/>
      <c r="K444" s="5" t="s">
        <v>121</v>
      </c>
      <c r="L444" s="6"/>
      <c r="M444" s="5"/>
    </row>
    <row r="445" spans="1:13" ht="12.75" x14ac:dyDescent="0.2">
      <c r="A445" s="1">
        <v>1745576</v>
      </c>
      <c r="B445" s="2">
        <v>44048</v>
      </c>
      <c r="C445" s="2">
        <v>44052</v>
      </c>
      <c r="D445" s="1" t="s">
        <v>5</v>
      </c>
      <c r="E445" s="1" t="s">
        <v>99</v>
      </c>
      <c r="G445" s="1" t="s">
        <v>6</v>
      </c>
      <c r="H445" s="1">
        <v>34</v>
      </c>
      <c r="I445" s="1" t="s">
        <v>2</v>
      </c>
      <c r="J445" s="2"/>
      <c r="K445" s="1" t="s">
        <v>121</v>
      </c>
      <c r="L445" s="2"/>
      <c r="M445" s="1" t="s">
        <v>4</v>
      </c>
    </row>
    <row r="446" spans="1:13" ht="12.75" x14ac:dyDescent="0.2">
      <c r="A446" s="5">
        <v>3205514</v>
      </c>
      <c r="B446" s="6">
        <v>44108</v>
      </c>
      <c r="C446" s="6">
        <v>44109</v>
      </c>
      <c r="D446" s="5" t="s">
        <v>5</v>
      </c>
      <c r="E446" s="5" t="s">
        <v>82</v>
      </c>
      <c r="F446" s="5"/>
      <c r="G446" s="5" t="s">
        <v>6</v>
      </c>
      <c r="H446" s="5">
        <v>39</v>
      </c>
      <c r="I446" s="5" t="s">
        <v>2</v>
      </c>
      <c r="J446" s="6">
        <v>44050</v>
      </c>
      <c r="K446" s="5" t="s">
        <v>121</v>
      </c>
      <c r="L446" s="6"/>
      <c r="M446" s="5" t="s">
        <v>4</v>
      </c>
    </row>
    <row r="447" spans="1:13" ht="12.75" x14ac:dyDescent="0.2">
      <c r="A447" s="1">
        <v>1511458</v>
      </c>
      <c r="B447" s="2">
        <v>44036</v>
      </c>
      <c r="C447" s="2">
        <v>44036</v>
      </c>
      <c r="D447" s="1" t="s">
        <v>5</v>
      </c>
      <c r="E447" s="1" t="s">
        <v>76</v>
      </c>
      <c r="G447" s="1" t="s">
        <v>1</v>
      </c>
      <c r="H447" s="1">
        <v>12</v>
      </c>
      <c r="I447" s="1" t="s">
        <v>15</v>
      </c>
      <c r="J447" s="2"/>
      <c r="K447" s="1" t="s">
        <v>121</v>
      </c>
      <c r="L447" s="2"/>
    </row>
    <row r="448" spans="1:13" ht="12.75" x14ac:dyDescent="0.2">
      <c r="A448" s="5">
        <v>4853106</v>
      </c>
      <c r="B448" s="6">
        <v>44166</v>
      </c>
      <c r="C448" s="6">
        <v>44166</v>
      </c>
      <c r="D448" s="5" t="s">
        <v>0</v>
      </c>
      <c r="E448" s="5" t="s">
        <v>10</v>
      </c>
      <c r="F448" s="5">
        <v>5</v>
      </c>
      <c r="G448" s="5" t="s">
        <v>1</v>
      </c>
      <c r="H448" s="5">
        <v>37</v>
      </c>
      <c r="I448" s="5" t="s">
        <v>2</v>
      </c>
      <c r="J448" s="6"/>
      <c r="K448" s="5" t="s">
        <v>121</v>
      </c>
      <c r="L448" s="6"/>
      <c r="M448" s="5" t="s">
        <v>4</v>
      </c>
    </row>
    <row r="449" spans="1:13" ht="12.75" x14ac:dyDescent="0.2">
      <c r="A449" s="1">
        <v>1907041</v>
      </c>
      <c r="B449" s="2">
        <v>44058</v>
      </c>
      <c r="C449" s="2">
        <v>44058</v>
      </c>
      <c r="D449" s="1" t="s">
        <v>5</v>
      </c>
      <c r="E449" s="1" t="s">
        <v>82</v>
      </c>
      <c r="G449" s="1" t="s">
        <v>6</v>
      </c>
      <c r="H449" s="1">
        <v>66</v>
      </c>
      <c r="I449" s="1" t="s">
        <v>2</v>
      </c>
      <c r="J449" s="2"/>
      <c r="K449" s="1" t="s">
        <v>121</v>
      </c>
      <c r="L449" s="2">
        <v>44068</v>
      </c>
      <c r="M449" s="1" t="s">
        <v>4</v>
      </c>
    </row>
    <row r="450" spans="1:13" ht="12.75" x14ac:dyDescent="0.2">
      <c r="A450" s="5">
        <v>2853867</v>
      </c>
      <c r="B450" s="6">
        <v>44097</v>
      </c>
      <c r="C450" s="6">
        <v>44098</v>
      </c>
      <c r="D450" s="5" t="s">
        <v>5</v>
      </c>
      <c r="E450" s="5" t="s">
        <v>76</v>
      </c>
      <c r="F450" s="5"/>
      <c r="G450" s="5" t="s">
        <v>1</v>
      </c>
      <c r="H450" s="5">
        <v>36</v>
      </c>
      <c r="I450" s="5" t="s">
        <v>15</v>
      </c>
      <c r="J450" s="6"/>
      <c r="K450" s="5" t="s">
        <v>121</v>
      </c>
      <c r="L450" s="6"/>
      <c r="M450" s="5"/>
    </row>
    <row r="451" spans="1:13" ht="12.75" x14ac:dyDescent="0.2">
      <c r="A451" s="1">
        <v>877571</v>
      </c>
      <c r="B451" s="2">
        <v>43953</v>
      </c>
      <c r="C451" s="2">
        <v>43953</v>
      </c>
      <c r="D451" s="1" t="s">
        <v>5</v>
      </c>
      <c r="E451" s="1" t="s">
        <v>75</v>
      </c>
      <c r="G451" s="1" t="s">
        <v>1</v>
      </c>
      <c r="H451" s="1">
        <v>101</v>
      </c>
      <c r="I451" s="1" t="s">
        <v>15</v>
      </c>
      <c r="J451" s="2"/>
      <c r="K451" s="1" t="s">
        <v>121</v>
      </c>
      <c r="L451" s="2"/>
    </row>
    <row r="452" spans="1:13" ht="12.75" x14ac:dyDescent="0.2">
      <c r="A452" s="5">
        <v>2182447</v>
      </c>
      <c r="B452" s="6">
        <v>44071</v>
      </c>
      <c r="C452" s="6">
        <v>44071</v>
      </c>
      <c r="D452" s="5" t="s">
        <v>5</v>
      </c>
      <c r="E452" s="5" t="s">
        <v>97</v>
      </c>
      <c r="F452" s="5"/>
      <c r="G452" s="5" t="s">
        <v>6</v>
      </c>
      <c r="H452" s="5">
        <v>60</v>
      </c>
      <c r="I452" s="5" t="s">
        <v>2</v>
      </c>
      <c r="J452" s="6"/>
      <c r="K452" s="5" t="s">
        <v>121</v>
      </c>
      <c r="L452" s="6"/>
      <c r="M452" s="5" t="s">
        <v>4</v>
      </c>
    </row>
    <row r="453" spans="1:13" ht="12.75" x14ac:dyDescent="0.2">
      <c r="A453" s="1">
        <v>2041024</v>
      </c>
      <c r="B453" s="2">
        <v>44065</v>
      </c>
      <c r="C453" s="2">
        <v>44065</v>
      </c>
      <c r="D453" s="1" t="s">
        <v>0</v>
      </c>
      <c r="E453" s="1" t="s">
        <v>41</v>
      </c>
      <c r="F453" s="1">
        <v>4</v>
      </c>
      <c r="G453" s="1" t="s">
        <v>6</v>
      </c>
      <c r="H453" s="1">
        <v>55</v>
      </c>
      <c r="I453" s="1" t="s">
        <v>2</v>
      </c>
      <c r="J453" s="2"/>
      <c r="K453" s="1" t="s">
        <v>121</v>
      </c>
      <c r="L453" s="2"/>
      <c r="M453" s="1" t="s">
        <v>4</v>
      </c>
    </row>
    <row r="454" spans="1:13" ht="12.75" x14ac:dyDescent="0.2">
      <c r="A454" s="5">
        <v>5605465</v>
      </c>
      <c r="B454" s="6">
        <v>44190</v>
      </c>
      <c r="C454" s="6">
        <v>44190</v>
      </c>
      <c r="D454" s="5" t="s">
        <v>0</v>
      </c>
      <c r="E454" s="5" t="s">
        <v>50</v>
      </c>
      <c r="F454" s="5">
        <v>1</v>
      </c>
      <c r="G454" s="5" t="s">
        <v>1</v>
      </c>
      <c r="H454" s="5">
        <v>83</v>
      </c>
      <c r="I454" s="5" t="s">
        <v>15</v>
      </c>
      <c r="J454" s="6"/>
      <c r="K454" s="5" t="s">
        <v>121</v>
      </c>
      <c r="L454" s="6"/>
      <c r="M454" s="5"/>
    </row>
    <row r="455" spans="1:13" ht="12.75" x14ac:dyDescent="0.2">
      <c r="A455" s="1">
        <v>2604022</v>
      </c>
      <c r="B455" s="2">
        <v>44088</v>
      </c>
      <c r="C455" s="2">
        <v>44089</v>
      </c>
      <c r="D455" s="1" t="s">
        <v>0</v>
      </c>
      <c r="E455" s="1" t="s">
        <v>61</v>
      </c>
      <c r="F455" s="1">
        <v>12</v>
      </c>
      <c r="G455" s="1" t="s">
        <v>1</v>
      </c>
      <c r="H455" s="1">
        <v>43</v>
      </c>
      <c r="I455" s="1" t="s">
        <v>2</v>
      </c>
      <c r="J455" s="2"/>
      <c r="K455" s="1" t="s">
        <v>121</v>
      </c>
      <c r="L455" s="2"/>
      <c r="M455" s="1" t="s">
        <v>4</v>
      </c>
    </row>
    <row r="456" spans="1:13" ht="12.75" x14ac:dyDescent="0.2">
      <c r="A456" s="5">
        <v>5413193</v>
      </c>
      <c r="B456" s="6">
        <v>44025</v>
      </c>
      <c r="C456" s="6">
        <v>44025</v>
      </c>
      <c r="D456" s="5" t="s">
        <v>0</v>
      </c>
      <c r="E456" s="5" t="s">
        <v>33</v>
      </c>
      <c r="F456" s="5">
        <v>13</v>
      </c>
      <c r="G456" s="5" t="s">
        <v>1</v>
      </c>
      <c r="H456" s="5">
        <v>27</v>
      </c>
      <c r="I456" s="5" t="s">
        <v>15</v>
      </c>
      <c r="J456" s="6"/>
      <c r="K456" s="5" t="s">
        <v>121</v>
      </c>
      <c r="L456" s="6"/>
      <c r="M456" s="5"/>
    </row>
    <row r="457" spans="1:13" ht="12.75" x14ac:dyDescent="0.2">
      <c r="A457" s="1">
        <v>5652868</v>
      </c>
      <c r="B457" s="2">
        <v>44193</v>
      </c>
      <c r="C457" s="2">
        <v>44194</v>
      </c>
      <c r="D457" s="1" t="s">
        <v>5</v>
      </c>
      <c r="E457" s="1" t="s">
        <v>75</v>
      </c>
      <c r="G457" s="1" t="s">
        <v>6</v>
      </c>
      <c r="H457" s="1">
        <v>62</v>
      </c>
      <c r="I457" s="1" t="s">
        <v>15</v>
      </c>
      <c r="J457" s="2"/>
      <c r="K457" s="1" t="s">
        <v>121</v>
      </c>
      <c r="L457" s="2"/>
    </row>
    <row r="458" spans="1:13" ht="12.75" x14ac:dyDescent="0.2">
      <c r="A458" s="5">
        <v>5688299</v>
      </c>
      <c r="B458" s="6">
        <v>44193</v>
      </c>
      <c r="C458" s="6">
        <v>44193</v>
      </c>
      <c r="D458" s="5" t="s">
        <v>5</v>
      </c>
      <c r="E458" s="5" t="s">
        <v>76</v>
      </c>
      <c r="F458" s="5"/>
      <c r="G458" s="5" t="s">
        <v>6</v>
      </c>
      <c r="H458" s="5">
        <v>40</v>
      </c>
      <c r="I458" s="5" t="s">
        <v>15</v>
      </c>
      <c r="J458" s="6"/>
      <c r="K458" s="5" t="s">
        <v>121</v>
      </c>
      <c r="L458" s="6"/>
      <c r="M458" s="5"/>
    </row>
    <row r="459" spans="1:13" ht="12.75" x14ac:dyDescent="0.2">
      <c r="A459" s="1">
        <v>3741517</v>
      </c>
      <c r="B459" s="2">
        <v>44125</v>
      </c>
      <c r="C459" s="2">
        <v>44126</v>
      </c>
      <c r="D459" s="1" t="s">
        <v>5</v>
      </c>
      <c r="E459" s="1" t="s">
        <v>77</v>
      </c>
      <c r="G459" s="1" t="s">
        <v>1</v>
      </c>
      <c r="H459" s="1">
        <v>60</v>
      </c>
      <c r="I459" s="1" t="s">
        <v>15</v>
      </c>
      <c r="J459" s="2"/>
      <c r="K459" s="1" t="s">
        <v>121</v>
      </c>
      <c r="L459" s="2"/>
    </row>
    <row r="460" spans="1:13" ht="12.75" x14ac:dyDescent="0.2">
      <c r="A460" s="5">
        <v>1949652</v>
      </c>
      <c r="B460" s="6">
        <v>44063</v>
      </c>
      <c r="C460" s="6">
        <v>44064</v>
      </c>
      <c r="D460" s="5" t="s">
        <v>5</v>
      </c>
      <c r="E460" s="5" t="s">
        <v>78</v>
      </c>
      <c r="F460" s="5"/>
      <c r="G460" s="5" t="s">
        <v>6</v>
      </c>
      <c r="H460" s="5">
        <v>28</v>
      </c>
      <c r="I460" s="5" t="s">
        <v>15</v>
      </c>
      <c r="J460" s="6"/>
      <c r="K460" s="5" t="s">
        <v>121</v>
      </c>
      <c r="L460" s="6"/>
      <c r="M460" s="5"/>
    </row>
    <row r="461" spans="1:13" ht="12.75" x14ac:dyDescent="0.2">
      <c r="A461" s="1">
        <v>5435589</v>
      </c>
      <c r="B461" s="2">
        <v>44183</v>
      </c>
      <c r="C461" s="2">
        <v>44185</v>
      </c>
      <c r="D461" s="1" t="s">
        <v>5</v>
      </c>
      <c r="E461" s="1" t="s">
        <v>79</v>
      </c>
      <c r="G461" s="1" t="s">
        <v>1</v>
      </c>
      <c r="H461" s="1">
        <v>52</v>
      </c>
      <c r="I461" s="1" t="s">
        <v>15</v>
      </c>
      <c r="J461" s="2"/>
      <c r="K461" s="1" t="s">
        <v>121</v>
      </c>
      <c r="L461" s="2"/>
    </row>
    <row r="462" spans="1:13" ht="12.75" x14ac:dyDescent="0.2">
      <c r="A462" s="5">
        <v>4169419</v>
      </c>
      <c r="B462" s="6">
        <v>44141</v>
      </c>
      <c r="C462" s="6">
        <v>44142</v>
      </c>
      <c r="D462" s="5" t="s">
        <v>0</v>
      </c>
      <c r="E462" s="5" t="s">
        <v>80</v>
      </c>
      <c r="F462" s="5">
        <v>9</v>
      </c>
      <c r="G462" s="5" t="s">
        <v>1</v>
      </c>
      <c r="H462" s="5">
        <v>32</v>
      </c>
      <c r="I462" s="5" t="s">
        <v>2</v>
      </c>
      <c r="J462" s="6">
        <v>44011</v>
      </c>
      <c r="K462" s="5" t="s">
        <v>121</v>
      </c>
      <c r="L462" s="6"/>
      <c r="M462" s="5" t="s">
        <v>4</v>
      </c>
    </row>
    <row r="463" spans="1:13" ht="12.75" x14ac:dyDescent="0.2">
      <c r="A463" s="1">
        <v>2598988</v>
      </c>
      <c r="B463" s="2">
        <v>44087</v>
      </c>
      <c r="C463" s="2">
        <v>44159</v>
      </c>
      <c r="D463" s="1" t="s">
        <v>5</v>
      </c>
      <c r="E463" s="1" t="s">
        <v>81</v>
      </c>
      <c r="G463" s="1" t="s">
        <v>6</v>
      </c>
      <c r="H463" s="1">
        <v>92</v>
      </c>
      <c r="I463" s="1" t="s">
        <v>2</v>
      </c>
      <c r="J463" s="2"/>
      <c r="K463" s="1" t="s">
        <v>121</v>
      </c>
      <c r="L463" s="2">
        <v>44102</v>
      </c>
      <c r="M463" s="1" t="s">
        <v>4</v>
      </c>
    </row>
    <row r="464" spans="1:13" ht="12.75" x14ac:dyDescent="0.2">
      <c r="A464" s="5">
        <v>3133013</v>
      </c>
      <c r="B464" s="6">
        <v>44108</v>
      </c>
      <c r="C464" s="6">
        <v>44108</v>
      </c>
      <c r="D464" s="5" t="s">
        <v>0</v>
      </c>
      <c r="E464" s="5" t="s">
        <v>29</v>
      </c>
      <c r="F464" s="5">
        <v>12</v>
      </c>
      <c r="G464" s="5" t="s">
        <v>1</v>
      </c>
      <c r="H464" s="5">
        <v>87</v>
      </c>
      <c r="I464" s="5" t="s">
        <v>15</v>
      </c>
      <c r="J464" s="6"/>
      <c r="K464" s="5" t="s">
        <v>121</v>
      </c>
      <c r="L464" s="6"/>
      <c r="M464" s="5"/>
    </row>
    <row r="465" spans="1:13" ht="12.75" x14ac:dyDescent="0.2">
      <c r="A465" s="1">
        <v>5508344</v>
      </c>
      <c r="B465" s="2">
        <v>44187</v>
      </c>
      <c r="C465" s="2">
        <v>44187</v>
      </c>
      <c r="D465" s="1" t="s">
        <v>0</v>
      </c>
      <c r="E465" s="1" t="s">
        <v>11</v>
      </c>
      <c r="F465" s="1">
        <v>6</v>
      </c>
      <c r="G465" s="1" t="s">
        <v>1</v>
      </c>
      <c r="H465" s="1">
        <v>53</v>
      </c>
      <c r="I465" s="1" t="s">
        <v>15</v>
      </c>
      <c r="J465" s="2"/>
      <c r="K465" s="1" t="s">
        <v>121</v>
      </c>
      <c r="L465" s="2"/>
    </row>
    <row r="466" spans="1:13" ht="12.75" x14ac:dyDescent="0.2">
      <c r="A466" s="5">
        <v>5149828</v>
      </c>
      <c r="B466" s="6">
        <v>44176</v>
      </c>
      <c r="C466" s="6">
        <v>44176</v>
      </c>
      <c r="D466" s="5" t="s">
        <v>5</v>
      </c>
      <c r="E466" s="5" t="s">
        <v>91</v>
      </c>
      <c r="F466" s="5"/>
      <c r="G466" s="5" t="s">
        <v>6</v>
      </c>
      <c r="H466" s="5">
        <v>27</v>
      </c>
      <c r="I466" s="5" t="s">
        <v>15</v>
      </c>
      <c r="J466" s="6"/>
      <c r="K466" s="5" t="s">
        <v>121</v>
      </c>
      <c r="L466" s="6"/>
      <c r="M466" s="5"/>
    </row>
    <row r="467" spans="1:13" ht="12.75" x14ac:dyDescent="0.2">
      <c r="A467" s="1">
        <v>3568688</v>
      </c>
      <c r="B467" s="2">
        <v>44123</v>
      </c>
      <c r="C467" s="2">
        <v>44123</v>
      </c>
      <c r="D467" s="1" t="s">
        <v>5</v>
      </c>
      <c r="E467" s="1" t="s">
        <v>88</v>
      </c>
      <c r="G467" s="1" t="s">
        <v>6</v>
      </c>
      <c r="H467" s="1">
        <v>57</v>
      </c>
      <c r="I467" s="1" t="s">
        <v>21</v>
      </c>
      <c r="J467" s="2"/>
      <c r="K467" s="1" t="s">
        <v>121</v>
      </c>
      <c r="L467" s="2"/>
      <c r="M467" s="5" t="s">
        <v>20</v>
      </c>
    </row>
    <row r="468" spans="1:13" ht="12.75" x14ac:dyDescent="0.2">
      <c r="A468" s="5">
        <v>4597814</v>
      </c>
      <c r="B468" s="6">
        <v>44154</v>
      </c>
      <c r="C468" s="6">
        <v>44155</v>
      </c>
      <c r="D468" s="5" t="s">
        <v>62</v>
      </c>
      <c r="E468" s="5" t="s">
        <v>107</v>
      </c>
      <c r="F468" s="5"/>
      <c r="G468" s="5" t="s">
        <v>1</v>
      </c>
      <c r="H468" s="5">
        <v>60</v>
      </c>
      <c r="I468" s="5" t="s">
        <v>15</v>
      </c>
      <c r="J468" s="6"/>
      <c r="K468" s="5" t="s">
        <v>121</v>
      </c>
      <c r="L468" s="6"/>
      <c r="M468" s="5"/>
    </row>
    <row r="469" spans="1:13" ht="12.75" x14ac:dyDescent="0.2">
      <c r="A469" s="1">
        <v>4596329</v>
      </c>
      <c r="B469" s="2">
        <v>44151</v>
      </c>
      <c r="C469" s="2">
        <v>44151</v>
      </c>
      <c r="D469" s="1" t="s">
        <v>5</v>
      </c>
      <c r="E469" s="1" t="s">
        <v>83</v>
      </c>
      <c r="G469" s="1" t="s">
        <v>1</v>
      </c>
      <c r="H469" s="1">
        <v>28</v>
      </c>
      <c r="I469" s="1" t="s">
        <v>15</v>
      </c>
      <c r="J469" s="2"/>
      <c r="K469" s="1" t="s">
        <v>121</v>
      </c>
      <c r="L469" s="2"/>
    </row>
    <row r="470" spans="1:13" ht="12.75" x14ac:dyDescent="0.2">
      <c r="A470" s="5">
        <v>889416</v>
      </c>
      <c r="B470" s="6">
        <v>44061</v>
      </c>
      <c r="C470" s="6">
        <v>44061</v>
      </c>
      <c r="D470" s="5" t="s">
        <v>5</v>
      </c>
      <c r="E470" s="5" t="s">
        <v>84</v>
      </c>
      <c r="F470" s="5"/>
      <c r="G470" s="5" t="s">
        <v>1</v>
      </c>
      <c r="H470" s="5">
        <v>35</v>
      </c>
      <c r="I470" s="5" t="s">
        <v>2</v>
      </c>
      <c r="J470" s="6"/>
      <c r="K470" s="5" t="s">
        <v>121</v>
      </c>
      <c r="L470" s="6"/>
      <c r="M470" s="5" t="s">
        <v>4</v>
      </c>
    </row>
    <row r="471" spans="1:13" ht="12.75" x14ac:dyDescent="0.2">
      <c r="A471" s="1">
        <v>1690919</v>
      </c>
      <c r="B471" s="2">
        <v>44050</v>
      </c>
      <c r="C471" s="2">
        <v>44051</v>
      </c>
      <c r="D471" s="1" t="s">
        <v>5</v>
      </c>
      <c r="E471" s="1" t="s">
        <v>85</v>
      </c>
      <c r="G471" s="1" t="s">
        <v>1</v>
      </c>
      <c r="H471" s="1">
        <v>26</v>
      </c>
      <c r="I471" s="1" t="s">
        <v>2</v>
      </c>
      <c r="J471" s="2"/>
      <c r="K471" s="1" t="s">
        <v>121</v>
      </c>
      <c r="L471" s="2"/>
      <c r="M471" s="1" t="s">
        <v>4</v>
      </c>
    </row>
    <row r="472" spans="1:13" ht="12.75" x14ac:dyDescent="0.2">
      <c r="A472" s="5">
        <v>1847734</v>
      </c>
      <c r="B472" s="6">
        <v>44072</v>
      </c>
      <c r="C472" s="6">
        <v>44072</v>
      </c>
      <c r="D472" s="5" t="s">
        <v>0</v>
      </c>
      <c r="E472" s="5" t="s">
        <v>18</v>
      </c>
      <c r="F472" s="5">
        <v>8</v>
      </c>
      <c r="G472" s="5" t="s">
        <v>6</v>
      </c>
      <c r="H472" s="5">
        <v>71</v>
      </c>
      <c r="I472" s="5" t="s">
        <v>2</v>
      </c>
      <c r="J472" s="6"/>
      <c r="K472" s="5" t="s">
        <v>121</v>
      </c>
      <c r="L472" s="6"/>
      <c r="M472" s="5" t="s">
        <v>20</v>
      </c>
    </row>
    <row r="473" spans="1:13" ht="12.75" x14ac:dyDescent="0.2">
      <c r="A473" s="1">
        <v>1664705</v>
      </c>
      <c r="B473" s="2">
        <v>44000</v>
      </c>
      <c r="C473" s="2">
        <v>44000</v>
      </c>
      <c r="D473" s="1" t="s">
        <v>0</v>
      </c>
      <c r="E473" s="1" t="s">
        <v>17</v>
      </c>
      <c r="F473" s="1">
        <v>1</v>
      </c>
      <c r="G473" s="1" t="s">
        <v>6</v>
      </c>
      <c r="H473" s="1">
        <v>13</v>
      </c>
      <c r="I473" s="1" t="s">
        <v>15</v>
      </c>
      <c r="J473" s="2"/>
      <c r="K473" s="1" t="s">
        <v>121</v>
      </c>
      <c r="L473" s="2"/>
    </row>
    <row r="474" spans="1:13" ht="12.75" x14ac:dyDescent="0.2">
      <c r="A474" s="5">
        <v>3507513</v>
      </c>
      <c r="B474" s="6">
        <v>44109</v>
      </c>
      <c r="C474" s="6">
        <v>44109</v>
      </c>
      <c r="D474" s="5" t="s">
        <v>5</v>
      </c>
      <c r="E474" s="5" t="s">
        <v>95</v>
      </c>
      <c r="F474" s="5"/>
      <c r="G474" s="5" t="s">
        <v>6</v>
      </c>
      <c r="H474" s="5">
        <v>47</v>
      </c>
      <c r="I474" s="5" t="s">
        <v>15</v>
      </c>
      <c r="J474" s="6"/>
      <c r="K474" s="5" t="s">
        <v>121</v>
      </c>
      <c r="L474" s="6"/>
      <c r="M474" s="5"/>
    </row>
    <row r="475" spans="1:13" ht="12.75" x14ac:dyDescent="0.2">
      <c r="A475" s="1">
        <v>2225298</v>
      </c>
      <c r="B475" s="2">
        <v>44079</v>
      </c>
      <c r="C475" s="2">
        <v>44080</v>
      </c>
      <c r="D475" s="1" t="s">
        <v>0</v>
      </c>
      <c r="E475" s="1" t="s">
        <v>13</v>
      </c>
      <c r="F475" s="1">
        <v>2</v>
      </c>
      <c r="G475" s="1" t="s">
        <v>6</v>
      </c>
      <c r="H475" s="1">
        <v>60</v>
      </c>
      <c r="I475" s="1" t="s">
        <v>2</v>
      </c>
      <c r="J475" s="2"/>
      <c r="K475" s="1" t="s">
        <v>121</v>
      </c>
      <c r="L475" s="2"/>
      <c r="M475" s="1" t="s">
        <v>4</v>
      </c>
    </row>
    <row r="476" spans="1:13" ht="12.75" x14ac:dyDescent="0.2">
      <c r="A476" s="5">
        <v>1422222</v>
      </c>
      <c r="B476" s="6">
        <v>44031</v>
      </c>
      <c r="C476" s="6">
        <v>44033</v>
      </c>
      <c r="D476" s="5" t="s">
        <v>0</v>
      </c>
      <c r="E476" s="5" t="s">
        <v>7</v>
      </c>
      <c r="F476" s="5">
        <v>3</v>
      </c>
      <c r="G476" s="5" t="s">
        <v>6</v>
      </c>
      <c r="H476" s="5">
        <v>44</v>
      </c>
      <c r="I476" s="5" t="s">
        <v>2</v>
      </c>
      <c r="J476" s="6"/>
      <c r="K476" s="5" t="s">
        <v>121</v>
      </c>
      <c r="L476" s="6"/>
      <c r="M476" s="5" t="s">
        <v>4</v>
      </c>
    </row>
    <row r="477" spans="1:13" ht="12.75" x14ac:dyDescent="0.2">
      <c r="A477" s="1">
        <v>2346711</v>
      </c>
      <c r="B477" s="2">
        <v>44077</v>
      </c>
      <c r="C477" s="2">
        <v>44079</v>
      </c>
      <c r="D477" s="1" t="s">
        <v>5</v>
      </c>
      <c r="E477" s="1" t="s">
        <v>91</v>
      </c>
      <c r="G477" s="1" t="s">
        <v>1</v>
      </c>
      <c r="H477" s="1">
        <v>47</v>
      </c>
      <c r="I477" s="1" t="s">
        <v>2</v>
      </c>
      <c r="J477" s="2"/>
      <c r="K477" s="1" t="s">
        <v>121</v>
      </c>
      <c r="L477" s="2"/>
      <c r="M477" s="1" t="s">
        <v>4</v>
      </c>
    </row>
    <row r="478" spans="1:13" ht="12.75" x14ac:dyDescent="0.2">
      <c r="A478" s="5">
        <v>3857489</v>
      </c>
      <c r="B478" s="6">
        <v>43968</v>
      </c>
      <c r="C478" s="6">
        <v>43968</v>
      </c>
      <c r="D478" s="5" t="s">
        <v>63</v>
      </c>
      <c r="E478" s="5" t="s">
        <v>108</v>
      </c>
      <c r="F478" s="5"/>
      <c r="G478" s="5" t="s">
        <v>1</v>
      </c>
      <c r="H478" s="5">
        <v>25</v>
      </c>
      <c r="I478" s="5" t="s">
        <v>15</v>
      </c>
      <c r="J478" s="6"/>
      <c r="K478" s="5" t="s">
        <v>121</v>
      </c>
      <c r="L478" s="6"/>
      <c r="M478" s="5"/>
    </row>
    <row r="479" spans="1:13" ht="12.75" x14ac:dyDescent="0.2">
      <c r="A479" s="1">
        <v>2228679</v>
      </c>
      <c r="B479" s="2">
        <v>44073</v>
      </c>
      <c r="C479" s="2">
        <v>44073</v>
      </c>
      <c r="D479" s="1" t="s">
        <v>0</v>
      </c>
      <c r="E479" s="1" t="s">
        <v>45</v>
      </c>
      <c r="F479" s="1">
        <v>4</v>
      </c>
      <c r="G479" s="1" t="s">
        <v>6</v>
      </c>
      <c r="H479" s="1">
        <v>52</v>
      </c>
      <c r="I479" s="1" t="s">
        <v>15</v>
      </c>
      <c r="J479" s="2"/>
      <c r="K479" s="1" t="s">
        <v>121</v>
      </c>
      <c r="L479" s="2"/>
    </row>
    <row r="480" spans="1:13" ht="12.75" x14ac:dyDescent="0.2">
      <c r="A480" s="5">
        <v>2046232</v>
      </c>
      <c r="B480" s="6">
        <v>44065</v>
      </c>
      <c r="C480" s="6">
        <v>44067</v>
      </c>
      <c r="D480" s="5" t="s">
        <v>5</v>
      </c>
      <c r="E480" s="5" t="s">
        <v>85</v>
      </c>
      <c r="F480" s="5"/>
      <c r="G480" s="5" t="s">
        <v>6</v>
      </c>
      <c r="H480" s="5">
        <v>42</v>
      </c>
      <c r="I480" s="5" t="s">
        <v>2</v>
      </c>
      <c r="J480" s="6"/>
      <c r="K480" s="5" t="s">
        <v>121</v>
      </c>
      <c r="L480" s="6"/>
      <c r="M480" s="5" t="s">
        <v>4</v>
      </c>
    </row>
    <row r="481" spans="1:13" ht="12.75" x14ac:dyDescent="0.2">
      <c r="A481" s="1">
        <v>2186228</v>
      </c>
      <c r="B481" s="2">
        <v>44071</v>
      </c>
      <c r="C481" s="2">
        <v>44072</v>
      </c>
      <c r="D481" s="1" t="s">
        <v>5</v>
      </c>
      <c r="E481" s="1" t="s">
        <v>102</v>
      </c>
      <c r="G481" s="1" t="s">
        <v>6</v>
      </c>
      <c r="H481" s="1">
        <v>59</v>
      </c>
      <c r="I481" s="1" t="s">
        <v>2</v>
      </c>
      <c r="J481" s="2"/>
      <c r="K481" s="1" t="s">
        <v>121</v>
      </c>
      <c r="L481" s="2"/>
      <c r="M481" s="1" t="s">
        <v>4</v>
      </c>
    </row>
    <row r="482" spans="1:13" ht="12.75" x14ac:dyDescent="0.2">
      <c r="A482" s="5">
        <v>2996932</v>
      </c>
      <c r="B482" s="6">
        <v>44102</v>
      </c>
      <c r="C482" s="6">
        <v>44103</v>
      </c>
      <c r="D482" s="5" t="s">
        <v>5</v>
      </c>
      <c r="E482" s="5" t="s">
        <v>81</v>
      </c>
      <c r="F482" s="5"/>
      <c r="G482" s="5" t="s">
        <v>6</v>
      </c>
      <c r="H482" s="5">
        <v>58</v>
      </c>
      <c r="I482" s="5" t="s">
        <v>15</v>
      </c>
      <c r="J482" s="6"/>
      <c r="K482" s="5" t="s">
        <v>121</v>
      </c>
      <c r="L482" s="6"/>
      <c r="M482" s="5"/>
    </row>
    <row r="483" spans="1:13" ht="12.75" x14ac:dyDescent="0.2">
      <c r="A483" s="1">
        <v>2533206</v>
      </c>
      <c r="B483" s="2">
        <v>44040</v>
      </c>
      <c r="C483" s="2">
        <v>44040</v>
      </c>
      <c r="D483" s="1" t="s">
        <v>5</v>
      </c>
      <c r="E483" s="1" t="s">
        <v>82</v>
      </c>
      <c r="G483" s="1" t="s">
        <v>6</v>
      </c>
      <c r="H483" s="1">
        <v>54</v>
      </c>
      <c r="I483" s="1" t="s">
        <v>15</v>
      </c>
      <c r="J483" s="2"/>
      <c r="K483" s="1" t="s">
        <v>121</v>
      </c>
      <c r="L483" s="2"/>
    </row>
    <row r="484" spans="1:13" ht="12.75" x14ac:dyDescent="0.2">
      <c r="A484" s="5">
        <v>995449</v>
      </c>
      <c r="B484" s="6">
        <v>43980</v>
      </c>
      <c r="C484" s="6">
        <v>43982</v>
      </c>
      <c r="D484" s="5" t="s">
        <v>0</v>
      </c>
      <c r="E484" s="5" t="s">
        <v>54</v>
      </c>
      <c r="F484" s="5">
        <v>7</v>
      </c>
      <c r="G484" s="5" t="s">
        <v>1</v>
      </c>
      <c r="H484" s="5">
        <v>47</v>
      </c>
      <c r="I484" s="5" t="s">
        <v>2</v>
      </c>
      <c r="J484" s="6"/>
      <c r="K484" s="5" t="s">
        <v>121</v>
      </c>
      <c r="L484" s="6">
        <v>43994</v>
      </c>
      <c r="M484" s="5" t="s">
        <v>4</v>
      </c>
    </row>
    <row r="485" spans="1:13" ht="12.75" x14ac:dyDescent="0.2">
      <c r="A485" s="1">
        <v>3940539</v>
      </c>
      <c r="B485" s="2">
        <v>44133</v>
      </c>
      <c r="C485" s="2">
        <v>44134</v>
      </c>
      <c r="D485" s="1" t="s">
        <v>0</v>
      </c>
      <c r="E485" s="1" t="s">
        <v>17</v>
      </c>
      <c r="F485" s="1">
        <v>1</v>
      </c>
      <c r="G485" s="1" t="s">
        <v>6</v>
      </c>
      <c r="H485" s="1">
        <v>8</v>
      </c>
      <c r="I485" s="1" t="s">
        <v>15</v>
      </c>
      <c r="J485" s="2"/>
      <c r="K485" s="1" t="s">
        <v>121</v>
      </c>
      <c r="L485" s="2"/>
    </row>
    <row r="486" spans="1:13" ht="12.75" x14ac:dyDescent="0.2">
      <c r="A486" s="5">
        <v>5003389</v>
      </c>
      <c r="B486" s="6">
        <v>44169</v>
      </c>
      <c r="C486" s="6">
        <v>44169</v>
      </c>
      <c r="D486" s="5" t="s">
        <v>0</v>
      </c>
      <c r="E486" s="5" t="s">
        <v>34</v>
      </c>
      <c r="F486" s="5">
        <v>9</v>
      </c>
      <c r="G486" s="5" t="s">
        <v>1</v>
      </c>
      <c r="H486" s="5">
        <v>78</v>
      </c>
      <c r="I486" s="5" t="s">
        <v>15</v>
      </c>
      <c r="J486" s="6"/>
      <c r="K486" s="5" t="s">
        <v>121</v>
      </c>
      <c r="L486" s="6"/>
      <c r="M486" s="5"/>
    </row>
    <row r="487" spans="1:13" ht="12.75" x14ac:dyDescent="0.2">
      <c r="A487" s="1">
        <v>3054547</v>
      </c>
      <c r="B487" s="2">
        <v>44105</v>
      </c>
      <c r="C487" s="2">
        <v>44105</v>
      </c>
      <c r="D487" s="1" t="s">
        <v>5</v>
      </c>
      <c r="E487" s="1" t="s">
        <v>97</v>
      </c>
      <c r="G487" s="1" t="s">
        <v>1</v>
      </c>
      <c r="H487" s="1">
        <v>33</v>
      </c>
      <c r="I487" s="1" t="s">
        <v>2</v>
      </c>
      <c r="J487" s="2"/>
      <c r="K487" s="1" t="s">
        <v>121</v>
      </c>
      <c r="L487" s="2"/>
      <c r="M487" s="1" t="s">
        <v>4</v>
      </c>
    </row>
    <row r="488" spans="1:13" ht="12.75" x14ac:dyDescent="0.2">
      <c r="A488" s="5">
        <v>5245412</v>
      </c>
      <c r="B488" s="6">
        <v>44179</v>
      </c>
      <c r="C488" s="6">
        <v>44179</v>
      </c>
      <c r="D488" s="5" t="s">
        <v>49</v>
      </c>
      <c r="E488" s="5" t="s">
        <v>109</v>
      </c>
      <c r="F488" s="5"/>
      <c r="G488" s="5" t="s">
        <v>1</v>
      </c>
      <c r="H488" s="5">
        <v>61</v>
      </c>
      <c r="I488" s="5" t="s">
        <v>15</v>
      </c>
      <c r="J488" s="6"/>
      <c r="K488" s="5" t="s">
        <v>121</v>
      </c>
      <c r="L488" s="6"/>
      <c r="M488" s="5"/>
    </row>
    <row r="489" spans="1:13" ht="12.75" x14ac:dyDescent="0.2">
      <c r="A489" s="1">
        <v>3214363</v>
      </c>
      <c r="B489" s="2">
        <v>44109</v>
      </c>
      <c r="C489" s="2">
        <v>44110</v>
      </c>
      <c r="D489" s="1" t="s">
        <v>5</v>
      </c>
      <c r="E489" s="1" t="s">
        <v>85</v>
      </c>
      <c r="G489" s="1" t="s">
        <v>1</v>
      </c>
      <c r="H489" s="1">
        <v>56</v>
      </c>
      <c r="I489" s="1" t="s">
        <v>15</v>
      </c>
      <c r="J489" s="2"/>
      <c r="K489" s="1" t="s">
        <v>121</v>
      </c>
      <c r="L489" s="2"/>
    </row>
    <row r="490" spans="1:13" ht="12.75" x14ac:dyDescent="0.2">
      <c r="A490" s="5">
        <v>2025960</v>
      </c>
      <c r="B490" s="6">
        <v>44064</v>
      </c>
      <c r="C490" s="6">
        <v>44065</v>
      </c>
      <c r="D490" s="5" t="s">
        <v>0</v>
      </c>
      <c r="E490" s="5" t="s">
        <v>14</v>
      </c>
      <c r="F490" s="5">
        <v>14</v>
      </c>
      <c r="G490" s="5" t="s">
        <v>6</v>
      </c>
      <c r="H490" s="5">
        <v>44</v>
      </c>
      <c r="I490" s="5" t="s">
        <v>2</v>
      </c>
      <c r="J490" s="6"/>
      <c r="K490" s="5" t="s">
        <v>121</v>
      </c>
      <c r="L490" s="6"/>
      <c r="M490" s="5" t="s">
        <v>4</v>
      </c>
    </row>
    <row r="491" spans="1:13" ht="12.75" x14ac:dyDescent="0.2">
      <c r="A491" s="1">
        <v>5472897</v>
      </c>
      <c r="B491" s="2">
        <v>44186</v>
      </c>
      <c r="C491" s="2">
        <v>44186</v>
      </c>
      <c r="D491" s="1" t="s">
        <v>5</v>
      </c>
      <c r="E491" s="1" t="s">
        <v>94</v>
      </c>
      <c r="G491" s="1" t="s">
        <v>1</v>
      </c>
      <c r="H491" s="1">
        <v>27</v>
      </c>
      <c r="I491" s="1" t="s">
        <v>15</v>
      </c>
      <c r="J491" s="2"/>
      <c r="K491" s="1" t="s">
        <v>121</v>
      </c>
      <c r="L491" s="2"/>
    </row>
    <row r="492" spans="1:13" ht="12.75" x14ac:dyDescent="0.2">
      <c r="A492" s="5">
        <v>5542492</v>
      </c>
      <c r="B492" s="6">
        <v>44188</v>
      </c>
      <c r="C492" s="6">
        <v>44188</v>
      </c>
      <c r="D492" s="5" t="s">
        <v>49</v>
      </c>
      <c r="E492" s="5" t="s">
        <v>110</v>
      </c>
      <c r="F492" s="5"/>
      <c r="G492" s="5" t="s">
        <v>6</v>
      </c>
      <c r="H492" s="5">
        <v>46</v>
      </c>
      <c r="I492" s="5" t="s">
        <v>15</v>
      </c>
      <c r="J492" s="6"/>
      <c r="K492" s="5" t="s">
        <v>121</v>
      </c>
      <c r="L492" s="6"/>
      <c r="M492" s="5"/>
    </row>
    <row r="493" spans="1:13" ht="12.75" x14ac:dyDescent="0.2">
      <c r="A493" s="1">
        <v>2889413</v>
      </c>
      <c r="B493" s="2">
        <v>44096</v>
      </c>
      <c r="C493" s="2">
        <v>44097</v>
      </c>
      <c r="D493" s="1" t="s">
        <v>0</v>
      </c>
      <c r="E493" s="1" t="s">
        <v>11</v>
      </c>
      <c r="F493" s="1">
        <v>6</v>
      </c>
      <c r="G493" s="1" t="s">
        <v>6</v>
      </c>
      <c r="H493" s="1">
        <v>52</v>
      </c>
      <c r="I493" s="1" t="s">
        <v>2</v>
      </c>
      <c r="J493" s="2"/>
      <c r="K493" s="1" t="s">
        <v>121</v>
      </c>
      <c r="L493" s="2"/>
      <c r="M493" s="1" t="s">
        <v>4</v>
      </c>
    </row>
    <row r="494" spans="1:13" ht="12.75" x14ac:dyDescent="0.2">
      <c r="A494" s="5">
        <v>2344085</v>
      </c>
      <c r="B494" s="6">
        <v>44074</v>
      </c>
      <c r="C494" s="6">
        <v>44075</v>
      </c>
      <c r="D494" s="5" t="s">
        <v>0</v>
      </c>
      <c r="E494" s="5" t="s">
        <v>30</v>
      </c>
      <c r="F494" s="5">
        <v>15</v>
      </c>
      <c r="G494" s="5" t="s">
        <v>6</v>
      </c>
      <c r="H494" s="5">
        <v>23</v>
      </c>
      <c r="I494" s="5" t="s">
        <v>2</v>
      </c>
      <c r="J494" s="6"/>
      <c r="K494" s="5" t="s">
        <v>121</v>
      </c>
      <c r="L494" s="6"/>
      <c r="M494" s="5" t="s">
        <v>4</v>
      </c>
    </row>
    <row r="495" spans="1:13" ht="12.75" x14ac:dyDescent="0.2">
      <c r="A495" s="1">
        <v>1123716</v>
      </c>
      <c r="B495" s="2">
        <v>44001</v>
      </c>
      <c r="C495" s="2">
        <v>44004</v>
      </c>
      <c r="D495" s="1" t="s">
        <v>0</v>
      </c>
      <c r="E495" s="1" t="s">
        <v>45</v>
      </c>
      <c r="F495" s="1">
        <v>4</v>
      </c>
      <c r="G495" s="1" t="s">
        <v>1</v>
      </c>
      <c r="H495" s="1">
        <v>23</v>
      </c>
      <c r="I495" s="1" t="s">
        <v>2</v>
      </c>
      <c r="J495" s="2"/>
      <c r="K495" s="1" t="s">
        <v>121</v>
      </c>
      <c r="L495" s="2">
        <v>44009</v>
      </c>
      <c r="M495" s="1" t="s">
        <v>9</v>
      </c>
    </row>
    <row r="496" spans="1:13" ht="12.75" x14ac:dyDescent="0.2">
      <c r="A496" s="5">
        <v>2484621</v>
      </c>
      <c r="B496" s="6">
        <v>44083</v>
      </c>
      <c r="C496" s="6">
        <v>44083</v>
      </c>
      <c r="D496" s="5" t="s">
        <v>0</v>
      </c>
      <c r="E496" s="5" t="s">
        <v>24</v>
      </c>
      <c r="F496" s="5">
        <v>9</v>
      </c>
      <c r="G496" s="5" t="s">
        <v>1</v>
      </c>
      <c r="H496" s="5">
        <v>17</v>
      </c>
      <c r="I496" s="5" t="s">
        <v>2</v>
      </c>
      <c r="J496" s="6"/>
      <c r="K496" s="5" t="s">
        <v>121</v>
      </c>
      <c r="L496" s="6">
        <v>44089</v>
      </c>
      <c r="M496" s="5" t="s">
        <v>4</v>
      </c>
    </row>
    <row r="497" spans="1:13" ht="12.75" x14ac:dyDescent="0.2">
      <c r="A497" s="1">
        <v>3206936</v>
      </c>
      <c r="B497" s="2">
        <v>44109</v>
      </c>
      <c r="C497" s="2">
        <v>44134</v>
      </c>
      <c r="D497" s="1" t="s">
        <v>0</v>
      </c>
      <c r="E497" s="1" t="s">
        <v>11</v>
      </c>
      <c r="F497" s="1">
        <v>6</v>
      </c>
      <c r="G497" s="1" t="s">
        <v>1</v>
      </c>
      <c r="H497" s="1">
        <v>84</v>
      </c>
      <c r="I497" s="1" t="s">
        <v>2</v>
      </c>
      <c r="J497" s="2"/>
      <c r="K497" s="1" t="s">
        <v>121</v>
      </c>
      <c r="L497" s="2"/>
      <c r="M497" s="1" t="s">
        <v>4</v>
      </c>
    </row>
    <row r="498" spans="1:13" ht="12.75" x14ac:dyDescent="0.2">
      <c r="A498" s="5">
        <v>4998877</v>
      </c>
      <c r="B498" s="6">
        <v>44167</v>
      </c>
      <c r="C498" s="6">
        <v>44167</v>
      </c>
      <c r="D498" s="5" t="s">
        <v>5</v>
      </c>
      <c r="E498" s="5" t="s">
        <v>91</v>
      </c>
      <c r="F498" s="5"/>
      <c r="G498" s="5" t="s">
        <v>6</v>
      </c>
      <c r="H498" s="5">
        <v>18</v>
      </c>
      <c r="I498" s="5" t="s">
        <v>15</v>
      </c>
      <c r="J498" s="6"/>
      <c r="K498" s="5" t="s">
        <v>121</v>
      </c>
      <c r="L498" s="6"/>
      <c r="M498" s="5"/>
    </row>
    <row r="499" spans="1:13" ht="12.75" x14ac:dyDescent="0.2">
      <c r="A499" s="1">
        <v>2175523</v>
      </c>
      <c r="B499" s="2">
        <v>44070</v>
      </c>
      <c r="C499" s="2">
        <v>44070</v>
      </c>
      <c r="D499" s="1" t="s">
        <v>5</v>
      </c>
      <c r="E499" s="1" t="s">
        <v>81</v>
      </c>
      <c r="G499" s="1" t="s">
        <v>6</v>
      </c>
      <c r="H499" s="1">
        <v>71</v>
      </c>
      <c r="I499" s="1" t="s">
        <v>2</v>
      </c>
      <c r="J499" s="2"/>
      <c r="K499" s="1" t="s">
        <v>121</v>
      </c>
      <c r="L499" s="2"/>
      <c r="M499" s="1" t="s">
        <v>4</v>
      </c>
    </row>
    <row r="500" spans="1:13" ht="12.75" x14ac:dyDescent="0.2">
      <c r="A500" s="5">
        <v>4797975</v>
      </c>
      <c r="B500" s="6">
        <v>44161</v>
      </c>
      <c r="C500" s="6">
        <v>44162</v>
      </c>
      <c r="D500" s="5" t="s">
        <v>0</v>
      </c>
      <c r="E500" s="5" t="s">
        <v>13</v>
      </c>
      <c r="F500" s="5">
        <v>2</v>
      </c>
      <c r="G500" s="5" t="s">
        <v>6</v>
      </c>
      <c r="H500" s="5">
        <v>18</v>
      </c>
      <c r="I500" s="5" t="s">
        <v>2</v>
      </c>
      <c r="J500" s="6"/>
      <c r="K500" s="5" t="s">
        <v>121</v>
      </c>
      <c r="L500" s="6"/>
      <c r="M500" s="5" t="s">
        <v>4</v>
      </c>
    </row>
    <row r="501" spans="1:13" ht="12.75" x14ac:dyDescent="0.2">
      <c r="A501" s="1">
        <v>5803251</v>
      </c>
      <c r="B501" s="2">
        <v>44196</v>
      </c>
      <c r="C501" s="2">
        <v>44196</v>
      </c>
      <c r="D501" s="1" t="s">
        <v>0</v>
      </c>
      <c r="E501" s="1" t="s">
        <v>16</v>
      </c>
      <c r="F501" s="1">
        <v>15</v>
      </c>
      <c r="G501" s="1" t="s">
        <v>1</v>
      </c>
      <c r="H501" s="1">
        <v>63</v>
      </c>
      <c r="I501" s="1" t="s">
        <v>21</v>
      </c>
      <c r="J501" s="2"/>
      <c r="K501" s="1" t="s">
        <v>121</v>
      </c>
      <c r="L501" s="2"/>
      <c r="M501" s="5" t="s">
        <v>20</v>
      </c>
    </row>
    <row r="502" spans="1:13" ht="12.75" x14ac:dyDescent="0.2">
      <c r="A502" s="5">
        <v>3629923</v>
      </c>
      <c r="B502" s="6">
        <v>44123</v>
      </c>
      <c r="C502" s="6">
        <v>44124</v>
      </c>
      <c r="D502" s="5" t="s">
        <v>5</v>
      </c>
      <c r="E502" s="5" t="s">
        <v>75</v>
      </c>
      <c r="F502" s="5"/>
      <c r="G502" s="5" t="s">
        <v>1</v>
      </c>
      <c r="H502" s="5">
        <v>29</v>
      </c>
      <c r="I502" s="5" t="s">
        <v>2</v>
      </c>
      <c r="J502" s="6"/>
      <c r="K502" s="5" t="s">
        <v>121</v>
      </c>
      <c r="L502" s="6"/>
      <c r="M502" s="5" t="s">
        <v>4</v>
      </c>
    </row>
    <row r="503" spans="1:13" ht="12.75" x14ac:dyDescent="0.2">
      <c r="A503" s="1">
        <v>1870622</v>
      </c>
      <c r="B503" s="2">
        <v>44056</v>
      </c>
      <c r="C503" s="2">
        <v>44057</v>
      </c>
      <c r="D503" s="1" t="s">
        <v>0</v>
      </c>
      <c r="E503" s="1" t="s">
        <v>13</v>
      </c>
      <c r="F503" s="1">
        <v>2</v>
      </c>
      <c r="G503" s="1" t="s">
        <v>6</v>
      </c>
      <c r="H503" s="1">
        <v>82</v>
      </c>
      <c r="I503" s="1" t="s">
        <v>15</v>
      </c>
      <c r="J503" s="2"/>
      <c r="K503" s="1" t="s">
        <v>121</v>
      </c>
      <c r="L503" s="2"/>
    </row>
    <row r="504" spans="1:13" ht="12.75" x14ac:dyDescent="0.2">
      <c r="A504" s="5">
        <v>2189424</v>
      </c>
      <c r="B504" s="6">
        <v>44070</v>
      </c>
      <c r="C504" s="6">
        <v>44071</v>
      </c>
      <c r="D504" s="5" t="s">
        <v>0</v>
      </c>
      <c r="E504" s="5" t="s">
        <v>16</v>
      </c>
      <c r="F504" s="5">
        <v>15</v>
      </c>
      <c r="G504" s="5" t="s">
        <v>1</v>
      </c>
      <c r="H504" s="5">
        <v>54</v>
      </c>
      <c r="I504" s="5" t="s">
        <v>2</v>
      </c>
      <c r="J504" s="6"/>
      <c r="K504" s="5" t="s">
        <v>121</v>
      </c>
      <c r="L504" s="6"/>
      <c r="M504" s="5" t="s">
        <v>4</v>
      </c>
    </row>
    <row r="505" spans="1:13" ht="12.75" x14ac:dyDescent="0.2">
      <c r="A505" s="1">
        <v>814320</v>
      </c>
      <c r="B505" s="2">
        <v>43934</v>
      </c>
      <c r="C505" s="2">
        <v>43935</v>
      </c>
      <c r="D505" s="1" t="s">
        <v>5</v>
      </c>
      <c r="E505" s="1" t="s">
        <v>78</v>
      </c>
      <c r="G505" s="1" t="s">
        <v>6</v>
      </c>
      <c r="H505" s="1">
        <v>4</v>
      </c>
      <c r="I505" s="1" t="s">
        <v>15</v>
      </c>
      <c r="J505" s="2"/>
      <c r="K505" s="1" t="s">
        <v>121</v>
      </c>
      <c r="L505" s="2"/>
    </row>
    <row r="506" spans="1:13" ht="12.75" x14ac:dyDescent="0.2">
      <c r="A506" s="5">
        <v>2568370</v>
      </c>
      <c r="B506" s="6">
        <v>44086</v>
      </c>
      <c r="C506" s="6">
        <v>44086</v>
      </c>
      <c r="D506" s="5" t="s">
        <v>5</v>
      </c>
      <c r="E506" s="5" t="s">
        <v>79</v>
      </c>
      <c r="F506" s="5"/>
      <c r="G506" s="5" t="s">
        <v>6</v>
      </c>
      <c r="H506" s="5">
        <v>53</v>
      </c>
      <c r="I506" s="5" t="s">
        <v>21</v>
      </c>
      <c r="J506" s="6"/>
      <c r="K506" s="5" t="s">
        <v>121</v>
      </c>
      <c r="L506" s="6"/>
      <c r="M506" s="5" t="s">
        <v>20</v>
      </c>
    </row>
    <row r="507" spans="1:13" ht="12.75" x14ac:dyDescent="0.2">
      <c r="A507" s="1">
        <v>4852860</v>
      </c>
      <c r="B507" s="2">
        <v>44166</v>
      </c>
      <c r="C507" s="2">
        <v>44166</v>
      </c>
      <c r="D507" s="1" t="s">
        <v>0</v>
      </c>
      <c r="E507" s="1" t="s">
        <v>33</v>
      </c>
      <c r="F507" s="1">
        <v>13</v>
      </c>
      <c r="G507" s="1" t="s">
        <v>1</v>
      </c>
      <c r="H507" s="1">
        <v>39</v>
      </c>
      <c r="I507" s="1" t="s">
        <v>21</v>
      </c>
      <c r="J507" s="2"/>
      <c r="K507" s="1" t="s">
        <v>121</v>
      </c>
      <c r="L507" s="2"/>
      <c r="M507" s="5" t="s">
        <v>20</v>
      </c>
    </row>
    <row r="508" spans="1:13" ht="12.75" x14ac:dyDescent="0.2">
      <c r="A508" s="5">
        <v>2194305</v>
      </c>
      <c r="B508" s="6">
        <v>44070</v>
      </c>
      <c r="C508" s="6">
        <v>44070</v>
      </c>
      <c r="D508" s="5" t="s">
        <v>5</v>
      </c>
      <c r="E508" s="5" t="s">
        <v>81</v>
      </c>
      <c r="F508" s="5"/>
      <c r="G508" s="5" t="s">
        <v>6</v>
      </c>
      <c r="H508" s="5">
        <v>58</v>
      </c>
      <c r="I508" s="5" t="s">
        <v>2</v>
      </c>
      <c r="J508" s="6"/>
      <c r="K508" s="5" t="s">
        <v>121</v>
      </c>
      <c r="L508" s="6"/>
      <c r="M508" s="5" t="s">
        <v>4</v>
      </c>
    </row>
    <row r="509" spans="1:13" ht="12.75" x14ac:dyDescent="0.2">
      <c r="A509" s="1">
        <v>3152003</v>
      </c>
      <c r="B509" s="2">
        <v>44109</v>
      </c>
      <c r="C509" s="2">
        <v>44110</v>
      </c>
      <c r="D509" s="1" t="s">
        <v>0</v>
      </c>
      <c r="E509" s="1" t="s">
        <v>37</v>
      </c>
      <c r="F509" s="1">
        <v>13</v>
      </c>
      <c r="G509" s="1" t="s">
        <v>1</v>
      </c>
      <c r="H509" s="1">
        <v>63</v>
      </c>
      <c r="I509" s="1" t="s">
        <v>15</v>
      </c>
      <c r="J509" s="2"/>
      <c r="K509" s="1" t="s">
        <v>121</v>
      </c>
      <c r="L509" s="2"/>
    </row>
    <row r="510" spans="1:13" ht="12.75" x14ac:dyDescent="0.2">
      <c r="A510" s="5">
        <v>5345227</v>
      </c>
      <c r="B510" s="6">
        <v>44181</v>
      </c>
      <c r="C510" s="6">
        <v>44181</v>
      </c>
      <c r="D510" s="5" t="s">
        <v>0</v>
      </c>
      <c r="E510" s="5" t="s">
        <v>12</v>
      </c>
      <c r="F510" s="5">
        <v>1</v>
      </c>
      <c r="G510" s="5" t="s">
        <v>6</v>
      </c>
      <c r="H510" s="5">
        <v>36</v>
      </c>
      <c r="I510" s="5" t="s">
        <v>15</v>
      </c>
      <c r="J510" s="6"/>
      <c r="K510" s="5" t="s">
        <v>121</v>
      </c>
      <c r="L510" s="6"/>
      <c r="M510" s="5"/>
    </row>
    <row r="511" spans="1:13" ht="12.75" x14ac:dyDescent="0.2">
      <c r="A511" s="1">
        <v>5551065</v>
      </c>
      <c r="B511" s="2">
        <v>44188</v>
      </c>
      <c r="C511" s="2">
        <v>44188</v>
      </c>
      <c r="D511" s="1" t="s">
        <v>0</v>
      </c>
      <c r="E511" s="1" t="s">
        <v>54</v>
      </c>
      <c r="F511" s="1">
        <v>7</v>
      </c>
      <c r="G511" s="1" t="s">
        <v>1</v>
      </c>
      <c r="H511" s="1">
        <v>69</v>
      </c>
      <c r="I511" s="1" t="s">
        <v>15</v>
      </c>
      <c r="J511" s="2"/>
      <c r="K511" s="1" t="s">
        <v>121</v>
      </c>
      <c r="L511" s="2"/>
    </row>
    <row r="512" spans="1:13" ht="12.75" x14ac:dyDescent="0.2">
      <c r="A512" s="5">
        <v>2203524</v>
      </c>
      <c r="B512" s="6">
        <v>44072</v>
      </c>
      <c r="C512" s="6">
        <v>44073</v>
      </c>
      <c r="D512" s="5" t="s">
        <v>5</v>
      </c>
      <c r="E512" s="5" t="s">
        <v>99</v>
      </c>
      <c r="F512" s="5"/>
      <c r="G512" s="5" t="s">
        <v>6</v>
      </c>
      <c r="H512" s="5">
        <v>25</v>
      </c>
      <c r="I512" s="5" t="s">
        <v>2</v>
      </c>
      <c r="J512" s="6"/>
      <c r="K512" s="5" t="s">
        <v>121</v>
      </c>
      <c r="L512" s="6"/>
      <c r="M512" s="5" t="s">
        <v>4</v>
      </c>
    </row>
    <row r="513" spans="1:13" ht="12.75" x14ac:dyDescent="0.2">
      <c r="A513" s="1">
        <v>1396157</v>
      </c>
      <c r="B513" s="2">
        <v>44028</v>
      </c>
      <c r="C513" s="2">
        <v>44028</v>
      </c>
      <c r="D513" s="1" t="s">
        <v>5</v>
      </c>
      <c r="E513" s="1" t="s">
        <v>83</v>
      </c>
      <c r="G513" s="1" t="s">
        <v>1</v>
      </c>
      <c r="H513" s="1">
        <v>43</v>
      </c>
      <c r="I513" s="1" t="s">
        <v>15</v>
      </c>
      <c r="J513" s="2"/>
      <c r="K513" s="1" t="s">
        <v>121</v>
      </c>
      <c r="L513" s="2"/>
    </row>
    <row r="514" spans="1:13" ht="12.75" x14ac:dyDescent="0.2">
      <c r="A514" s="5">
        <v>2262000</v>
      </c>
      <c r="B514" s="6">
        <v>44072</v>
      </c>
      <c r="C514" s="6">
        <v>44073</v>
      </c>
      <c r="D514" s="5" t="s">
        <v>5</v>
      </c>
      <c r="E514" s="5" t="s">
        <v>102</v>
      </c>
      <c r="F514" s="5"/>
      <c r="G514" s="5" t="s">
        <v>6</v>
      </c>
      <c r="H514" s="5">
        <v>26</v>
      </c>
      <c r="I514" s="5" t="s">
        <v>2</v>
      </c>
      <c r="J514" s="6"/>
      <c r="K514" s="5" t="s">
        <v>121</v>
      </c>
      <c r="L514" s="6"/>
      <c r="M514" s="5" t="s">
        <v>4</v>
      </c>
    </row>
    <row r="515" spans="1:13" ht="12.75" x14ac:dyDescent="0.2">
      <c r="A515" s="1">
        <v>5308551</v>
      </c>
      <c r="B515" s="2">
        <v>44175</v>
      </c>
      <c r="C515" s="2">
        <v>44175</v>
      </c>
      <c r="D515" s="1" t="s">
        <v>0</v>
      </c>
      <c r="E515" s="1" t="s">
        <v>36</v>
      </c>
      <c r="F515" s="1">
        <v>1</v>
      </c>
      <c r="G515" s="1" t="s">
        <v>1</v>
      </c>
      <c r="H515" s="1">
        <v>49</v>
      </c>
      <c r="I515" s="1" t="s">
        <v>2</v>
      </c>
      <c r="J515" s="2"/>
      <c r="K515" s="1" t="s">
        <v>121</v>
      </c>
      <c r="L515" s="2"/>
      <c r="M515" s="1" t="s">
        <v>4</v>
      </c>
    </row>
    <row r="516" spans="1:13" ht="12.75" x14ac:dyDescent="0.2">
      <c r="A516" s="5">
        <v>956453</v>
      </c>
      <c r="B516" s="6">
        <v>43972</v>
      </c>
      <c r="C516" s="6">
        <v>43972</v>
      </c>
      <c r="D516" s="5" t="s">
        <v>5</v>
      </c>
      <c r="E516" s="5" t="s">
        <v>80</v>
      </c>
      <c r="F516" s="5"/>
      <c r="G516" s="5" t="s">
        <v>1</v>
      </c>
      <c r="H516" s="5">
        <v>50</v>
      </c>
      <c r="I516" s="5" t="s">
        <v>15</v>
      </c>
      <c r="J516" s="6"/>
      <c r="K516" s="5" t="s">
        <v>121</v>
      </c>
      <c r="L516" s="6"/>
      <c r="M516" s="5"/>
    </row>
    <row r="517" spans="1:13" ht="12.75" x14ac:dyDescent="0.2">
      <c r="A517" s="1">
        <v>4785592</v>
      </c>
      <c r="B517" s="2">
        <v>44162</v>
      </c>
      <c r="C517" s="2">
        <v>44163</v>
      </c>
      <c r="D517" s="1" t="s">
        <v>0</v>
      </c>
      <c r="E517" s="1" t="s">
        <v>36</v>
      </c>
      <c r="F517" s="1">
        <v>1</v>
      </c>
      <c r="G517" s="1" t="s">
        <v>6</v>
      </c>
      <c r="H517" s="1">
        <v>27</v>
      </c>
      <c r="I517" s="1" t="s">
        <v>15</v>
      </c>
      <c r="J517" s="2"/>
      <c r="K517" s="1" t="s">
        <v>121</v>
      </c>
      <c r="L517" s="2"/>
    </row>
    <row r="518" spans="1:13" ht="12.75" x14ac:dyDescent="0.2">
      <c r="A518" s="5">
        <v>3932198</v>
      </c>
      <c r="B518" s="6">
        <v>44131</v>
      </c>
      <c r="C518" s="6">
        <v>44131</v>
      </c>
      <c r="D518" s="5" t="s">
        <v>5</v>
      </c>
      <c r="E518" s="5" t="s">
        <v>100</v>
      </c>
      <c r="F518" s="5"/>
      <c r="G518" s="5" t="s">
        <v>1</v>
      </c>
      <c r="H518" s="5">
        <v>77</v>
      </c>
      <c r="I518" s="5" t="s">
        <v>15</v>
      </c>
      <c r="J518" s="6"/>
      <c r="K518" s="5" t="s">
        <v>121</v>
      </c>
      <c r="L518" s="6"/>
      <c r="M518" s="5"/>
    </row>
    <row r="519" spans="1:13" ht="12.75" x14ac:dyDescent="0.2">
      <c r="A519" s="1">
        <v>1980236</v>
      </c>
      <c r="B519" s="2">
        <v>44061</v>
      </c>
      <c r="C519" s="2">
        <v>44061</v>
      </c>
      <c r="D519" s="1" t="s">
        <v>0</v>
      </c>
      <c r="E519" s="1" t="s">
        <v>56</v>
      </c>
      <c r="F519" s="1">
        <v>10</v>
      </c>
      <c r="G519" s="1" t="s">
        <v>1</v>
      </c>
      <c r="H519" s="1">
        <v>58</v>
      </c>
      <c r="I519" s="1" t="s">
        <v>2</v>
      </c>
      <c r="J519" s="2"/>
      <c r="K519" s="1" t="s">
        <v>121</v>
      </c>
      <c r="L519" s="2"/>
      <c r="M519" s="1" t="s">
        <v>4</v>
      </c>
    </row>
    <row r="520" spans="1:13" ht="12.75" x14ac:dyDescent="0.2">
      <c r="A520" s="5">
        <v>3326465</v>
      </c>
      <c r="B520" s="6">
        <v>44114</v>
      </c>
      <c r="C520" s="6">
        <v>44114</v>
      </c>
      <c r="D520" s="5" t="s">
        <v>5</v>
      </c>
      <c r="E520" s="5" t="s">
        <v>85</v>
      </c>
      <c r="F520" s="5"/>
      <c r="G520" s="5" t="s">
        <v>1</v>
      </c>
      <c r="H520" s="5">
        <v>31</v>
      </c>
      <c r="I520" s="5" t="s">
        <v>15</v>
      </c>
      <c r="J520" s="6"/>
      <c r="K520" s="5" t="s">
        <v>121</v>
      </c>
      <c r="L520" s="6"/>
      <c r="M520" s="5"/>
    </row>
    <row r="521" spans="1:13" ht="12.75" x14ac:dyDescent="0.2">
      <c r="A521" s="1">
        <v>3171657</v>
      </c>
      <c r="B521" s="2">
        <v>44108</v>
      </c>
      <c r="C521" s="2">
        <v>44110</v>
      </c>
      <c r="D521" s="1" t="s">
        <v>5</v>
      </c>
      <c r="E521" s="1" t="s">
        <v>95</v>
      </c>
      <c r="G521" s="1" t="s">
        <v>1</v>
      </c>
      <c r="H521" s="1">
        <v>53</v>
      </c>
      <c r="I521" s="1" t="s">
        <v>15</v>
      </c>
      <c r="J521" s="2"/>
      <c r="K521" s="1" t="s">
        <v>121</v>
      </c>
      <c r="L521" s="2"/>
    </row>
    <row r="522" spans="1:13" ht="12.75" x14ac:dyDescent="0.2">
      <c r="A522" s="5">
        <v>3275184</v>
      </c>
      <c r="B522" s="6">
        <v>44112</v>
      </c>
      <c r="C522" s="6">
        <v>44256</v>
      </c>
      <c r="D522" s="5" t="s">
        <v>5</v>
      </c>
      <c r="E522" s="5" t="s">
        <v>85</v>
      </c>
      <c r="F522" s="5"/>
      <c r="G522" s="5" t="s">
        <v>6</v>
      </c>
      <c r="H522" s="5">
        <v>25</v>
      </c>
      <c r="I522" s="5" t="s">
        <v>2</v>
      </c>
      <c r="J522" s="6">
        <v>44123</v>
      </c>
      <c r="K522" s="5" t="s">
        <v>121</v>
      </c>
      <c r="L522" s="6"/>
      <c r="M522" s="5" t="s">
        <v>9</v>
      </c>
    </row>
    <row r="523" spans="1:13" ht="12.75" x14ac:dyDescent="0.2">
      <c r="A523" s="1">
        <v>5552376</v>
      </c>
      <c r="B523" s="2">
        <v>44185</v>
      </c>
      <c r="C523" s="2">
        <v>44185</v>
      </c>
      <c r="D523" s="1" t="s">
        <v>5</v>
      </c>
      <c r="E523" s="1" t="s">
        <v>80</v>
      </c>
      <c r="G523" s="1" t="s">
        <v>1</v>
      </c>
      <c r="H523" s="1">
        <v>3</v>
      </c>
      <c r="I523" s="1" t="s">
        <v>15</v>
      </c>
      <c r="J523" s="2"/>
      <c r="K523" s="1" t="s">
        <v>121</v>
      </c>
      <c r="L523" s="2"/>
    </row>
    <row r="524" spans="1:13" ht="12.75" x14ac:dyDescent="0.2">
      <c r="A524" s="5">
        <v>4164278</v>
      </c>
      <c r="B524" s="6">
        <v>44142</v>
      </c>
      <c r="C524" s="6">
        <v>44142</v>
      </c>
      <c r="D524" s="5" t="s">
        <v>5</v>
      </c>
      <c r="E524" s="5" t="s">
        <v>99</v>
      </c>
      <c r="F524" s="5"/>
      <c r="G524" s="5" t="s">
        <v>1</v>
      </c>
      <c r="H524" s="5">
        <v>43</v>
      </c>
      <c r="I524" s="5" t="s">
        <v>21</v>
      </c>
      <c r="J524" s="6"/>
      <c r="K524" s="5" t="s">
        <v>121</v>
      </c>
      <c r="L524" s="6"/>
      <c r="M524" s="5" t="s">
        <v>20</v>
      </c>
    </row>
    <row r="525" spans="1:13" ht="12.75" x14ac:dyDescent="0.2">
      <c r="A525" s="1">
        <v>4213753</v>
      </c>
      <c r="B525" s="2">
        <v>44143</v>
      </c>
      <c r="C525" s="2">
        <v>44143</v>
      </c>
      <c r="D525" s="1" t="s">
        <v>0</v>
      </c>
      <c r="E525" s="1" t="s">
        <v>11</v>
      </c>
      <c r="F525" s="1">
        <v>6</v>
      </c>
      <c r="G525" s="1" t="s">
        <v>6</v>
      </c>
      <c r="H525" s="1">
        <v>30</v>
      </c>
      <c r="I525" s="1" t="s">
        <v>2</v>
      </c>
      <c r="J525" s="2"/>
      <c r="K525" s="1" t="s">
        <v>121</v>
      </c>
      <c r="L525" s="2"/>
      <c r="M525" s="1" t="s">
        <v>4</v>
      </c>
    </row>
    <row r="526" spans="1:13" ht="12.75" x14ac:dyDescent="0.2">
      <c r="A526" s="5">
        <v>4932482</v>
      </c>
      <c r="B526" s="6">
        <v>44165</v>
      </c>
      <c r="C526" s="6">
        <v>44166</v>
      </c>
      <c r="D526" s="5" t="s">
        <v>0</v>
      </c>
      <c r="E526" s="5" t="s">
        <v>10</v>
      </c>
      <c r="F526" s="5">
        <v>5</v>
      </c>
      <c r="G526" s="5" t="s">
        <v>6</v>
      </c>
      <c r="H526" s="5">
        <v>27</v>
      </c>
      <c r="I526" s="5" t="s">
        <v>15</v>
      </c>
      <c r="J526" s="6"/>
      <c r="K526" s="5" t="s">
        <v>121</v>
      </c>
      <c r="L526" s="6"/>
      <c r="M526" s="5"/>
    </row>
    <row r="527" spans="1:13" ht="12.75" x14ac:dyDescent="0.2">
      <c r="A527" s="1">
        <v>4790464</v>
      </c>
      <c r="B527" s="2">
        <v>44163</v>
      </c>
      <c r="C527" s="2">
        <v>44163</v>
      </c>
      <c r="D527" s="1" t="s">
        <v>5</v>
      </c>
      <c r="E527" s="1" t="s">
        <v>85</v>
      </c>
      <c r="G527" s="1" t="s">
        <v>6</v>
      </c>
      <c r="H527" s="1">
        <v>29</v>
      </c>
      <c r="I527" s="1" t="s">
        <v>21</v>
      </c>
      <c r="J527" s="2"/>
      <c r="K527" s="1" t="s">
        <v>121</v>
      </c>
      <c r="L527" s="2"/>
      <c r="M527" s="5" t="s">
        <v>20</v>
      </c>
    </row>
    <row r="528" spans="1:13" ht="12.75" x14ac:dyDescent="0.2">
      <c r="A528" s="5">
        <v>5668161</v>
      </c>
      <c r="B528" s="6">
        <v>44193</v>
      </c>
      <c r="C528" s="6">
        <v>44193</v>
      </c>
      <c r="D528" s="5" t="s">
        <v>0</v>
      </c>
      <c r="E528" s="5" t="s">
        <v>38</v>
      </c>
      <c r="F528" s="5">
        <v>12</v>
      </c>
      <c r="G528" s="5" t="s">
        <v>1</v>
      </c>
      <c r="H528" s="5">
        <v>43</v>
      </c>
      <c r="I528" s="5" t="s">
        <v>15</v>
      </c>
      <c r="J528" s="6"/>
      <c r="K528" s="5" t="s">
        <v>121</v>
      </c>
      <c r="L528" s="6"/>
      <c r="M528" s="5"/>
    </row>
    <row r="529" spans="1:13" ht="12.75" x14ac:dyDescent="0.2">
      <c r="A529" s="1">
        <v>5786150</v>
      </c>
      <c r="B529" s="2">
        <v>44195</v>
      </c>
      <c r="C529" s="2">
        <v>44195</v>
      </c>
      <c r="D529" s="1" t="s">
        <v>64</v>
      </c>
      <c r="E529" s="1" t="s">
        <v>111</v>
      </c>
      <c r="G529" s="1" t="s">
        <v>6</v>
      </c>
      <c r="H529" s="1">
        <v>45</v>
      </c>
      <c r="I529" s="1" t="s">
        <v>15</v>
      </c>
      <c r="J529" s="2"/>
      <c r="K529" s="1" t="s">
        <v>121</v>
      </c>
      <c r="L529" s="2"/>
    </row>
    <row r="530" spans="1:13" ht="12.75" x14ac:dyDescent="0.2">
      <c r="A530" s="5">
        <v>937586</v>
      </c>
      <c r="B530" s="6">
        <v>43970</v>
      </c>
      <c r="C530" s="6">
        <v>43970</v>
      </c>
      <c r="D530" s="5" t="s">
        <v>5</v>
      </c>
      <c r="E530" s="5" t="s">
        <v>101</v>
      </c>
      <c r="F530" s="5"/>
      <c r="G530" s="5" t="s">
        <v>6</v>
      </c>
      <c r="H530" s="5">
        <v>37</v>
      </c>
      <c r="I530" s="5" t="s">
        <v>15</v>
      </c>
      <c r="J530" s="6"/>
      <c r="K530" s="5" t="s">
        <v>121</v>
      </c>
      <c r="L530" s="6"/>
      <c r="M530" s="5"/>
    </row>
    <row r="531" spans="1:13" ht="12.75" x14ac:dyDescent="0.2">
      <c r="A531" s="1">
        <v>4725670</v>
      </c>
      <c r="B531" s="2">
        <v>44160</v>
      </c>
      <c r="C531" s="2">
        <v>44160</v>
      </c>
      <c r="D531" s="1" t="s">
        <v>0</v>
      </c>
      <c r="E531" s="1" t="s">
        <v>7</v>
      </c>
      <c r="F531" s="1">
        <v>3</v>
      </c>
      <c r="G531" s="1" t="s">
        <v>1</v>
      </c>
      <c r="H531" s="1">
        <v>29</v>
      </c>
      <c r="I531" s="1" t="s">
        <v>15</v>
      </c>
      <c r="J531" s="2"/>
      <c r="K531" s="1" t="s">
        <v>121</v>
      </c>
      <c r="L531" s="2"/>
    </row>
    <row r="532" spans="1:13" ht="12.75" x14ac:dyDescent="0.2">
      <c r="A532" s="5">
        <v>855372</v>
      </c>
      <c r="B532" s="6">
        <v>43945</v>
      </c>
      <c r="C532" s="6">
        <v>43946</v>
      </c>
      <c r="D532" s="5" t="s">
        <v>0</v>
      </c>
      <c r="E532" s="5" t="s">
        <v>25</v>
      </c>
      <c r="F532" s="5">
        <v>13</v>
      </c>
      <c r="G532" s="5" t="s">
        <v>1</v>
      </c>
      <c r="H532" s="5">
        <v>89</v>
      </c>
      <c r="I532" s="5" t="s">
        <v>15</v>
      </c>
      <c r="J532" s="6"/>
      <c r="K532" s="5" t="s">
        <v>121</v>
      </c>
      <c r="L532" s="6"/>
      <c r="M532" s="5"/>
    </row>
    <row r="533" spans="1:13" ht="12.75" x14ac:dyDescent="0.2">
      <c r="A533" s="1">
        <v>3837745</v>
      </c>
      <c r="B533" s="2">
        <v>44130</v>
      </c>
      <c r="C533" s="2">
        <v>44131</v>
      </c>
      <c r="D533" s="1" t="s">
        <v>59</v>
      </c>
      <c r="E533" s="1" t="s">
        <v>105</v>
      </c>
      <c r="G533" s="1" t="s">
        <v>1</v>
      </c>
      <c r="H533" s="1">
        <v>43</v>
      </c>
      <c r="I533" s="1" t="s">
        <v>15</v>
      </c>
      <c r="J533" s="2"/>
      <c r="K533" s="1" t="s">
        <v>121</v>
      </c>
      <c r="L533" s="2"/>
    </row>
    <row r="534" spans="1:13" ht="12.75" x14ac:dyDescent="0.2">
      <c r="A534" s="5">
        <v>3441558</v>
      </c>
      <c r="B534" s="6">
        <v>44118</v>
      </c>
      <c r="C534" s="6">
        <v>44118</v>
      </c>
      <c r="D534" s="5" t="s">
        <v>5</v>
      </c>
      <c r="E534" s="5" t="s">
        <v>102</v>
      </c>
      <c r="F534" s="5"/>
      <c r="G534" s="5" t="s">
        <v>1</v>
      </c>
      <c r="H534" s="5">
        <v>49</v>
      </c>
      <c r="I534" s="5" t="s">
        <v>2</v>
      </c>
      <c r="J534" s="6"/>
      <c r="K534" s="5" t="s">
        <v>121</v>
      </c>
      <c r="L534" s="6"/>
      <c r="M534" s="5" t="s">
        <v>4</v>
      </c>
    </row>
    <row r="535" spans="1:13" ht="12.75" x14ac:dyDescent="0.2">
      <c r="A535" s="1">
        <v>3902225</v>
      </c>
      <c r="B535" s="2">
        <v>44131</v>
      </c>
      <c r="C535" s="2">
        <v>44132</v>
      </c>
      <c r="D535" s="1" t="s">
        <v>0</v>
      </c>
      <c r="E535" s="1" t="s">
        <v>36</v>
      </c>
      <c r="F535" s="1">
        <v>1</v>
      </c>
      <c r="G535" s="1" t="s">
        <v>1</v>
      </c>
      <c r="H535" s="1">
        <v>10</v>
      </c>
      <c r="I535" s="1" t="s">
        <v>2</v>
      </c>
      <c r="J535" s="2"/>
      <c r="K535" s="1" t="s">
        <v>121</v>
      </c>
      <c r="L535" s="2"/>
      <c r="M535" s="1" t="s">
        <v>4</v>
      </c>
    </row>
    <row r="536" spans="1:13" ht="12.75" x14ac:dyDescent="0.2">
      <c r="A536" s="5">
        <v>1222327</v>
      </c>
      <c r="B536" s="6">
        <v>44013</v>
      </c>
      <c r="C536" s="6">
        <v>44013</v>
      </c>
      <c r="D536" s="5" t="s">
        <v>5</v>
      </c>
      <c r="E536" s="5" t="s">
        <v>98</v>
      </c>
      <c r="F536" s="5"/>
      <c r="G536" s="5" t="s">
        <v>6</v>
      </c>
      <c r="H536" s="5">
        <v>2</v>
      </c>
      <c r="I536" s="5" t="s">
        <v>15</v>
      </c>
      <c r="J536" s="6"/>
      <c r="K536" s="5" t="s">
        <v>121</v>
      </c>
      <c r="L536" s="6"/>
      <c r="M536" s="5"/>
    </row>
    <row r="537" spans="1:13" ht="12.75" x14ac:dyDescent="0.2">
      <c r="A537" s="1">
        <v>1079426</v>
      </c>
      <c r="B537" s="2">
        <v>43996</v>
      </c>
      <c r="C537" s="2">
        <v>43996</v>
      </c>
      <c r="D537" s="1" t="s">
        <v>0</v>
      </c>
      <c r="E537" s="1" t="s">
        <v>12</v>
      </c>
      <c r="F537" s="1">
        <v>1</v>
      </c>
      <c r="G537" s="1" t="s">
        <v>6</v>
      </c>
      <c r="H537" s="1">
        <v>39</v>
      </c>
      <c r="I537" s="1" t="s">
        <v>2</v>
      </c>
      <c r="J537" s="2"/>
      <c r="K537" s="1" t="s">
        <v>121</v>
      </c>
      <c r="L537" s="2"/>
      <c r="M537" s="1" t="s">
        <v>4</v>
      </c>
    </row>
    <row r="538" spans="1:13" ht="12.75" x14ac:dyDescent="0.2">
      <c r="A538" s="5">
        <v>2157655</v>
      </c>
      <c r="B538" s="6">
        <v>44070</v>
      </c>
      <c r="C538" s="6">
        <v>44070</v>
      </c>
      <c r="D538" s="5" t="s">
        <v>0</v>
      </c>
      <c r="E538" s="5" t="s">
        <v>10</v>
      </c>
      <c r="F538" s="5">
        <v>5</v>
      </c>
      <c r="G538" s="5" t="s">
        <v>6</v>
      </c>
      <c r="H538" s="5">
        <v>26</v>
      </c>
      <c r="I538" s="5" t="s">
        <v>15</v>
      </c>
      <c r="J538" s="6"/>
      <c r="K538" s="5" t="s">
        <v>121</v>
      </c>
      <c r="L538" s="6"/>
      <c r="M538" s="5"/>
    </row>
    <row r="539" spans="1:13" ht="12.75" x14ac:dyDescent="0.2">
      <c r="A539" s="1">
        <v>1111859</v>
      </c>
      <c r="B539" s="2">
        <v>44000</v>
      </c>
      <c r="C539" s="2">
        <v>44030</v>
      </c>
      <c r="D539" s="1" t="s">
        <v>5</v>
      </c>
      <c r="E539" s="1" t="s">
        <v>83</v>
      </c>
      <c r="G539" s="1" t="s">
        <v>1</v>
      </c>
      <c r="H539" s="1">
        <v>39</v>
      </c>
      <c r="I539" s="1" t="s">
        <v>2</v>
      </c>
      <c r="J539" s="2">
        <v>44065</v>
      </c>
      <c r="K539" s="1" t="s">
        <v>121</v>
      </c>
      <c r="L539" s="2"/>
      <c r="M539" s="1" t="s">
        <v>9</v>
      </c>
    </row>
    <row r="540" spans="1:13" ht="12.75" x14ac:dyDescent="0.2">
      <c r="A540" s="5">
        <v>4426885</v>
      </c>
      <c r="B540" s="6">
        <v>44151</v>
      </c>
      <c r="C540" s="6">
        <v>44152</v>
      </c>
      <c r="D540" s="5" t="s">
        <v>5</v>
      </c>
      <c r="E540" s="5" t="s">
        <v>84</v>
      </c>
      <c r="F540" s="5"/>
      <c r="G540" s="5" t="s">
        <v>6</v>
      </c>
      <c r="H540" s="5">
        <v>64</v>
      </c>
      <c r="I540" s="5" t="s">
        <v>15</v>
      </c>
      <c r="J540" s="6"/>
      <c r="K540" s="5" t="s">
        <v>121</v>
      </c>
      <c r="L540" s="6"/>
      <c r="M540" s="5"/>
    </row>
    <row r="541" spans="1:13" ht="12.75" x14ac:dyDescent="0.2">
      <c r="A541" s="1">
        <v>3114577</v>
      </c>
      <c r="B541" s="2">
        <v>44108</v>
      </c>
      <c r="C541" s="2">
        <v>44108</v>
      </c>
      <c r="D541" s="1" t="s">
        <v>0</v>
      </c>
      <c r="E541" s="1" t="s">
        <v>14</v>
      </c>
      <c r="F541" s="1">
        <v>14</v>
      </c>
      <c r="G541" s="1" t="s">
        <v>6</v>
      </c>
      <c r="H541" s="1">
        <v>93</v>
      </c>
      <c r="I541" s="1" t="s">
        <v>15</v>
      </c>
      <c r="J541" s="2"/>
      <c r="K541" s="1" t="s">
        <v>121</v>
      </c>
      <c r="L541" s="2"/>
    </row>
    <row r="542" spans="1:13" ht="12.75" x14ac:dyDescent="0.2">
      <c r="A542" s="5">
        <v>2564382</v>
      </c>
      <c r="B542" s="6">
        <v>44086</v>
      </c>
      <c r="C542" s="6">
        <v>44086</v>
      </c>
      <c r="D542" s="5" t="s">
        <v>0</v>
      </c>
      <c r="E542" s="5" t="s">
        <v>29</v>
      </c>
      <c r="F542" s="5">
        <v>12</v>
      </c>
      <c r="G542" s="5" t="s">
        <v>1</v>
      </c>
      <c r="H542" s="5">
        <v>24</v>
      </c>
      <c r="I542" s="5" t="s">
        <v>2</v>
      </c>
      <c r="J542" s="6"/>
      <c r="K542" s="5" t="s">
        <v>121</v>
      </c>
      <c r="L542" s="6">
        <v>44096</v>
      </c>
      <c r="M542" s="5" t="s">
        <v>20</v>
      </c>
    </row>
    <row r="543" spans="1:13" ht="12.75" x14ac:dyDescent="0.2">
      <c r="A543" s="1">
        <v>5575960</v>
      </c>
      <c r="B543" s="2">
        <v>44189</v>
      </c>
      <c r="C543" s="2">
        <v>44189</v>
      </c>
      <c r="D543" s="1" t="s">
        <v>5</v>
      </c>
      <c r="E543" s="1" t="s">
        <v>96</v>
      </c>
      <c r="G543" s="1" t="s">
        <v>1</v>
      </c>
      <c r="H543" s="1">
        <v>40</v>
      </c>
      <c r="I543" s="1" t="s">
        <v>15</v>
      </c>
      <c r="J543" s="2"/>
      <c r="K543" s="1" t="s">
        <v>121</v>
      </c>
      <c r="L543" s="2"/>
    </row>
    <row r="544" spans="1:13" ht="12.75" x14ac:dyDescent="0.2">
      <c r="A544" s="5">
        <v>4427267</v>
      </c>
      <c r="B544" s="6">
        <v>44149</v>
      </c>
      <c r="C544" s="6">
        <v>44149</v>
      </c>
      <c r="D544" s="5" t="s">
        <v>5</v>
      </c>
      <c r="E544" s="5" t="s">
        <v>81</v>
      </c>
      <c r="F544" s="5"/>
      <c r="G544" s="5" t="s">
        <v>1</v>
      </c>
      <c r="H544" s="5">
        <v>25</v>
      </c>
      <c r="I544" s="5" t="s">
        <v>2</v>
      </c>
      <c r="J544" s="6"/>
      <c r="K544" s="5" t="s">
        <v>121</v>
      </c>
      <c r="L544" s="6"/>
      <c r="M544" s="5" t="s">
        <v>4</v>
      </c>
    </row>
    <row r="545" spans="1:13" ht="12.75" x14ac:dyDescent="0.2">
      <c r="A545" s="1">
        <v>4739510</v>
      </c>
      <c r="B545" s="2">
        <v>44160</v>
      </c>
      <c r="C545" s="2">
        <v>44161</v>
      </c>
      <c r="D545" s="1" t="s">
        <v>0</v>
      </c>
      <c r="E545" s="1" t="s">
        <v>8</v>
      </c>
      <c r="F545" s="1">
        <v>7</v>
      </c>
      <c r="G545" s="1" t="s">
        <v>1</v>
      </c>
      <c r="H545" s="1">
        <v>24</v>
      </c>
      <c r="I545" s="1" t="s">
        <v>15</v>
      </c>
      <c r="J545" s="2"/>
      <c r="K545" s="1" t="s">
        <v>121</v>
      </c>
      <c r="L545" s="2"/>
    </row>
    <row r="546" spans="1:13" ht="12.75" x14ac:dyDescent="0.2">
      <c r="A546" s="5">
        <v>3378312</v>
      </c>
      <c r="B546" s="6">
        <v>44117</v>
      </c>
      <c r="C546" s="6">
        <v>44118</v>
      </c>
      <c r="D546" s="5" t="s">
        <v>0</v>
      </c>
      <c r="E546" s="5" t="s">
        <v>51</v>
      </c>
      <c r="F546" s="5">
        <v>15</v>
      </c>
      <c r="G546" s="5" t="s">
        <v>1</v>
      </c>
      <c r="H546" s="5">
        <v>26</v>
      </c>
      <c r="I546" s="5" t="s">
        <v>2</v>
      </c>
      <c r="J546" s="6"/>
      <c r="K546" s="5" t="s">
        <v>121</v>
      </c>
      <c r="L546" s="6"/>
      <c r="M546" s="5" t="s">
        <v>4</v>
      </c>
    </row>
    <row r="547" spans="1:13" ht="12.75" x14ac:dyDescent="0.2">
      <c r="A547" s="1">
        <v>1315857</v>
      </c>
      <c r="B547" s="2">
        <v>44023</v>
      </c>
      <c r="C547" s="2">
        <v>44023</v>
      </c>
      <c r="D547" s="1" t="s">
        <v>5</v>
      </c>
      <c r="E547" s="1" t="s">
        <v>75</v>
      </c>
      <c r="G547" s="1" t="s">
        <v>6</v>
      </c>
      <c r="H547" s="1">
        <v>10</v>
      </c>
      <c r="I547" s="1" t="s">
        <v>15</v>
      </c>
      <c r="J547" s="2"/>
      <c r="K547" s="1" t="s">
        <v>121</v>
      </c>
      <c r="L547" s="2"/>
    </row>
    <row r="548" spans="1:13" ht="12.75" x14ac:dyDescent="0.2">
      <c r="A548" s="5">
        <v>4831605</v>
      </c>
      <c r="B548" s="6">
        <v>44163</v>
      </c>
      <c r="C548" s="6">
        <v>44164</v>
      </c>
      <c r="D548" s="5" t="s">
        <v>0</v>
      </c>
      <c r="E548" s="5" t="s">
        <v>7</v>
      </c>
      <c r="F548" s="5">
        <v>3</v>
      </c>
      <c r="G548" s="5" t="s">
        <v>1</v>
      </c>
      <c r="H548" s="5">
        <v>66</v>
      </c>
      <c r="I548" s="5" t="s">
        <v>15</v>
      </c>
      <c r="J548" s="6"/>
      <c r="K548" s="5" t="s">
        <v>121</v>
      </c>
      <c r="L548" s="6"/>
      <c r="M548" s="5"/>
    </row>
    <row r="549" spans="1:13" ht="12.75" x14ac:dyDescent="0.2">
      <c r="A549" s="1">
        <v>3963072</v>
      </c>
      <c r="B549" s="2">
        <v>44135</v>
      </c>
      <c r="C549" s="2">
        <v>44136</v>
      </c>
      <c r="D549" s="1" t="s">
        <v>5</v>
      </c>
      <c r="E549" s="1" t="s">
        <v>77</v>
      </c>
      <c r="G549" s="1" t="s">
        <v>6</v>
      </c>
      <c r="H549" s="1">
        <v>38</v>
      </c>
      <c r="I549" s="1" t="s">
        <v>2</v>
      </c>
      <c r="J549" s="2"/>
      <c r="K549" s="1" t="s">
        <v>121</v>
      </c>
      <c r="L549" s="2"/>
      <c r="M549" s="1" t="s">
        <v>4</v>
      </c>
    </row>
    <row r="550" spans="1:13" ht="12.75" x14ac:dyDescent="0.2">
      <c r="A550" s="5">
        <v>1545809</v>
      </c>
      <c r="B550" s="6">
        <v>44037</v>
      </c>
      <c r="C550" s="6">
        <v>44039</v>
      </c>
      <c r="D550" s="5" t="s">
        <v>5</v>
      </c>
      <c r="E550" s="5" t="s">
        <v>78</v>
      </c>
      <c r="F550" s="5"/>
      <c r="G550" s="5" t="s">
        <v>6</v>
      </c>
      <c r="H550" s="5">
        <v>5</v>
      </c>
      <c r="I550" s="5" t="s">
        <v>15</v>
      </c>
      <c r="J550" s="6"/>
      <c r="K550" s="5" t="s">
        <v>121</v>
      </c>
      <c r="L550" s="6"/>
      <c r="M550" s="5"/>
    </row>
    <row r="551" spans="1:13" ht="12.75" x14ac:dyDescent="0.2">
      <c r="A551" s="1">
        <v>1563814</v>
      </c>
      <c r="B551" s="2">
        <v>44037</v>
      </c>
      <c r="C551" s="2">
        <v>44038</v>
      </c>
      <c r="D551" s="1" t="s">
        <v>5</v>
      </c>
      <c r="E551" s="1" t="s">
        <v>79</v>
      </c>
      <c r="G551" s="1" t="s">
        <v>6</v>
      </c>
      <c r="H551" s="1">
        <v>19</v>
      </c>
      <c r="I551" s="1" t="s">
        <v>2</v>
      </c>
      <c r="J551" s="2"/>
      <c r="K551" s="1" t="s">
        <v>121</v>
      </c>
      <c r="L551" s="2"/>
      <c r="M551" s="1" t="s">
        <v>4</v>
      </c>
    </row>
    <row r="552" spans="1:13" ht="12.75" x14ac:dyDescent="0.2">
      <c r="A552" s="5">
        <v>1423961</v>
      </c>
      <c r="B552" s="6">
        <v>44031</v>
      </c>
      <c r="C552" s="6">
        <v>44031</v>
      </c>
      <c r="D552" s="5" t="s">
        <v>5</v>
      </c>
      <c r="E552" s="5" t="s">
        <v>80</v>
      </c>
      <c r="F552" s="5"/>
      <c r="G552" s="5" t="s">
        <v>1</v>
      </c>
      <c r="H552" s="5">
        <v>42</v>
      </c>
      <c r="I552" s="5" t="s">
        <v>15</v>
      </c>
      <c r="J552" s="6"/>
      <c r="K552" s="5" t="s">
        <v>121</v>
      </c>
      <c r="L552" s="6"/>
      <c r="M552" s="5"/>
    </row>
    <row r="553" spans="1:13" ht="12.75" x14ac:dyDescent="0.2">
      <c r="A553" s="1">
        <v>1454338</v>
      </c>
      <c r="B553" s="2">
        <v>44033</v>
      </c>
      <c r="C553" s="2">
        <v>44033</v>
      </c>
      <c r="D553" s="1" t="s">
        <v>0</v>
      </c>
      <c r="E553" s="1" t="s">
        <v>45</v>
      </c>
      <c r="F553" s="1">
        <v>4</v>
      </c>
      <c r="G553" s="1" t="s">
        <v>6</v>
      </c>
      <c r="H553" s="1">
        <v>60</v>
      </c>
      <c r="I553" s="1" t="s">
        <v>15</v>
      </c>
      <c r="J553" s="2"/>
      <c r="K553" s="1" t="s">
        <v>121</v>
      </c>
      <c r="L553" s="2"/>
    </row>
    <row r="554" spans="1:13" ht="12.75" x14ac:dyDescent="0.2">
      <c r="A554" s="5">
        <v>5326844</v>
      </c>
      <c r="B554" s="6">
        <v>44180</v>
      </c>
      <c r="C554" s="6">
        <v>44180</v>
      </c>
      <c r="D554" s="5" t="s">
        <v>0</v>
      </c>
      <c r="E554" s="5" t="s">
        <v>11</v>
      </c>
      <c r="F554" s="5">
        <v>6</v>
      </c>
      <c r="G554" s="5" t="s">
        <v>1</v>
      </c>
      <c r="H554" s="5">
        <v>16</v>
      </c>
      <c r="I554" s="5" t="s">
        <v>15</v>
      </c>
      <c r="J554" s="6"/>
      <c r="K554" s="5" t="s">
        <v>121</v>
      </c>
      <c r="L554" s="6"/>
      <c r="M554" s="5"/>
    </row>
    <row r="555" spans="1:13" ht="12.75" x14ac:dyDescent="0.2">
      <c r="A555" s="1">
        <v>4632225</v>
      </c>
      <c r="B555" s="2">
        <v>44124</v>
      </c>
      <c r="C555" s="2">
        <v>44124</v>
      </c>
      <c r="D555" s="1" t="s">
        <v>65</v>
      </c>
      <c r="E555" s="1" t="s">
        <v>112</v>
      </c>
      <c r="G555" s="1" t="s">
        <v>1</v>
      </c>
      <c r="H555" s="1">
        <v>37</v>
      </c>
      <c r="I555" s="1" t="s">
        <v>2</v>
      </c>
      <c r="J555" s="2"/>
      <c r="K555" s="1" t="s">
        <v>121</v>
      </c>
      <c r="L555" s="2"/>
      <c r="M555" s="1" t="s">
        <v>4</v>
      </c>
    </row>
    <row r="556" spans="1:13" ht="12.75" x14ac:dyDescent="0.2">
      <c r="A556" s="5">
        <v>3513133</v>
      </c>
      <c r="B556" s="6">
        <v>44121</v>
      </c>
      <c r="C556" s="6">
        <v>44121</v>
      </c>
      <c r="D556" s="5" t="s">
        <v>0</v>
      </c>
      <c r="E556" s="5" t="s">
        <v>33</v>
      </c>
      <c r="F556" s="5">
        <v>13</v>
      </c>
      <c r="G556" s="5" t="s">
        <v>1</v>
      </c>
      <c r="H556" s="5">
        <v>34</v>
      </c>
      <c r="I556" s="5" t="s">
        <v>2</v>
      </c>
      <c r="J556" s="6"/>
      <c r="K556" s="5" t="s">
        <v>121</v>
      </c>
      <c r="L556" s="6"/>
      <c r="M556" s="5" t="s">
        <v>4</v>
      </c>
    </row>
    <row r="557" spans="1:13" ht="12.75" x14ac:dyDescent="0.2">
      <c r="A557" s="1">
        <v>2724758</v>
      </c>
      <c r="B557" s="2">
        <v>44092</v>
      </c>
      <c r="C557" s="2">
        <v>44092</v>
      </c>
      <c r="D557" s="1" t="s">
        <v>5</v>
      </c>
      <c r="E557" s="1" t="s">
        <v>80</v>
      </c>
      <c r="G557" s="1" t="s">
        <v>1</v>
      </c>
      <c r="H557" s="1">
        <v>10</v>
      </c>
      <c r="I557" s="1" t="s">
        <v>2</v>
      </c>
      <c r="J557" s="2">
        <v>44048</v>
      </c>
      <c r="K557" s="1" t="s">
        <v>121</v>
      </c>
      <c r="L557" s="2"/>
      <c r="M557" s="1" t="s">
        <v>4</v>
      </c>
    </row>
    <row r="558" spans="1:13" ht="12.75" x14ac:dyDescent="0.2">
      <c r="A558" s="5">
        <v>929040</v>
      </c>
      <c r="B558" s="6">
        <v>43963</v>
      </c>
      <c r="C558" s="6">
        <v>43964</v>
      </c>
      <c r="D558" s="5" t="s">
        <v>5</v>
      </c>
      <c r="E558" s="5" t="s">
        <v>99</v>
      </c>
      <c r="F558" s="5"/>
      <c r="G558" s="5" t="s">
        <v>6</v>
      </c>
      <c r="H558" s="5">
        <v>48</v>
      </c>
      <c r="I558" s="5" t="s">
        <v>15</v>
      </c>
      <c r="J558" s="6"/>
      <c r="K558" s="5" t="s">
        <v>121</v>
      </c>
      <c r="L558" s="6"/>
      <c r="M558" s="5"/>
    </row>
    <row r="559" spans="1:13" ht="12.75" x14ac:dyDescent="0.2">
      <c r="A559" s="1">
        <v>5171085</v>
      </c>
      <c r="B559" s="2">
        <v>44177</v>
      </c>
      <c r="C559" s="2">
        <v>44177</v>
      </c>
      <c r="D559" s="1" t="s">
        <v>0</v>
      </c>
      <c r="E559" s="1" t="s">
        <v>10</v>
      </c>
      <c r="F559" s="1">
        <v>5</v>
      </c>
      <c r="G559" s="1" t="s">
        <v>6</v>
      </c>
      <c r="H559" s="1">
        <v>37</v>
      </c>
      <c r="I559" s="1" t="s">
        <v>21</v>
      </c>
      <c r="J559" s="2"/>
      <c r="K559" s="1" t="s">
        <v>121</v>
      </c>
      <c r="L559" s="2"/>
      <c r="M559" s="5" t="s">
        <v>20</v>
      </c>
    </row>
    <row r="560" spans="1:13" ht="12.75" x14ac:dyDescent="0.2">
      <c r="A560" s="5">
        <v>2948541</v>
      </c>
      <c r="B560" s="6">
        <v>44100</v>
      </c>
      <c r="C560" s="6">
        <v>44101</v>
      </c>
      <c r="D560" s="5" t="s">
        <v>5</v>
      </c>
      <c r="E560" s="5" t="s">
        <v>79</v>
      </c>
      <c r="F560" s="5"/>
      <c r="G560" s="5" t="s">
        <v>6</v>
      </c>
      <c r="H560" s="5">
        <v>28</v>
      </c>
      <c r="I560" s="5" t="s">
        <v>2</v>
      </c>
      <c r="J560" s="6"/>
      <c r="K560" s="5" t="s">
        <v>121</v>
      </c>
      <c r="L560" s="6"/>
      <c r="M560" s="5" t="s">
        <v>4</v>
      </c>
    </row>
    <row r="561" spans="1:13" ht="12.75" x14ac:dyDescent="0.2">
      <c r="A561" s="1">
        <v>1159108</v>
      </c>
      <c r="B561" s="2">
        <v>44006</v>
      </c>
      <c r="C561" s="2">
        <v>44007</v>
      </c>
      <c r="D561" s="1" t="s">
        <v>5</v>
      </c>
      <c r="E561" s="1" t="s">
        <v>102</v>
      </c>
      <c r="G561" s="1" t="s">
        <v>1</v>
      </c>
      <c r="H561" s="1">
        <v>33</v>
      </c>
      <c r="I561" s="1" t="s">
        <v>2</v>
      </c>
      <c r="J561" s="2"/>
      <c r="K561" s="1" t="s">
        <v>121</v>
      </c>
      <c r="L561" s="2"/>
      <c r="M561" s="1" t="s">
        <v>22</v>
      </c>
    </row>
    <row r="562" spans="1:13" ht="12.75" x14ac:dyDescent="0.2">
      <c r="A562" s="5">
        <v>1423666</v>
      </c>
      <c r="B562" s="6">
        <v>44025</v>
      </c>
      <c r="C562" s="6">
        <v>44025</v>
      </c>
      <c r="D562" s="5" t="s">
        <v>5</v>
      </c>
      <c r="E562" s="5" t="s">
        <v>80</v>
      </c>
      <c r="F562" s="5"/>
      <c r="G562" s="5" t="s">
        <v>1</v>
      </c>
      <c r="H562" s="5">
        <v>34</v>
      </c>
      <c r="I562" s="5" t="s">
        <v>15</v>
      </c>
      <c r="J562" s="6"/>
      <c r="K562" s="5" t="s">
        <v>121</v>
      </c>
      <c r="L562" s="6"/>
      <c r="M562" s="5"/>
    </row>
    <row r="563" spans="1:13" ht="12.75" x14ac:dyDescent="0.2">
      <c r="A563" s="1">
        <v>1522458</v>
      </c>
      <c r="B563" s="2">
        <v>44037</v>
      </c>
      <c r="C563" s="2">
        <v>44038</v>
      </c>
      <c r="D563" s="1" t="s">
        <v>0</v>
      </c>
      <c r="E563" s="1" t="s">
        <v>27</v>
      </c>
      <c r="F563" s="1">
        <v>4</v>
      </c>
      <c r="G563" s="1" t="s">
        <v>1</v>
      </c>
      <c r="H563" s="1">
        <v>33</v>
      </c>
      <c r="I563" s="1" t="s">
        <v>2</v>
      </c>
      <c r="J563" s="2"/>
      <c r="K563" s="1" t="s">
        <v>121</v>
      </c>
      <c r="L563" s="2">
        <v>44048</v>
      </c>
      <c r="M563" s="1" t="s">
        <v>20</v>
      </c>
    </row>
    <row r="564" spans="1:13" ht="12.75" x14ac:dyDescent="0.2">
      <c r="A564" s="5">
        <v>3391812</v>
      </c>
      <c r="B564" s="6">
        <v>44116</v>
      </c>
      <c r="C564" s="6">
        <v>44116</v>
      </c>
      <c r="D564" s="5" t="s">
        <v>0</v>
      </c>
      <c r="E564" s="5" t="s">
        <v>44</v>
      </c>
      <c r="F564" s="5">
        <v>9</v>
      </c>
      <c r="G564" s="5" t="s">
        <v>1</v>
      </c>
      <c r="H564" s="5">
        <v>65</v>
      </c>
      <c r="I564" s="5" t="s">
        <v>15</v>
      </c>
      <c r="J564" s="6"/>
      <c r="K564" s="5" t="s">
        <v>121</v>
      </c>
      <c r="L564" s="6"/>
      <c r="M564" s="5"/>
    </row>
    <row r="565" spans="1:13" ht="12.75" x14ac:dyDescent="0.2">
      <c r="A565" s="1">
        <v>3930396</v>
      </c>
      <c r="B565" s="2">
        <v>44134</v>
      </c>
      <c r="C565" s="2">
        <v>44134</v>
      </c>
      <c r="D565" s="1" t="s">
        <v>5</v>
      </c>
      <c r="E565" s="1" t="s">
        <v>99</v>
      </c>
      <c r="G565" s="1" t="s">
        <v>6</v>
      </c>
      <c r="H565" s="1">
        <v>15</v>
      </c>
      <c r="I565" s="1" t="s">
        <v>15</v>
      </c>
      <c r="J565" s="2"/>
      <c r="K565" s="1" t="s">
        <v>121</v>
      </c>
      <c r="L565" s="2"/>
    </row>
    <row r="566" spans="1:13" ht="12.75" x14ac:dyDescent="0.2">
      <c r="A566" s="5">
        <v>3764949</v>
      </c>
      <c r="B566" s="6">
        <v>44129</v>
      </c>
      <c r="C566" s="6">
        <v>44130</v>
      </c>
      <c r="D566" s="5" t="s">
        <v>5</v>
      </c>
      <c r="E566" s="5" t="s">
        <v>80</v>
      </c>
      <c r="F566" s="5"/>
      <c r="G566" s="5" t="s">
        <v>1</v>
      </c>
      <c r="H566" s="5">
        <v>26</v>
      </c>
      <c r="I566" s="5" t="s">
        <v>2</v>
      </c>
      <c r="J566" s="6"/>
      <c r="K566" s="5" t="s">
        <v>121</v>
      </c>
      <c r="L566" s="6"/>
      <c r="M566" s="5" t="s">
        <v>4</v>
      </c>
    </row>
    <row r="567" spans="1:13" ht="12.75" x14ac:dyDescent="0.2">
      <c r="A567" s="1">
        <v>1080561</v>
      </c>
      <c r="B567" s="2">
        <v>44164</v>
      </c>
      <c r="C567" s="2">
        <v>44165</v>
      </c>
      <c r="D567" s="1" t="s">
        <v>0</v>
      </c>
      <c r="E567" s="1" t="s">
        <v>40</v>
      </c>
      <c r="F567" s="1">
        <v>1</v>
      </c>
      <c r="G567" s="1" t="s">
        <v>6</v>
      </c>
      <c r="H567" s="1">
        <v>43</v>
      </c>
      <c r="I567" s="1" t="s">
        <v>2</v>
      </c>
      <c r="J567" s="2">
        <v>44180</v>
      </c>
      <c r="K567" s="1" t="s">
        <v>121</v>
      </c>
      <c r="L567" s="2"/>
      <c r="M567" s="1" t="s">
        <v>4</v>
      </c>
    </row>
    <row r="568" spans="1:13" ht="12.75" x14ac:dyDescent="0.2">
      <c r="A568" s="5">
        <v>3460283</v>
      </c>
      <c r="B568" s="6">
        <v>44119</v>
      </c>
      <c r="C568" s="6">
        <v>44119</v>
      </c>
      <c r="D568" s="5" t="s">
        <v>0</v>
      </c>
      <c r="E568" s="5" t="s">
        <v>13</v>
      </c>
      <c r="F568" s="5">
        <v>2</v>
      </c>
      <c r="G568" s="5" t="s">
        <v>1</v>
      </c>
      <c r="H568" s="5">
        <v>38</v>
      </c>
      <c r="I568" s="5" t="s">
        <v>2</v>
      </c>
      <c r="J568" s="6"/>
      <c r="K568" s="5" t="s">
        <v>121</v>
      </c>
      <c r="L568" s="6"/>
      <c r="M568" s="5" t="s">
        <v>9</v>
      </c>
    </row>
    <row r="569" spans="1:13" ht="12.75" x14ac:dyDescent="0.2">
      <c r="A569" s="1">
        <v>1812557</v>
      </c>
      <c r="B569" s="2">
        <v>44054</v>
      </c>
      <c r="C569" s="2">
        <v>44054</v>
      </c>
      <c r="D569" s="1" t="s">
        <v>0</v>
      </c>
      <c r="E569" s="1" t="s">
        <v>37</v>
      </c>
      <c r="F569" s="1">
        <v>13</v>
      </c>
      <c r="G569" s="1" t="s">
        <v>6</v>
      </c>
      <c r="H569" s="1">
        <v>34</v>
      </c>
      <c r="I569" s="1" t="s">
        <v>2</v>
      </c>
      <c r="J569" s="2"/>
      <c r="K569" s="1" t="s">
        <v>121</v>
      </c>
      <c r="L569" s="2"/>
      <c r="M569" s="1" t="s">
        <v>4</v>
      </c>
    </row>
    <row r="570" spans="1:13" ht="12.75" x14ac:dyDescent="0.2">
      <c r="A570" s="5">
        <v>2722292</v>
      </c>
      <c r="B570" s="6">
        <v>44091</v>
      </c>
      <c r="C570" s="6">
        <v>44091</v>
      </c>
      <c r="D570" s="5" t="s">
        <v>0</v>
      </c>
      <c r="E570" s="5" t="s">
        <v>25</v>
      </c>
      <c r="F570" s="5">
        <v>13</v>
      </c>
      <c r="G570" s="5" t="s">
        <v>6</v>
      </c>
      <c r="H570" s="5">
        <v>54</v>
      </c>
      <c r="I570" s="5" t="s">
        <v>15</v>
      </c>
      <c r="J570" s="6"/>
      <c r="K570" s="5" t="s">
        <v>121</v>
      </c>
      <c r="L570" s="6"/>
      <c r="M570" s="5"/>
    </row>
    <row r="571" spans="1:13" ht="12.75" x14ac:dyDescent="0.2">
      <c r="A571" s="1">
        <v>4799649</v>
      </c>
      <c r="B571" s="2">
        <v>44163</v>
      </c>
      <c r="C571" s="2">
        <v>44164</v>
      </c>
      <c r="D571" s="1" t="s">
        <v>0</v>
      </c>
      <c r="E571" s="1" t="s">
        <v>34</v>
      </c>
      <c r="F571" s="1">
        <v>9</v>
      </c>
      <c r="G571" s="1" t="s">
        <v>1</v>
      </c>
      <c r="H571" s="1">
        <v>40</v>
      </c>
      <c r="I571" s="1" t="s">
        <v>15</v>
      </c>
      <c r="J571" s="2"/>
      <c r="K571" s="1" t="s">
        <v>121</v>
      </c>
      <c r="L571" s="2"/>
    </row>
    <row r="572" spans="1:13" ht="12.75" x14ac:dyDescent="0.2">
      <c r="A572" s="5">
        <v>5559407</v>
      </c>
      <c r="B572" s="6">
        <v>44205</v>
      </c>
      <c r="C572" s="6">
        <v>44206</v>
      </c>
      <c r="D572" s="5" t="s">
        <v>5</v>
      </c>
      <c r="E572" s="5" t="s">
        <v>97</v>
      </c>
      <c r="F572" s="5"/>
      <c r="G572" s="5" t="s">
        <v>1</v>
      </c>
      <c r="H572" s="5">
        <v>34</v>
      </c>
      <c r="I572" s="5" t="s">
        <v>2</v>
      </c>
      <c r="J572" s="6"/>
      <c r="K572" s="5" t="s">
        <v>121</v>
      </c>
      <c r="L572" s="6"/>
      <c r="M572" s="5" t="s">
        <v>4</v>
      </c>
    </row>
    <row r="573" spans="1:13" ht="12.75" x14ac:dyDescent="0.2">
      <c r="A573" s="1">
        <v>1473741</v>
      </c>
      <c r="B573" s="2">
        <v>44033</v>
      </c>
      <c r="C573" s="2">
        <v>44034</v>
      </c>
      <c r="D573" s="1" t="s">
        <v>0</v>
      </c>
      <c r="E573" s="1" t="s">
        <v>8</v>
      </c>
      <c r="F573" s="1">
        <v>7</v>
      </c>
      <c r="G573" s="1" t="s">
        <v>6</v>
      </c>
      <c r="H573" s="1">
        <v>47</v>
      </c>
      <c r="I573" s="1" t="s">
        <v>2</v>
      </c>
      <c r="J573" s="2"/>
      <c r="K573" s="1" t="s">
        <v>121</v>
      </c>
      <c r="L573" s="2"/>
      <c r="M573" s="1" t="s">
        <v>4</v>
      </c>
    </row>
    <row r="574" spans="1:13" ht="12.75" x14ac:dyDescent="0.2">
      <c r="A574" s="5">
        <v>3933029</v>
      </c>
      <c r="B574" s="6">
        <v>44133</v>
      </c>
      <c r="C574" s="6">
        <v>44134</v>
      </c>
      <c r="D574" s="5" t="s">
        <v>0</v>
      </c>
      <c r="E574" s="5" t="s">
        <v>39</v>
      </c>
      <c r="F574" s="5">
        <v>8</v>
      </c>
      <c r="G574" s="5" t="s">
        <v>1</v>
      </c>
      <c r="H574" s="5">
        <v>15</v>
      </c>
      <c r="I574" s="5" t="s">
        <v>2</v>
      </c>
      <c r="J574" s="6"/>
      <c r="K574" s="5" t="s">
        <v>121</v>
      </c>
      <c r="L574" s="6"/>
      <c r="M574" s="5" t="s">
        <v>4</v>
      </c>
    </row>
    <row r="575" spans="1:13" ht="12.75" x14ac:dyDescent="0.2">
      <c r="A575" s="1">
        <v>2193764</v>
      </c>
      <c r="B575" s="2">
        <v>44070</v>
      </c>
      <c r="C575" s="2">
        <v>44070</v>
      </c>
      <c r="D575" s="1" t="s">
        <v>5</v>
      </c>
      <c r="E575" s="1" t="s">
        <v>79</v>
      </c>
      <c r="G575" s="1" t="s">
        <v>1</v>
      </c>
      <c r="H575" s="1">
        <v>35</v>
      </c>
      <c r="I575" s="1" t="s">
        <v>15</v>
      </c>
      <c r="J575" s="2"/>
      <c r="K575" s="1" t="s">
        <v>121</v>
      </c>
      <c r="L575" s="2"/>
    </row>
    <row r="576" spans="1:13" ht="12.75" x14ac:dyDescent="0.2">
      <c r="A576" s="5">
        <v>5562044</v>
      </c>
      <c r="B576" s="6">
        <v>44189</v>
      </c>
      <c r="C576" s="6">
        <v>44189</v>
      </c>
      <c r="D576" s="5" t="s">
        <v>0</v>
      </c>
      <c r="E576" s="5" t="s">
        <v>35</v>
      </c>
      <c r="F576" s="5">
        <v>3</v>
      </c>
      <c r="G576" s="5" t="s">
        <v>1</v>
      </c>
      <c r="H576" s="5">
        <v>81</v>
      </c>
      <c r="I576" s="5" t="s">
        <v>15</v>
      </c>
      <c r="J576" s="6"/>
      <c r="K576" s="5" t="s">
        <v>121</v>
      </c>
      <c r="L576" s="6"/>
      <c r="M576" s="5"/>
    </row>
    <row r="577" spans="1:13" ht="12.75" x14ac:dyDescent="0.2">
      <c r="A577" s="1">
        <v>4364313</v>
      </c>
      <c r="B577" s="2">
        <v>44146</v>
      </c>
      <c r="C577" s="2">
        <v>44147</v>
      </c>
      <c r="D577" s="1" t="s">
        <v>66</v>
      </c>
      <c r="E577" s="1" t="s">
        <v>113</v>
      </c>
      <c r="G577" s="1" t="s">
        <v>1</v>
      </c>
      <c r="H577" s="1">
        <v>31</v>
      </c>
      <c r="I577" s="1" t="s">
        <v>15</v>
      </c>
      <c r="J577" s="2"/>
      <c r="K577" s="1" t="s">
        <v>121</v>
      </c>
      <c r="L577" s="2"/>
    </row>
    <row r="578" spans="1:13" ht="12.75" x14ac:dyDescent="0.2">
      <c r="A578" s="5">
        <v>4429651</v>
      </c>
      <c r="B578" s="6">
        <v>44206</v>
      </c>
      <c r="C578" s="6">
        <v>44207</v>
      </c>
      <c r="D578" s="5" t="s">
        <v>5</v>
      </c>
      <c r="E578" s="5" t="s">
        <v>80</v>
      </c>
      <c r="F578" s="5"/>
      <c r="G578" s="5" t="s">
        <v>1</v>
      </c>
      <c r="H578" s="5">
        <v>25</v>
      </c>
      <c r="I578" s="5" t="s">
        <v>2</v>
      </c>
      <c r="J578" s="6"/>
      <c r="K578" s="5" t="s">
        <v>121</v>
      </c>
      <c r="L578" s="6"/>
      <c r="M578" s="5" t="s">
        <v>4</v>
      </c>
    </row>
    <row r="579" spans="1:13" ht="12.75" x14ac:dyDescent="0.2">
      <c r="A579" s="1">
        <v>2522213</v>
      </c>
      <c r="B579" s="2">
        <v>44084</v>
      </c>
      <c r="C579" s="2">
        <v>44084</v>
      </c>
      <c r="D579" s="1" t="s">
        <v>0</v>
      </c>
      <c r="E579" s="1" t="s">
        <v>17</v>
      </c>
      <c r="F579" s="1">
        <v>1</v>
      </c>
      <c r="G579" s="1" t="s">
        <v>6</v>
      </c>
      <c r="H579" s="1">
        <v>27</v>
      </c>
      <c r="I579" s="1" t="s">
        <v>15</v>
      </c>
      <c r="J579" s="2"/>
      <c r="K579" s="1" t="s">
        <v>121</v>
      </c>
      <c r="L579" s="2"/>
    </row>
    <row r="580" spans="1:13" ht="12.75" x14ac:dyDescent="0.2">
      <c r="A580" s="5">
        <v>2752789</v>
      </c>
      <c r="B580" s="6">
        <v>44094</v>
      </c>
      <c r="C580" s="6">
        <v>44094</v>
      </c>
      <c r="D580" s="5" t="s">
        <v>0</v>
      </c>
      <c r="E580" s="5" t="s">
        <v>28</v>
      </c>
      <c r="F580" s="5">
        <v>11</v>
      </c>
      <c r="G580" s="5" t="s">
        <v>6</v>
      </c>
      <c r="H580" s="5">
        <v>41</v>
      </c>
      <c r="I580" s="5" t="s">
        <v>2</v>
      </c>
      <c r="J580" s="6"/>
      <c r="K580" s="5" t="s">
        <v>121</v>
      </c>
      <c r="L580" s="6"/>
      <c r="M580" s="5" t="s">
        <v>4</v>
      </c>
    </row>
    <row r="581" spans="1:13" ht="12.75" x14ac:dyDescent="0.2">
      <c r="A581" s="1">
        <v>5288000</v>
      </c>
      <c r="B581" s="2">
        <v>44180</v>
      </c>
      <c r="C581" s="2">
        <v>44180</v>
      </c>
      <c r="D581" s="1" t="s">
        <v>67</v>
      </c>
      <c r="E581" s="1" t="s">
        <v>114</v>
      </c>
      <c r="G581" s="1" t="s">
        <v>1</v>
      </c>
      <c r="H581" s="1">
        <v>32</v>
      </c>
      <c r="I581" s="1" t="s">
        <v>2</v>
      </c>
      <c r="J581" s="2">
        <v>44136</v>
      </c>
      <c r="K581" s="1" t="s">
        <v>121</v>
      </c>
      <c r="L581" s="2"/>
      <c r="M581" s="1" t="s">
        <v>4</v>
      </c>
    </row>
    <row r="582" spans="1:13" ht="12.75" x14ac:dyDescent="0.2">
      <c r="A582" s="5">
        <v>887361</v>
      </c>
      <c r="B582" s="6">
        <v>43956</v>
      </c>
      <c r="C582" s="6">
        <v>43956</v>
      </c>
      <c r="D582" s="5" t="s">
        <v>0</v>
      </c>
      <c r="E582" s="5" t="s">
        <v>36</v>
      </c>
      <c r="F582" s="5">
        <v>1</v>
      </c>
      <c r="G582" s="5" t="s">
        <v>1</v>
      </c>
      <c r="H582" s="5">
        <v>4</v>
      </c>
      <c r="I582" s="5" t="s">
        <v>2</v>
      </c>
      <c r="J582" s="6"/>
      <c r="K582" s="5" t="s">
        <v>121</v>
      </c>
      <c r="L582" s="6">
        <v>43957</v>
      </c>
      <c r="M582" s="5" t="s">
        <v>9</v>
      </c>
    </row>
    <row r="583" spans="1:13" ht="12.75" x14ac:dyDescent="0.2">
      <c r="A583" s="1">
        <v>4457199</v>
      </c>
      <c r="B583" s="2">
        <v>44149</v>
      </c>
      <c r="C583" s="2">
        <v>44152</v>
      </c>
      <c r="D583" s="1" t="s">
        <v>0</v>
      </c>
      <c r="E583" s="1" t="s">
        <v>13</v>
      </c>
      <c r="F583" s="1">
        <v>2</v>
      </c>
      <c r="G583" s="1" t="s">
        <v>1</v>
      </c>
      <c r="H583" s="1">
        <v>74</v>
      </c>
      <c r="I583" s="1" t="s">
        <v>15</v>
      </c>
      <c r="J583" s="2"/>
      <c r="K583" s="1" t="s">
        <v>121</v>
      </c>
      <c r="L583" s="2"/>
    </row>
    <row r="584" spans="1:13" ht="12.75" x14ac:dyDescent="0.2">
      <c r="A584" s="5">
        <v>763726</v>
      </c>
      <c r="B584" s="6">
        <v>43911</v>
      </c>
      <c r="C584" s="6">
        <v>43912</v>
      </c>
      <c r="D584" s="5" t="s">
        <v>0</v>
      </c>
      <c r="E584" s="5" t="s">
        <v>7</v>
      </c>
      <c r="F584" s="5">
        <v>3</v>
      </c>
      <c r="G584" s="5" t="s">
        <v>6</v>
      </c>
      <c r="H584" s="5">
        <v>22</v>
      </c>
      <c r="I584" s="5" t="s">
        <v>15</v>
      </c>
      <c r="J584" s="6"/>
      <c r="K584" s="5" t="s">
        <v>121</v>
      </c>
      <c r="L584" s="6">
        <v>43914</v>
      </c>
      <c r="M584" s="5"/>
    </row>
    <row r="585" spans="1:13" ht="12.75" x14ac:dyDescent="0.2">
      <c r="A585" s="1">
        <v>5304666</v>
      </c>
      <c r="B585" s="2">
        <v>44180</v>
      </c>
      <c r="C585" s="2">
        <v>44180</v>
      </c>
      <c r="D585" s="1" t="s">
        <v>5</v>
      </c>
      <c r="E585" s="1" t="s">
        <v>81</v>
      </c>
      <c r="G585" s="1" t="s">
        <v>6</v>
      </c>
      <c r="H585" s="1">
        <v>69</v>
      </c>
      <c r="I585" s="1" t="s">
        <v>15</v>
      </c>
      <c r="J585" s="2"/>
      <c r="K585" s="1" t="s">
        <v>121</v>
      </c>
      <c r="L585" s="2"/>
    </row>
    <row r="586" spans="1:13" ht="12.75" x14ac:dyDescent="0.2">
      <c r="A586" s="5">
        <v>3007151</v>
      </c>
      <c r="B586" s="6">
        <v>44102</v>
      </c>
      <c r="C586" s="6">
        <v>44103</v>
      </c>
      <c r="D586" s="5" t="s">
        <v>0</v>
      </c>
      <c r="E586" s="5" t="s">
        <v>13</v>
      </c>
      <c r="F586" s="5">
        <v>2</v>
      </c>
      <c r="G586" s="5" t="s">
        <v>6</v>
      </c>
      <c r="H586" s="5">
        <v>62</v>
      </c>
      <c r="I586" s="5" t="s">
        <v>15</v>
      </c>
      <c r="J586" s="6"/>
      <c r="K586" s="5" t="s">
        <v>121</v>
      </c>
      <c r="L586" s="6"/>
      <c r="M586" s="5"/>
    </row>
    <row r="587" spans="1:13" ht="12.75" x14ac:dyDescent="0.2">
      <c r="A587" s="1">
        <v>1709052</v>
      </c>
      <c r="B587" s="2">
        <v>44048</v>
      </c>
      <c r="C587" s="2">
        <v>44048</v>
      </c>
      <c r="D587" s="1" t="s">
        <v>0</v>
      </c>
      <c r="E587" s="1" t="s">
        <v>11</v>
      </c>
      <c r="F587" s="1">
        <v>6</v>
      </c>
      <c r="G587" s="1" t="s">
        <v>6</v>
      </c>
      <c r="H587" s="1">
        <v>67</v>
      </c>
      <c r="I587" s="1" t="s">
        <v>15</v>
      </c>
      <c r="J587" s="2"/>
      <c r="K587" s="1" t="s">
        <v>121</v>
      </c>
      <c r="L587" s="2"/>
    </row>
    <row r="588" spans="1:13" ht="12.75" x14ac:dyDescent="0.2">
      <c r="A588" s="5">
        <v>5278594</v>
      </c>
      <c r="B588" s="6">
        <v>44176</v>
      </c>
      <c r="C588" s="6">
        <v>44176</v>
      </c>
      <c r="D588" s="5" t="s">
        <v>5</v>
      </c>
      <c r="E588" s="5" t="s">
        <v>102</v>
      </c>
      <c r="F588" s="5"/>
      <c r="G588" s="5" t="s">
        <v>6</v>
      </c>
      <c r="H588" s="5">
        <v>27</v>
      </c>
      <c r="I588" s="5" t="s">
        <v>15</v>
      </c>
      <c r="J588" s="6"/>
      <c r="K588" s="5" t="s">
        <v>121</v>
      </c>
      <c r="L588" s="6"/>
      <c r="M588" s="5"/>
    </row>
    <row r="589" spans="1:13" ht="12.75" x14ac:dyDescent="0.2">
      <c r="A589" s="1">
        <v>1069644</v>
      </c>
      <c r="B589" s="2">
        <v>43994</v>
      </c>
      <c r="C589" s="2">
        <v>43996</v>
      </c>
      <c r="D589" s="1" t="s">
        <v>0</v>
      </c>
      <c r="E589" s="1" t="s">
        <v>39</v>
      </c>
      <c r="F589" s="1">
        <v>8</v>
      </c>
      <c r="G589" s="1" t="s">
        <v>6</v>
      </c>
      <c r="H589" s="1">
        <v>7</v>
      </c>
      <c r="I589" s="1" t="s">
        <v>15</v>
      </c>
      <c r="J589" s="2"/>
      <c r="K589" s="1" t="s">
        <v>121</v>
      </c>
      <c r="L589" s="2"/>
    </row>
    <row r="590" spans="1:13" ht="12.75" x14ac:dyDescent="0.2">
      <c r="A590" s="5">
        <v>5411570</v>
      </c>
      <c r="B590" s="6">
        <v>44184</v>
      </c>
      <c r="C590" s="6">
        <v>44184</v>
      </c>
      <c r="D590" s="5" t="s">
        <v>68</v>
      </c>
      <c r="E590" s="5" t="s">
        <v>115</v>
      </c>
      <c r="F590" s="5"/>
      <c r="G590" s="5" t="s">
        <v>1</v>
      </c>
      <c r="H590" s="5">
        <v>62</v>
      </c>
      <c r="I590" s="5" t="s">
        <v>15</v>
      </c>
      <c r="J590" s="6"/>
      <c r="K590" s="5" t="s">
        <v>121</v>
      </c>
      <c r="L590" s="6"/>
      <c r="M590" s="5"/>
    </row>
    <row r="591" spans="1:13" ht="12.75" x14ac:dyDescent="0.2">
      <c r="A591" s="1">
        <v>1032941</v>
      </c>
      <c r="B591" s="2">
        <v>43988</v>
      </c>
      <c r="C591" s="2">
        <v>44015</v>
      </c>
      <c r="D591" s="1" t="s">
        <v>5</v>
      </c>
      <c r="E591" s="1" t="s">
        <v>80</v>
      </c>
      <c r="G591" s="1" t="s">
        <v>1</v>
      </c>
      <c r="H591" s="1">
        <v>44</v>
      </c>
      <c r="I591" s="1" t="s">
        <v>2</v>
      </c>
      <c r="J591" s="2"/>
      <c r="K591" s="1" t="s">
        <v>121</v>
      </c>
      <c r="L591" s="2">
        <v>44012</v>
      </c>
      <c r="M591" s="1" t="s">
        <v>22</v>
      </c>
    </row>
    <row r="592" spans="1:13" ht="12.75" x14ac:dyDescent="0.2">
      <c r="A592" s="5">
        <v>5373936</v>
      </c>
      <c r="B592" s="6">
        <v>44186</v>
      </c>
      <c r="C592" s="6">
        <v>44186</v>
      </c>
      <c r="D592" s="5" t="s">
        <v>0</v>
      </c>
      <c r="E592" s="5" t="s">
        <v>46</v>
      </c>
      <c r="F592" s="5">
        <v>5</v>
      </c>
      <c r="G592" s="5" t="s">
        <v>1</v>
      </c>
      <c r="H592" s="5">
        <v>33</v>
      </c>
      <c r="I592" s="5" t="s">
        <v>2</v>
      </c>
      <c r="J592" s="6"/>
      <c r="K592" s="5" t="s">
        <v>121</v>
      </c>
      <c r="L592" s="6"/>
      <c r="M592" s="5" t="s">
        <v>4</v>
      </c>
    </row>
    <row r="593" spans="1:13" ht="12.75" x14ac:dyDescent="0.2">
      <c r="A593" s="1">
        <v>2150031</v>
      </c>
      <c r="B593" s="2">
        <v>44070</v>
      </c>
      <c r="C593" s="2">
        <v>44070</v>
      </c>
      <c r="D593" s="1" t="s">
        <v>0</v>
      </c>
      <c r="E593" s="1" t="s">
        <v>16</v>
      </c>
      <c r="F593" s="1">
        <v>15</v>
      </c>
      <c r="G593" s="1" t="s">
        <v>6</v>
      </c>
      <c r="H593" s="1">
        <v>47</v>
      </c>
      <c r="I593" s="1" t="s">
        <v>2</v>
      </c>
      <c r="J593" s="2"/>
      <c r="K593" s="1" t="s">
        <v>121</v>
      </c>
      <c r="L593" s="2"/>
      <c r="M593" s="1" t="s">
        <v>4</v>
      </c>
    </row>
    <row r="594" spans="1:13" ht="12.75" x14ac:dyDescent="0.2">
      <c r="A594" s="5">
        <v>4704664</v>
      </c>
      <c r="B594" s="6">
        <v>44158</v>
      </c>
      <c r="C594" s="6">
        <v>44159</v>
      </c>
      <c r="D594" s="5" t="s">
        <v>0</v>
      </c>
      <c r="E594" s="5" t="s">
        <v>36</v>
      </c>
      <c r="F594" s="5">
        <v>1</v>
      </c>
      <c r="G594" s="5" t="s">
        <v>6</v>
      </c>
      <c r="H594" s="5">
        <v>27</v>
      </c>
      <c r="I594" s="5" t="s">
        <v>15</v>
      </c>
      <c r="J594" s="6"/>
      <c r="K594" s="5" t="s">
        <v>121</v>
      </c>
      <c r="L594" s="6"/>
      <c r="M594" s="5"/>
    </row>
    <row r="595" spans="1:13" ht="12.75" x14ac:dyDescent="0.2">
      <c r="A595" s="1">
        <v>5606791</v>
      </c>
      <c r="B595" s="2">
        <v>44191</v>
      </c>
      <c r="C595" s="2">
        <v>44191</v>
      </c>
      <c r="D595" s="1" t="s">
        <v>5</v>
      </c>
      <c r="E595" s="1" t="s">
        <v>79</v>
      </c>
      <c r="G595" s="1" t="s">
        <v>1</v>
      </c>
      <c r="H595" s="1">
        <v>25</v>
      </c>
      <c r="I595" s="1" t="s">
        <v>15</v>
      </c>
      <c r="J595" s="2"/>
      <c r="K595" s="1" t="s">
        <v>121</v>
      </c>
      <c r="L595" s="2"/>
    </row>
    <row r="596" spans="1:13" ht="12.75" x14ac:dyDescent="0.2">
      <c r="A596" s="5">
        <v>1346126</v>
      </c>
      <c r="B596" s="6">
        <v>44025</v>
      </c>
      <c r="C596" s="6">
        <v>44025</v>
      </c>
      <c r="D596" s="5" t="s">
        <v>0</v>
      </c>
      <c r="E596" s="5" t="s">
        <v>45</v>
      </c>
      <c r="F596" s="5">
        <v>4</v>
      </c>
      <c r="G596" s="5" t="s">
        <v>6</v>
      </c>
      <c r="H596" s="5">
        <v>10</v>
      </c>
      <c r="I596" s="5" t="s">
        <v>2</v>
      </c>
      <c r="J596" s="6"/>
      <c r="K596" s="5" t="s">
        <v>121</v>
      </c>
      <c r="L596" s="6">
        <v>44037</v>
      </c>
      <c r="M596" s="5" t="s">
        <v>4</v>
      </c>
    </row>
    <row r="597" spans="1:13" ht="12.75" x14ac:dyDescent="0.2">
      <c r="A597" s="1">
        <v>1841461</v>
      </c>
      <c r="B597" s="2">
        <v>44055</v>
      </c>
      <c r="C597" s="2">
        <v>44057</v>
      </c>
      <c r="D597" s="1" t="s">
        <v>0</v>
      </c>
      <c r="E597" s="1" t="s">
        <v>14</v>
      </c>
      <c r="F597" s="1">
        <v>14</v>
      </c>
      <c r="G597" s="1" t="s">
        <v>1</v>
      </c>
      <c r="H597" s="1">
        <v>33</v>
      </c>
      <c r="I597" s="1" t="s">
        <v>15</v>
      </c>
      <c r="J597" s="2"/>
      <c r="K597" s="1" t="s">
        <v>121</v>
      </c>
      <c r="L597" s="2"/>
    </row>
    <row r="598" spans="1:13" ht="12.75" x14ac:dyDescent="0.2">
      <c r="A598" s="5">
        <v>1630521</v>
      </c>
      <c r="B598" s="6">
        <v>44045</v>
      </c>
      <c r="C598" s="6">
        <v>44045</v>
      </c>
      <c r="D598" s="5" t="s">
        <v>5</v>
      </c>
      <c r="E598" s="5" t="s">
        <v>96</v>
      </c>
      <c r="F598" s="5"/>
      <c r="G598" s="5" t="s">
        <v>6</v>
      </c>
      <c r="H598" s="5">
        <v>59</v>
      </c>
      <c r="I598" s="5" t="s">
        <v>2</v>
      </c>
      <c r="J598" s="6">
        <v>44167</v>
      </c>
      <c r="K598" s="5" t="s">
        <v>121</v>
      </c>
      <c r="L598" s="6"/>
      <c r="M598" s="5" t="s">
        <v>20</v>
      </c>
    </row>
    <row r="599" spans="1:13" ht="12.75" x14ac:dyDescent="0.2">
      <c r="A599" s="1">
        <v>797633</v>
      </c>
      <c r="B599" s="2">
        <v>43928</v>
      </c>
      <c r="C599" s="2">
        <v>43928</v>
      </c>
      <c r="D599" s="1" t="s">
        <v>0</v>
      </c>
      <c r="E599" s="1" t="s">
        <v>10</v>
      </c>
      <c r="F599" s="1">
        <v>5</v>
      </c>
      <c r="G599" s="1" t="s">
        <v>1</v>
      </c>
      <c r="H599" s="1">
        <v>83</v>
      </c>
      <c r="I599" s="1" t="s">
        <v>15</v>
      </c>
      <c r="J599" s="2"/>
      <c r="K599" s="1" t="s">
        <v>121</v>
      </c>
      <c r="L599" s="2"/>
    </row>
    <row r="600" spans="1:13" ht="12.75" x14ac:dyDescent="0.2">
      <c r="A600" s="5">
        <v>5614768</v>
      </c>
      <c r="B600" s="6">
        <v>44189</v>
      </c>
      <c r="C600" s="6">
        <v>44189</v>
      </c>
      <c r="D600" s="5" t="s">
        <v>5</v>
      </c>
      <c r="E600" s="5" t="s">
        <v>79</v>
      </c>
      <c r="F600" s="5"/>
      <c r="G600" s="5" t="s">
        <v>6</v>
      </c>
      <c r="H600" s="5">
        <v>79</v>
      </c>
      <c r="I600" s="5" t="s">
        <v>15</v>
      </c>
      <c r="J600" s="6"/>
      <c r="K600" s="5" t="s">
        <v>121</v>
      </c>
      <c r="L600" s="6"/>
      <c r="M600" s="5"/>
    </row>
    <row r="601" spans="1:13" ht="12.75" x14ac:dyDescent="0.2">
      <c r="A601" s="1">
        <v>1257992</v>
      </c>
      <c r="B601" s="2">
        <v>44017</v>
      </c>
      <c r="C601" s="2">
        <v>44017</v>
      </c>
      <c r="D601" s="1" t="s">
        <v>5</v>
      </c>
      <c r="E601" s="1" t="s">
        <v>102</v>
      </c>
      <c r="G601" s="1" t="s">
        <v>6</v>
      </c>
      <c r="H601" s="1">
        <v>27</v>
      </c>
      <c r="I601" s="1" t="s">
        <v>2</v>
      </c>
      <c r="J601" s="2"/>
      <c r="K601" s="1" t="s">
        <v>121</v>
      </c>
      <c r="L601" s="2"/>
      <c r="M601" s="1" t="s">
        <v>9</v>
      </c>
    </row>
    <row r="602" spans="1:13" ht="12.75" x14ac:dyDescent="0.2">
      <c r="A602" s="5">
        <v>3051406</v>
      </c>
      <c r="B602" s="6">
        <v>44104</v>
      </c>
      <c r="C602" s="6">
        <v>44105</v>
      </c>
      <c r="D602" s="5" t="s">
        <v>5</v>
      </c>
      <c r="E602" s="5" t="s">
        <v>75</v>
      </c>
      <c r="F602" s="5"/>
      <c r="G602" s="5" t="s">
        <v>1</v>
      </c>
      <c r="H602" s="5">
        <v>59</v>
      </c>
      <c r="I602" s="5" t="s">
        <v>2</v>
      </c>
      <c r="J602" s="6"/>
      <c r="K602" s="5" t="s">
        <v>121</v>
      </c>
      <c r="L602" s="6"/>
      <c r="M602" s="5" t="s">
        <v>4</v>
      </c>
    </row>
    <row r="603" spans="1:13" ht="12.75" x14ac:dyDescent="0.2">
      <c r="A603" s="1">
        <v>3009188</v>
      </c>
      <c r="B603" s="2">
        <v>44104</v>
      </c>
      <c r="C603" s="2">
        <v>44105</v>
      </c>
      <c r="D603" s="1" t="s">
        <v>0</v>
      </c>
      <c r="E603" s="1" t="s">
        <v>29</v>
      </c>
      <c r="F603" s="1">
        <v>12</v>
      </c>
      <c r="G603" s="1" t="s">
        <v>6</v>
      </c>
      <c r="H603" s="1">
        <v>36</v>
      </c>
      <c r="I603" s="1" t="s">
        <v>2</v>
      </c>
      <c r="J603" s="2"/>
      <c r="K603" s="1" t="s">
        <v>121</v>
      </c>
      <c r="L603" s="2"/>
      <c r="M603" s="1" t="s">
        <v>4</v>
      </c>
    </row>
    <row r="604" spans="1:13" ht="12.75" x14ac:dyDescent="0.2">
      <c r="A604" s="5">
        <v>3673767</v>
      </c>
      <c r="B604" s="6">
        <v>44124</v>
      </c>
      <c r="C604" s="6">
        <v>44124</v>
      </c>
      <c r="D604" s="5" t="s">
        <v>5</v>
      </c>
      <c r="E604" s="5" t="s">
        <v>77</v>
      </c>
      <c r="F604" s="5"/>
      <c r="G604" s="5" t="s">
        <v>6</v>
      </c>
      <c r="H604" s="5">
        <v>19</v>
      </c>
      <c r="I604" s="5" t="s">
        <v>15</v>
      </c>
      <c r="J604" s="6"/>
      <c r="K604" s="5" t="s">
        <v>121</v>
      </c>
      <c r="L604" s="6"/>
      <c r="M604" s="5"/>
    </row>
    <row r="605" spans="1:13" ht="12.75" x14ac:dyDescent="0.2">
      <c r="A605" s="1">
        <v>3570038</v>
      </c>
      <c r="B605" s="2">
        <v>44136</v>
      </c>
      <c r="C605" s="2">
        <v>44137</v>
      </c>
      <c r="D605" s="1" t="s">
        <v>5</v>
      </c>
      <c r="E605" s="1" t="s">
        <v>78</v>
      </c>
      <c r="G605" s="1" t="s">
        <v>1</v>
      </c>
      <c r="H605" s="1">
        <v>20</v>
      </c>
      <c r="I605" s="1" t="s">
        <v>15</v>
      </c>
      <c r="J605" s="2"/>
      <c r="K605" s="1" t="s">
        <v>121</v>
      </c>
      <c r="L605" s="2"/>
    </row>
    <row r="606" spans="1:13" ht="12.75" x14ac:dyDescent="0.2">
      <c r="A606" s="5">
        <v>1335744</v>
      </c>
      <c r="B606" s="6">
        <v>44024</v>
      </c>
      <c r="C606" s="6">
        <v>44024</v>
      </c>
      <c r="D606" s="5" t="s">
        <v>0</v>
      </c>
      <c r="E606" s="5" t="s">
        <v>13</v>
      </c>
      <c r="F606" s="5">
        <v>2</v>
      </c>
      <c r="G606" s="5" t="s">
        <v>1</v>
      </c>
      <c r="H606" s="5">
        <v>95</v>
      </c>
      <c r="I606" s="5" t="s">
        <v>2</v>
      </c>
      <c r="J606" s="6"/>
      <c r="K606" s="5" t="s">
        <v>121</v>
      </c>
      <c r="L606" s="6"/>
      <c r="M606" s="5" t="s">
        <v>4</v>
      </c>
    </row>
    <row r="607" spans="1:13" ht="12.75" x14ac:dyDescent="0.2">
      <c r="A607" s="1">
        <v>4954602</v>
      </c>
      <c r="B607" s="2">
        <v>44168</v>
      </c>
      <c r="C607" s="2">
        <v>44168</v>
      </c>
      <c r="D607" s="1" t="s">
        <v>0</v>
      </c>
      <c r="E607" s="1" t="s">
        <v>7</v>
      </c>
      <c r="F607" s="1">
        <v>3</v>
      </c>
      <c r="G607" s="1" t="s">
        <v>6</v>
      </c>
      <c r="H607" s="1">
        <v>53</v>
      </c>
      <c r="I607" s="1" t="s">
        <v>15</v>
      </c>
      <c r="J607" s="2"/>
      <c r="K607" s="1" t="s">
        <v>121</v>
      </c>
      <c r="L607" s="2"/>
    </row>
    <row r="608" spans="1:13" ht="12.75" x14ac:dyDescent="0.2">
      <c r="A608" s="5">
        <v>3680728</v>
      </c>
      <c r="B608" s="6">
        <v>44125</v>
      </c>
      <c r="C608" s="6">
        <v>44125</v>
      </c>
      <c r="D608" s="5" t="s">
        <v>5</v>
      </c>
      <c r="E608" s="5" t="s">
        <v>102</v>
      </c>
      <c r="F608" s="5"/>
      <c r="G608" s="5" t="s">
        <v>6</v>
      </c>
      <c r="H608" s="5">
        <v>38</v>
      </c>
      <c r="I608" s="5" t="s">
        <v>2</v>
      </c>
      <c r="J608" s="6"/>
      <c r="K608" s="5" t="s">
        <v>121</v>
      </c>
      <c r="L608" s="6"/>
      <c r="M608" s="5" t="s">
        <v>4</v>
      </c>
    </row>
    <row r="609" spans="1:13" ht="12.75" x14ac:dyDescent="0.2">
      <c r="A609" s="1">
        <v>5029991</v>
      </c>
      <c r="B609" s="2">
        <v>44167</v>
      </c>
      <c r="C609" s="2">
        <v>44167</v>
      </c>
      <c r="D609" s="1" t="s">
        <v>5</v>
      </c>
      <c r="E609" s="1" t="s">
        <v>75</v>
      </c>
      <c r="G609" s="1" t="s">
        <v>6</v>
      </c>
      <c r="H609" s="1">
        <v>34</v>
      </c>
      <c r="I609" s="1" t="s">
        <v>15</v>
      </c>
      <c r="J609" s="2"/>
      <c r="K609" s="1" t="s">
        <v>121</v>
      </c>
      <c r="L609" s="2"/>
    </row>
    <row r="610" spans="1:13" ht="12.75" x14ac:dyDescent="0.2">
      <c r="A610" s="5">
        <v>4740825</v>
      </c>
      <c r="B610" s="6">
        <v>44159</v>
      </c>
      <c r="C610" s="6">
        <v>44160</v>
      </c>
      <c r="D610" s="5" t="s">
        <v>5</v>
      </c>
      <c r="E610" s="5" t="s">
        <v>75</v>
      </c>
      <c r="F610" s="5"/>
      <c r="G610" s="5" t="s">
        <v>1</v>
      </c>
      <c r="H610" s="5">
        <v>48</v>
      </c>
      <c r="I610" s="5" t="s">
        <v>15</v>
      </c>
      <c r="J610" s="6"/>
      <c r="K610" s="5" t="s">
        <v>121</v>
      </c>
      <c r="L610" s="6"/>
      <c r="M610" s="5"/>
    </row>
    <row r="611" spans="1:13" ht="12.75" x14ac:dyDescent="0.2">
      <c r="A611" s="1">
        <v>3635928</v>
      </c>
      <c r="B611" s="2">
        <v>44123</v>
      </c>
      <c r="C611" s="2">
        <v>44124</v>
      </c>
      <c r="D611" s="1" t="s">
        <v>5</v>
      </c>
      <c r="E611" s="1" t="s">
        <v>99</v>
      </c>
      <c r="G611" s="1" t="s">
        <v>1</v>
      </c>
      <c r="H611" s="1">
        <v>30</v>
      </c>
      <c r="I611" s="1" t="s">
        <v>2</v>
      </c>
      <c r="J611" s="2"/>
      <c r="K611" s="1" t="s">
        <v>121</v>
      </c>
      <c r="L611" s="2"/>
      <c r="M611" s="1" t="s">
        <v>4</v>
      </c>
    </row>
    <row r="612" spans="1:13" ht="12.75" x14ac:dyDescent="0.2">
      <c r="A612" s="5">
        <v>5686267</v>
      </c>
      <c r="B612" s="6">
        <v>44194</v>
      </c>
      <c r="C612" s="6">
        <v>44194</v>
      </c>
      <c r="D612" s="5" t="s">
        <v>0</v>
      </c>
      <c r="E612" s="5" t="s">
        <v>50</v>
      </c>
      <c r="F612" s="5">
        <v>1</v>
      </c>
      <c r="G612" s="5" t="s">
        <v>6</v>
      </c>
      <c r="H612" s="5">
        <v>25</v>
      </c>
      <c r="I612" s="5" t="s">
        <v>15</v>
      </c>
      <c r="J612" s="6"/>
      <c r="K612" s="5" t="s">
        <v>121</v>
      </c>
      <c r="L612" s="6"/>
      <c r="M612" s="5"/>
    </row>
    <row r="613" spans="1:13" ht="12.75" x14ac:dyDescent="0.2">
      <c r="A613" s="1">
        <v>1495861</v>
      </c>
      <c r="B613" s="2">
        <v>44035</v>
      </c>
      <c r="C613" s="2">
        <v>44036</v>
      </c>
      <c r="D613" s="1" t="s">
        <v>0</v>
      </c>
      <c r="E613" s="1" t="s">
        <v>7</v>
      </c>
      <c r="F613" s="1">
        <v>3</v>
      </c>
      <c r="G613" s="1" t="s">
        <v>6</v>
      </c>
      <c r="H613" s="1">
        <v>16</v>
      </c>
      <c r="I613" s="1" t="s">
        <v>2</v>
      </c>
      <c r="J613" s="2"/>
      <c r="K613" s="1" t="s">
        <v>121</v>
      </c>
      <c r="L613" s="2">
        <v>44045</v>
      </c>
      <c r="M613" s="1" t="s">
        <v>9</v>
      </c>
    </row>
    <row r="614" spans="1:13" ht="12.75" x14ac:dyDescent="0.2">
      <c r="A614" s="5">
        <v>5055725</v>
      </c>
      <c r="B614" s="6">
        <v>44173</v>
      </c>
      <c r="C614" s="6">
        <v>44173</v>
      </c>
      <c r="D614" s="5" t="s">
        <v>0</v>
      </c>
      <c r="E614" s="5" t="s">
        <v>14</v>
      </c>
      <c r="F614" s="5">
        <v>14</v>
      </c>
      <c r="G614" s="5" t="s">
        <v>6</v>
      </c>
      <c r="H614" s="5">
        <v>34</v>
      </c>
      <c r="I614" s="5" t="s">
        <v>2</v>
      </c>
      <c r="J614" s="6"/>
      <c r="K614" s="5" t="s">
        <v>121</v>
      </c>
      <c r="L614" s="6"/>
      <c r="M614" s="5" t="s">
        <v>4</v>
      </c>
    </row>
    <row r="615" spans="1:13" ht="12.75" x14ac:dyDescent="0.2">
      <c r="A615" s="1">
        <v>2840033</v>
      </c>
      <c r="B615" s="2">
        <v>44106</v>
      </c>
      <c r="C615" s="2">
        <v>44106</v>
      </c>
      <c r="D615" s="1" t="s">
        <v>5</v>
      </c>
      <c r="E615" s="1" t="s">
        <v>77</v>
      </c>
      <c r="G615" s="1" t="s">
        <v>1</v>
      </c>
      <c r="H615" s="1">
        <v>54</v>
      </c>
      <c r="I615" s="1" t="s">
        <v>2</v>
      </c>
      <c r="J615" s="2"/>
      <c r="K615" s="1" t="s">
        <v>121</v>
      </c>
      <c r="L615" s="2"/>
      <c r="M615" s="1" t="s">
        <v>22</v>
      </c>
    </row>
    <row r="616" spans="1:13" ht="12.75" x14ac:dyDescent="0.2">
      <c r="A616" s="5">
        <v>5513051</v>
      </c>
      <c r="B616" s="6">
        <v>44186</v>
      </c>
      <c r="C616" s="6">
        <v>44186</v>
      </c>
      <c r="D616" s="5" t="s">
        <v>0</v>
      </c>
      <c r="E616" s="5" t="s">
        <v>42</v>
      </c>
      <c r="F616" s="5">
        <v>11</v>
      </c>
      <c r="G616" s="5" t="s">
        <v>6</v>
      </c>
      <c r="H616" s="5">
        <v>34</v>
      </c>
      <c r="I616" s="5" t="s">
        <v>2</v>
      </c>
      <c r="J616" s="6"/>
      <c r="K616" s="5" t="s">
        <v>121</v>
      </c>
      <c r="L616" s="6"/>
      <c r="M616" s="5" t="s">
        <v>9</v>
      </c>
    </row>
    <row r="617" spans="1:13" ht="12.75" x14ac:dyDescent="0.2">
      <c r="A617" s="1">
        <v>4041542</v>
      </c>
      <c r="B617" s="2">
        <v>44139</v>
      </c>
      <c r="C617" s="2">
        <v>44139</v>
      </c>
      <c r="D617" s="1" t="s">
        <v>0</v>
      </c>
      <c r="E617" s="1" t="s">
        <v>8</v>
      </c>
      <c r="F617" s="1">
        <v>7</v>
      </c>
      <c r="G617" s="1" t="s">
        <v>1</v>
      </c>
      <c r="H617" s="1">
        <v>57</v>
      </c>
      <c r="I617" s="1" t="s">
        <v>2</v>
      </c>
      <c r="J617" s="2"/>
      <c r="K617" s="1" t="s">
        <v>121</v>
      </c>
      <c r="L617" s="2"/>
      <c r="M617" s="1" t="s">
        <v>4</v>
      </c>
    </row>
    <row r="618" spans="1:13" ht="12.75" x14ac:dyDescent="0.2">
      <c r="A618" s="5">
        <v>5353239</v>
      </c>
      <c r="B618" s="6">
        <v>44182</v>
      </c>
      <c r="C618" s="6">
        <v>44182</v>
      </c>
      <c r="D618" s="5" t="s">
        <v>0</v>
      </c>
      <c r="E618" s="5" t="s">
        <v>36</v>
      </c>
      <c r="F618" s="5">
        <v>1</v>
      </c>
      <c r="G618" s="5" t="s">
        <v>6</v>
      </c>
      <c r="H618" s="5">
        <v>25</v>
      </c>
      <c r="I618" s="5" t="s">
        <v>15</v>
      </c>
      <c r="J618" s="6"/>
      <c r="K618" s="5" t="s">
        <v>121</v>
      </c>
      <c r="L618" s="6"/>
      <c r="M618" s="5"/>
    </row>
    <row r="619" spans="1:13" ht="12.75" x14ac:dyDescent="0.2">
      <c r="A619" s="1">
        <v>2398828</v>
      </c>
      <c r="B619" s="2">
        <v>44080</v>
      </c>
      <c r="C619" s="2">
        <v>44080</v>
      </c>
      <c r="D619" s="1" t="s">
        <v>0</v>
      </c>
      <c r="E619" s="1" t="s">
        <v>47</v>
      </c>
      <c r="F619" s="1">
        <v>12</v>
      </c>
      <c r="G619" s="1" t="s">
        <v>6</v>
      </c>
      <c r="H619" s="1">
        <v>34</v>
      </c>
      <c r="I619" s="1" t="s">
        <v>2</v>
      </c>
      <c r="J619" s="2"/>
      <c r="K619" s="1" t="s">
        <v>121</v>
      </c>
      <c r="L619" s="2"/>
      <c r="M619" s="1" t="s">
        <v>4</v>
      </c>
    </row>
    <row r="620" spans="1:13" ht="12.75" x14ac:dyDescent="0.2">
      <c r="A620" s="5">
        <v>1459255</v>
      </c>
      <c r="B620" s="6">
        <v>44033</v>
      </c>
      <c r="C620" s="6">
        <v>44033</v>
      </c>
      <c r="D620" s="5" t="s">
        <v>5</v>
      </c>
      <c r="E620" s="5" t="s">
        <v>102</v>
      </c>
      <c r="F620" s="5"/>
      <c r="G620" s="5" t="s">
        <v>1</v>
      </c>
      <c r="H620" s="5">
        <v>50</v>
      </c>
      <c r="I620" s="5" t="s">
        <v>15</v>
      </c>
      <c r="J620" s="6"/>
      <c r="K620" s="5" t="s">
        <v>121</v>
      </c>
      <c r="L620" s="6"/>
      <c r="M620" s="5"/>
    </row>
    <row r="621" spans="1:13" ht="12.75" x14ac:dyDescent="0.2">
      <c r="A621" s="1">
        <v>5568250</v>
      </c>
      <c r="B621" s="2">
        <v>44189</v>
      </c>
      <c r="C621" s="2">
        <v>44189</v>
      </c>
      <c r="D621" s="1" t="s">
        <v>0</v>
      </c>
      <c r="E621" s="1" t="s">
        <v>58</v>
      </c>
      <c r="F621" s="1">
        <v>8</v>
      </c>
      <c r="G621" s="1" t="s">
        <v>6</v>
      </c>
      <c r="H621" s="1">
        <v>31</v>
      </c>
      <c r="I621" s="1" t="s">
        <v>15</v>
      </c>
      <c r="J621" s="2"/>
      <c r="K621" s="1" t="s">
        <v>121</v>
      </c>
      <c r="L621" s="2"/>
    </row>
    <row r="622" spans="1:13" ht="12.75" x14ac:dyDescent="0.2">
      <c r="A622" s="5">
        <v>959422</v>
      </c>
      <c r="B622" s="6">
        <v>43971</v>
      </c>
      <c r="C622" s="6">
        <v>44087</v>
      </c>
      <c r="D622" s="5" t="s">
        <v>5</v>
      </c>
      <c r="E622" s="5" t="s">
        <v>97</v>
      </c>
      <c r="F622" s="5"/>
      <c r="G622" s="5" t="s">
        <v>6</v>
      </c>
      <c r="H622" s="5">
        <v>41</v>
      </c>
      <c r="I622" s="5" t="s">
        <v>2</v>
      </c>
      <c r="J622" s="6"/>
      <c r="K622" s="5" t="s">
        <v>121</v>
      </c>
      <c r="L622" s="6"/>
      <c r="M622" s="5" t="s">
        <v>4</v>
      </c>
    </row>
    <row r="623" spans="1:13" ht="12.75" x14ac:dyDescent="0.2">
      <c r="A623" s="1">
        <v>2938388</v>
      </c>
      <c r="B623" s="2">
        <v>44101</v>
      </c>
      <c r="C623" s="2">
        <v>44101</v>
      </c>
      <c r="D623" s="1" t="s">
        <v>0</v>
      </c>
      <c r="E623" s="1" t="s">
        <v>41</v>
      </c>
      <c r="F623" s="1">
        <v>4</v>
      </c>
      <c r="G623" s="1" t="s">
        <v>1</v>
      </c>
      <c r="H623" s="1">
        <v>11</v>
      </c>
      <c r="I623" s="1" t="s">
        <v>2</v>
      </c>
      <c r="J623" s="2"/>
      <c r="K623" s="1" t="s">
        <v>121</v>
      </c>
      <c r="L623" s="2"/>
      <c r="M623" s="1" t="s">
        <v>4</v>
      </c>
    </row>
    <row r="624" spans="1:13" ht="12.75" x14ac:dyDescent="0.2">
      <c r="A624" s="5">
        <v>5616506</v>
      </c>
      <c r="B624" s="6">
        <v>44189</v>
      </c>
      <c r="C624" s="6">
        <v>44189</v>
      </c>
      <c r="D624" s="5" t="s">
        <v>0</v>
      </c>
      <c r="E624" s="5" t="s">
        <v>18</v>
      </c>
      <c r="F624" s="5">
        <v>8</v>
      </c>
      <c r="G624" s="5" t="s">
        <v>1</v>
      </c>
      <c r="H624" s="5">
        <v>3</v>
      </c>
      <c r="I624" s="5" t="s">
        <v>15</v>
      </c>
      <c r="J624" s="6"/>
      <c r="K624" s="5" t="s">
        <v>121</v>
      </c>
      <c r="L624" s="6"/>
      <c r="M624" s="5"/>
    </row>
    <row r="625" spans="1:13" ht="12.75" x14ac:dyDescent="0.2">
      <c r="A625" s="1">
        <v>3254507</v>
      </c>
      <c r="B625" s="2">
        <v>44110</v>
      </c>
      <c r="C625" s="2">
        <v>44111</v>
      </c>
      <c r="D625" s="1" t="s">
        <v>5</v>
      </c>
      <c r="E625" s="1" t="s">
        <v>77</v>
      </c>
      <c r="G625" s="1" t="s">
        <v>6</v>
      </c>
      <c r="H625" s="1">
        <v>31</v>
      </c>
      <c r="I625" s="1" t="s">
        <v>2</v>
      </c>
      <c r="J625" s="2"/>
      <c r="K625" s="1" t="s">
        <v>121</v>
      </c>
      <c r="L625" s="2"/>
      <c r="M625" s="1" t="s">
        <v>4</v>
      </c>
    </row>
    <row r="626" spans="1:13" ht="12.75" x14ac:dyDescent="0.2">
      <c r="A626" s="5">
        <v>4506627</v>
      </c>
      <c r="B626" s="6">
        <v>44151</v>
      </c>
      <c r="C626" s="6">
        <v>44151</v>
      </c>
      <c r="D626" s="5" t="s">
        <v>5</v>
      </c>
      <c r="E626" s="5" t="s">
        <v>79</v>
      </c>
      <c r="F626" s="5"/>
      <c r="G626" s="5" t="s">
        <v>6</v>
      </c>
      <c r="H626" s="5">
        <v>22</v>
      </c>
      <c r="I626" s="5" t="s">
        <v>15</v>
      </c>
      <c r="J626" s="6"/>
      <c r="K626" s="5" t="s">
        <v>121</v>
      </c>
      <c r="L626" s="6"/>
      <c r="M626" s="5"/>
    </row>
    <row r="627" spans="1:13" ht="12.75" x14ac:dyDescent="0.2">
      <c r="A627" s="1">
        <v>1244863</v>
      </c>
      <c r="B627" s="2">
        <v>44015</v>
      </c>
      <c r="C627" s="2">
        <v>44015</v>
      </c>
      <c r="D627" s="1" t="s">
        <v>5</v>
      </c>
      <c r="E627" s="1" t="s">
        <v>77</v>
      </c>
      <c r="G627" s="1" t="s">
        <v>6</v>
      </c>
      <c r="H627" s="1">
        <v>27</v>
      </c>
      <c r="I627" s="1" t="s">
        <v>15</v>
      </c>
      <c r="J627" s="2"/>
      <c r="K627" s="1" t="s">
        <v>121</v>
      </c>
      <c r="L627" s="2"/>
    </row>
    <row r="628" spans="1:13" ht="12.75" x14ac:dyDescent="0.2">
      <c r="A628" s="5">
        <v>3056891</v>
      </c>
      <c r="B628" s="6">
        <v>44105</v>
      </c>
      <c r="C628" s="6">
        <v>44106</v>
      </c>
      <c r="D628" s="5" t="s">
        <v>5</v>
      </c>
      <c r="E628" s="5" t="s">
        <v>102</v>
      </c>
      <c r="F628" s="5"/>
      <c r="G628" s="5" t="s">
        <v>6</v>
      </c>
      <c r="H628" s="5">
        <v>29</v>
      </c>
      <c r="I628" s="5" t="s">
        <v>15</v>
      </c>
      <c r="J628" s="6"/>
      <c r="K628" s="5" t="s">
        <v>121</v>
      </c>
      <c r="L628" s="6"/>
      <c r="M628" s="5"/>
    </row>
    <row r="629" spans="1:13" ht="12.75" x14ac:dyDescent="0.2">
      <c r="A629" s="1">
        <v>4868908</v>
      </c>
      <c r="B629" s="2">
        <v>44162</v>
      </c>
      <c r="C629" s="2">
        <v>44162</v>
      </c>
      <c r="D629" s="1" t="s">
        <v>0</v>
      </c>
      <c r="E629" s="1" t="s">
        <v>43</v>
      </c>
      <c r="F629" s="1">
        <v>10</v>
      </c>
      <c r="G629" s="1" t="s">
        <v>1</v>
      </c>
      <c r="H629" s="1">
        <v>37</v>
      </c>
      <c r="I629" s="1" t="s">
        <v>15</v>
      </c>
      <c r="J629" s="2"/>
      <c r="K629" s="1" t="s">
        <v>121</v>
      </c>
      <c r="L629" s="2"/>
    </row>
    <row r="630" spans="1:13" ht="12.75" x14ac:dyDescent="0.2">
      <c r="A630" s="5">
        <v>2590989</v>
      </c>
      <c r="B630" s="6">
        <v>44088</v>
      </c>
      <c r="C630" s="6">
        <v>44089</v>
      </c>
      <c r="D630" s="5" t="s">
        <v>0</v>
      </c>
      <c r="E630" s="5" t="s">
        <v>37</v>
      </c>
      <c r="F630" s="5">
        <v>13</v>
      </c>
      <c r="G630" s="5" t="s">
        <v>6</v>
      </c>
      <c r="H630" s="5">
        <v>33</v>
      </c>
      <c r="I630" s="5" t="s">
        <v>2</v>
      </c>
      <c r="J630" s="6"/>
      <c r="K630" s="5" t="s">
        <v>121</v>
      </c>
      <c r="L630" s="6"/>
      <c r="M630" s="5" t="s">
        <v>4</v>
      </c>
    </row>
    <row r="631" spans="1:13" ht="12.75" x14ac:dyDescent="0.2">
      <c r="A631" s="1">
        <v>3046280</v>
      </c>
      <c r="B631" s="2">
        <v>44105</v>
      </c>
      <c r="C631" s="2">
        <v>44105</v>
      </c>
      <c r="D631" s="1" t="s">
        <v>0</v>
      </c>
      <c r="E631" s="1" t="s">
        <v>13</v>
      </c>
      <c r="F631" s="1">
        <v>2</v>
      </c>
      <c r="G631" s="1" t="s">
        <v>1</v>
      </c>
      <c r="H631" s="1">
        <v>28</v>
      </c>
      <c r="I631" s="1" t="s">
        <v>2</v>
      </c>
      <c r="J631" s="2"/>
      <c r="K631" s="1" t="s">
        <v>121</v>
      </c>
      <c r="L631" s="2"/>
      <c r="M631" s="1" t="s">
        <v>4</v>
      </c>
    </row>
    <row r="632" spans="1:13" ht="12.75" x14ac:dyDescent="0.2">
      <c r="A632" s="5">
        <v>1839146</v>
      </c>
      <c r="B632" s="6">
        <v>44055</v>
      </c>
      <c r="C632" s="6">
        <v>44055</v>
      </c>
      <c r="D632" s="5" t="s">
        <v>0</v>
      </c>
      <c r="E632" s="5" t="s">
        <v>38</v>
      </c>
      <c r="F632" s="5">
        <v>12</v>
      </c>
      <c r="G632" s="5" t="s">
        <v>1</v>
      </c>
      <c r="H632" s="5">
        <v>38</v>
      </c>
      <c r="I632" s="5" t="s">
        <v>2</v>
      </c>
      <c r="J632" s="6"/>
      <c r="K632" s="5" t="s">
        <v>121</v>
      </c>
      <c r="L632" s="6">
        <v>44062</v>
      </c>
      <c r="M632" s="5" t="s">
        <v>9</v>
      </c>
    </row>
    <row r="633" spans="1:13" ht="12.75" x14ac:dyDescent="0.2">
      <c r="A633" s="1">
        <v>2994262</v>
      </c>
      <c r="B633" s="2">
        <v>44101</v>
      </c>
      <c r="C633" s="2">
        <v>44102</v>
      </c>
      <c r="D633" s="1" t="s">
        <v>5</v>
      </c>
      <c r="E633" s="1" t="s">
        <v>75</v>
      </c>
      <c r="G633" s="1" t="s">
        <v>6</v>
      </c>
      <c r="H633" s="1">
        <v>30</v>
      </c>
      <c r="I633" s="1" t="s">
        <v>15</v>
      </c>
      <c r="J633" s="2"/>
      <c r="K633" s="1" t="s">
        <v>121</v>
      </c>
      <c r="L633" s="2"/>
    </row>
    <row r="634" spans="1:13" ht="12.75" x14ac:dyDescent="0.2">
      <c r="A634" s="5">
        <v>3592967</v>
      </c>
      <c r="B634" s="6">
        <v>44124</v>
      </c>
      <c r="C634" s="6">
        <v>44123</v>
      </c>
      <c r="D634" s="5" t="s">
        <v>5</v>
      </c>
      <c r="E634" s="5" t="s">
        <v>75</v>
      </c>
      <c r="F634" s="5"/>
      <c r="G634" s="5" t="s">
        <v>6</v>
      </c>
      <c r="H634" s="5">
        <v>42</v>
      </c>
      <c r="I634" s="5" t="s">
        <v>2</v>
      </c>
      <c r="J634" s="6"/>
      <c r="K634" s="5" t="s">
        <v>121</v>
      </c>
      <c r="L634" s="6"/>
      <c r="M634" s="5" t="s">
        <v>4</v>
      </c>
    </row>
    <row r="635" spans="1:13" ht="12.75" x14ac:dyDescent="0.2">
      <c r="A635" s="1">
        <v>1950076</v>
      </c>
      <c r="B635" s="2">
        <v>44061</v>
      </c>
      <c r="C635" s="2">
        <v>44062</v>
      </c>
      <c r="D635" s="1" t="s">
        <v>0</v>
      </c>
      <c r="E635" s="1" t="s">
        <v>35</v>
      </c>
      <c r="F635" s="1">
        <v>3</v>
      </c>
      <c r="G635" s="1" t="s">
        <v>6</v>
      </c>
      <c r="H635" s="1">
        <v>73</v>
      </c>
      <c r="I635" s="1" t="s">
        <v>2</v>
      </c>
      <c r="J635" s="2"/>
      <c r="K635" s="1" t="s">
        <v>121</v>
      </c>
      <c r="L635" s="2"/>
      <c r="M635" s="1" t="s">
        <v>4</v>
      </c>
    </row>
    <row r="636" spans="1:13" ht="12.75" x14ac:dyDescent="0.2">
      <c r="A636" s="5">
        <v>3340172</v>
      </c>
      <c r="B636" s="6">
        <v>44115</v>
      </c>
      <c r="C636" s="6">
        <v>44116</v>
      </c>
      <c r="D636" s="5" t="s">
        <v>0</v>
      </c>
      <c r="E636" s="5" t="s">
        <v>44</v>
      </c>
      <c r="F636" s="5">
        <v>9</v>
      </c>
      <c r="G636" s="5" t="s">
        <v>6</v>
      </c>
      <c r="H636" s="5">
        <v>46</v>
      </c>
      <c r="I636" s="5" t="s">
        <v>2</v>
      </c>
      <c r="J636" s="6"/>
      <c r="K636" s="5" t="s">
        <v>121</v>
      </c>
      <c r="L636" s="6"/>
      <c r="M636" s="5" t="s">
        <v>20</v>
      </c>
    </row>
    <row r="637" spans="1:13" ht="12.75" x14ac:dyDescent="0.2">
      <c r="A637" s="1">
        <v>1335675</v>
      </c>
      <c r="B637" s="2">
        <v>44024</v>
      </c>
      <c r="C637" s="2">
        <v>44024</v>
      </c>
      <c r="D637" s="1" t="s">
        <v>5</v>
      </c>
      <c r="E637" s="1" t="s">
        <v>83</v>
      </c>
      <c r="G637" s="1" t="s">
        <v>1</v>
      </c>
      <c r="H637" s="1">
        <v>93</v>
      </c>
      <c r="I637" s="1" t="s">
        <v>2</v>
      </c>
      <c r="J637" s="2"/>
      <c r="K637" s="1" t="s">
        <v>121</v>
      </c>
      <c r="L637" s="2"/>
      <c r="M637" s="1" t="s">
        <v>4</v>
      </c>
    </row>
    <row r="638" spans="1:13" ht="12.75" x14ac:dyDescent="0.2">
      <c r="A638" s="5">
        <v>4213452</v>
      </c>
      <c r="B638" s="6">
        <v>44142</v>
      </c>
      <c r="C638" s="6">
        <v>44143</v>
      </c>
      <c r="D638" s="5" t="s">
        <v>5</v>
      </c>
      <c r="E638" s="5" t="s">
        <v>84</v>
      </c>
      <c r="F638" s="5"/>
      <c r="G638" s="5" t="s">
        <v>1</v>
      </c>
      <c r="H638" s="5">
        <v>35</v>
      </c>
      <c r="I638" s="5" t="s">
        <v>15</v>
      </c>
      <c r="J638" s="6"/>
      <c r="K638" s="5" t="s">
        <v>121</v>
      </c>
      <c r="L638" s="6"/>
      <c r="M638" s="5"/>
    </row>
    <row r="639" spans="1:13" ht="12.75" x14ac:dyDescent="0.2">
      <c r="A639" s="1">
        <v>4611925</v>
      </c>
      <c r="B639" s="2">
        <v>44154</v>
      </c>
      <c r="C639" s="2">
        <v>44155</v>
      </c>
      <c r="D639" s="1" t="s">
        <v>5</v>
      </c>
      <c r="E639" s="1" t="s">
        <v>85</v>
      </c>
      <c r="G639" s="1" t="s">
        <v>6</v>
      </c>
      <c r="H639" s="1">
        <v>57</v>
      </c>
      <c r="I639" s="1" t="s">
        <v>15</v>
      </c>
      <c r="J639" s="2"/>
      <c r="K639" s="1" t="s">
        <v>121</v>
      </c>
      <c r="L639" s="2"/>
    </row>
    <row r="640" spans="1:13" ht="12.75" x14ac:dyDescent="0.2">
      <c r="A640" s="5">
        <v>2477320</v>
      </c>
      <c r="B640" s="6">
        <v>44081</v>
      </c>
      <c r="C640" s="6">
        <v>44082</v>
      </c>
      <c r="D640" s="5" t="s">
        <v>5</v>
      </c>
      <c r="E640" s="5" t="s">
        <v>98</v>
      </c>
      <c r="F640" s="5"/>
      <c r="G640" s="5" t="s">
        <v>6</v>
      </c>
      <c r="H640" s="5">
        <v>51</v>
      </c>
      <c r="I640" s="5" t="s">
        <v>2</v>
      </c>
      <c r="J640" s="6"/>
      <c r="K640" s="5" t="s">
        <v>121</v>
      </c>
      <c r="L640" s="6"/>
      <c r="M640" s="5" t="s">
        <v>4</v>
      </c>
    </row>
    <row r="641" spans="1:13" ht="12.75" x14ac:dyDescent="0.2">
      <c r="A641" s="1">
        <v>5599268</v>
      </c>
      <c r="B641" s="2">
        <v>44191</v>
      </c>
      <c r="C641" s="2">
        <v>44191</v>
      </c>
      <c r="D641" s="1" t="s">
        <v>5</v>
      </c>
      <c r="E641" s="1" t="s">
        <v>91</v>
      </c>
      <c r="G641" s="1" t="s">
        <v>6</v>
      </c>
      <c r="H641" s="1">
        <v>54</v>
      </c>
      <c r="I641" s="1" t="s">
        <v>15</v>
      </c>
      <c r="J641" s="2"/>
      <c r="K641" s="1" t="s">
        <v>121</v>
      </c>
      <c r="L641" s="2"/>
    </row>
    <row r="642" spans="1:13" ht="12.75" x14ac:dyDescent="0.2">
      <c r="A642" s="5">
        <v>1224152</v>
      </c>
      <c r="B642" s="6">
        <v>44007</v>
      </c>
      <c r="C642" s="6">
        <v>44007</v>
      </c>
      <c r="D642" s="5" t="s">
        <v>0</v>
      </c>
      <c r="E642" s="5" t="s">
        <v>28</v>
      </c>
      <c r="F642" s="5">
        <v>11</v>
      </c>
      <c r="G642" s="5" t="s">
        <v>1</v>
      </c>
      <c r="H642" s="5">
        <v>87</v>
      </c>
      <c r="I642" s="5" t="s">
        <v>15</v>
      </c>
      <c r="J642" s="6"/>
      <c r="K642" s="5" t="s">
        <v>121</v>
      </c>
      <c r="L642" s="6"/>
      <c r="M642" s="5"/>
    </row>
    <row r="643" spans="1:13" ht="12.75" x14ac:dyDescent="0.2">
      <c r="A643" s="1">
        <v>2287409</v>
      </c>
      <c r="B643" s="2">
        <v>44075</v>
      </c>
      <c r="C643" s="2">
        <v>44075</v>
      </c>
      <c r="D643" s="1" t="s">
        <v>5</v>
      </c>
      <c r="E643" s="1" t="s">
        <v>102</v>
      </c>
      <c r="G643" s="1" t="s">
        <v>6</v>
      </c>
      <c r="H643" s="1">
        <v>7</v>
      </c>
      <c r="I643" s="1" t="s">
        <v>15</v>
      </c>
      <c r="J643" s="2"/>
      <c r="K643" s="1" t="s">
        <v>121</v>
      </c>
      <c r="L643" s="2"/>
    </row>
    <row r="644" spans="1:13" ht="12.75" x14ac:dyDescent="0.2">
      <c r="A644" s="5">
        <v>3744823</v>
      </c>
      <c r="B644" s="6">
        <v>44128</v>
      </c>
      <c r="C644" s="6">
        <v>44129</v>
      </c>
      <c r="D644" s="5" t="s">
        <v>5</v>
      </c>
      <c r="E644" s="5" t="s">
        <v>96</v>
      </c>
      <c r="F644" s="5"/>
      <c r="G644" s="5" t="s">
        <v>1</v>
      </c>
      <c r="H644" s="5">
        <v>86</v>
      </c>
      <c r="I644" s="5" t="s">
        <v>15</v>
      </c>
      <c r="J644" s="6"/>
      <c r="K644" s="5" t="s">
        <v>121</v>
      </c>
      <c r="L644" s="6"/>
      <c r="M644" s="5"/>
    </row>
    <row r="645" spans="1:13" ht="12.75" x14ac:dyDescent="0.2">
      <c r="A645" s="1">
        <v>3427172</v>
      </c>
      <c r="B645" s="2">
        <v>44118</v>
      </c>
      <c r="C645" s="2">
        <v>44119</v>
      </c>
      <c r="D645" s="1" t="s">
        <v>0</v>
      </c>
      <c r="E645" s="1" t="s">
        <v>29</v>
      </c>
      <c r="F645" s="1">
        <v>12</v>
      </c>
      <c r="G645" s="1" t="s">
        <v>6</v>
      </c>
      <c r="H645" s="1">
        <v>55</v>
      </c>
      <c r="I645" s="1" t="s">
        <v>2</v>
      </c>
      <c r="J645" s="2"/>
      <c r="K645" s="1" t="s">
        <v>121</v>
      </c>
      <c r="L645" s="2"/>
      <c r="M645" s="1" t="s">
        <v>4</v>
      </c>
    </row>
    <row r="646" spans="1:13" ht="12.75" x14ac:dyDescent="0.2">
      <c r="A646" s="5">
        <v>4050708</v>
      </c>
      <c r="B646" s="6">
        <v>44137</v>
      </c>
      <c r="C646" s="6">
        <v>44138</v>
      </c>
      <c r="D646" s="5" t="s">
        <v>0</v>
      </c>
      <c r="E646" s="5" t="s">
        <v>69</v>
      </c>
      <c r="F646" s="5">
        <v>1</v>
      </c>
      <c r="G646" s="5" t="s">
        <v>1</v>
      </c>
      <c r="H646" s="5">
        <v>25</v>
      </c>
      <c r="I646" s="5" t="s">
        <v>15</v>
      </c>
      <c r="J646" s="6"/>
      <c r="K646" s="5" t="s">
        <v>121</v>
      </c>
      <c r="L646" s="6"/>
      <c r="M646" s="5"/>
    </row>
    <row r="647" spans="1:13" ht="12.75" x14ac:dyDescent="0.2">
      <c r="A647" s="1">
        <v>1161198</v>
      </c>
      <c r="B647" s="2">
        <v>44004</v>
      </c>
      <c r="C647" s="2">
        <v>44004</v>
      </c>
      <c r="D647" s="1" t="s">
        <v>0</v>
      </c>
      <c r="E647" s="1" t="s">
        <v>69</v>
      </c>
      <c r="F647" s="1">
        <v>1</v>
      </c>
      <c r="G647" s="1" t="s">
        <v>1</v>
      </c>
      <c r="H647" s="1">
        <v>28</v>
      </c>
      <c r="I647" s="1" t="s">
        <v>2</v>
      </c>
      <c r="J647" s="2"/>
      <c r="K647" s="1" t="s">
        <v>121</v>
      </c>
      <c r="L647" s="2">
        <v>44014</v>
      </c>
      <c r="M647" s="1" t="s">
        <v>9</v>
      </c>
    </row>
    <row r="648" spans="1:13" ht="12.75" x14ac:dyDescent="0.2">
      <c r="A648" s="5">
        <v>2793807</v>
      </c>
      <c r="B648" s="6">
        <v>44096</v>
      </c>
      <c r="C648" s="6">
        <v>44096</v>
      </c>
      <c r="D648" s="5" t="s">
        <v>0</v>
      </c>
      <c r="E648" s="5" t="s">
        <v>14</v>
      </c>
      <c r="F648" s="5">
        <v>14</v>
      </c>
      <c r="G648" s="5" t="s">
        <v>1</v>
      </c>
      <c r="H648" s="5">
        <v>30</v>
      </c>
      <c r="I648" s="5" t="s">
        <v>15</v>
      </c>
      <c r="J648" s="6"/>
      <c r="K648" s="5" t="s">
        <v>121</v>
      </c>
      <c r="L648" s="6"/>
      <c r="M648" s="5"/>
    </row>
    <row r="649" spans="1:13" ht="12.75" x14ac:dyDescent="0.2">
      <c r="A649" s="1">
        <v>3361515</v>
      </c>
      <c r="B649" s="2">
        <v>44114</v>
      </c>
      <c r="C649" s="2">
        <v>44114</v>
      </c>
      <c r="D649" s="1" t="s">
        <v>0</v>
      </c>
      <c r="E649" s="1" t="s">
        <v>30</v>
      </c>
      <c r="F649" s="1">
        <v>15</v>
      </c>
      <c r="G649" s="1" t="s">
        <v>1</v>
      </c>
      <c r="H649" s="1">
        <v>78</v>
      </c>
      <c r="I649" s="1" t="s">
        <v>2</v>
      </c>
      <c r="J649" s="2"/>
      <c r="K649" s="1" t="s">
        <v>121</v>
      </c>
      <c r="L649" s="2"/>
      <c r="M649" s="1" t="s">
        <v>9</v>
      </c>
    </row>
    <row r="650" spans="1:13" ht="12.75" x14ac:dyDescent="0.2">
      <c r="A650" s="5">
        <v>1008654</v>
      </c>
      <c r="B650" s="6">
        <v>43984</v>
      </c>
      <c r="C650" s="6">
        <v>43985</v>
      </c>
      <c r="D650" s="5" t="s">
        <v>0</v>
      </c>
      <c r="E650" s="5" t="s">
        <v>11</v>
      </c>
      <c r="F650" s="5">
        <v>6</v>
      </c>
      <c r="G650" s="5" t="s">
        <v>1</v>
      </c>
      <c r="H650" s="5">
        <v>54</v>
      </c>
      <c r="I650" s="5" t="s">
        <v>2</v>
      </c>
      <c r="J650" s="6"/>
      <c r="K650" s="5" t="s">
        <v>121</v>
      </c>
      <c r="L650" s="6">
        <v>43991</v>
      </c>
      <c r="M650" s="5" t="s">
        <v>4</v>
      </c>
    </row>
    <row r="651" spans="1:13" ht="12.75" x14ac:dyDescent="0.2">
      <c r="A651" s="1">
        <v>2228442</v>
      </c>
      <c r="B651" s="2">
        <v>44071</v>
      </c>
      <c r="C651" s="2">
        <v>44072</v>
      </c>
      <c r="D651" s="1" t="s">
        <v>5</v>
      </c>
      <c r="E651" s="1" t="s">
        <v>79</v>
      </c>
      <c r="G651" s="1" t="s">
        <v>6</v>
      </c>
      <c r="H651" s="1">
        <v>44</v>
      </c>
      <c r="I651" s="1" t="s">
        <v>15</v>
      </c>
      <c r="J651" s="2"/>
      <c r="K651" s="1" t="s">
        <v>121</v>
      </c>
      <c r="L651" s="2"/>
    </row>
    <row r="652" spans="1:13" ht="12.75" x14ac:dyDescent="0.2">
      <c r="A652" s="5">
        <v>2819407</v>
      </c>
      <c r="B652" s="6">
        <v>44097</v>
      </c>
      <c r="C652" s="6">
        <v>44097</v>
      </c>
      <c r="D652" s="5" t="s">
        <v>5</v>
      </c>
      <c r="E652" s="5" t="s">
        <v>102</v>
      </c>
      <c r="F652" s="5"/>
      <c r="G652" s="5" t="s">
        <v>1</v>
      </c>
      <c r="H652" s="5">
        <v>56</v>
      </c>
      <c r="I652" s="5" t="s">
        <v>15</v>
      </c>
      <c r="J652" s="6"/>
      <c r="K652" s="5" t="s">
        <v>121</v>
      </c>
      <c r="L652" s="6"/>
      <c r="M652" s="5"/>
    </row>
    <row r="653" spans="1:13" ht="12.75" x14ac:dyDescent="0.2">
      <c r="A653" s="1">
        <v>864580</v>
      </c>
      <c r="B653" s="2">
        <v>43947</v>
      </c>
      <c r="C653" s="2">
        <v>44001</v>
      </c>
      <c r="D653" s="1" t="s">
        <v>0</v>
      </c>
      <c r="E653" s="1" t="s">
        <v>45</v>
      </c>
      <c r="F653" s="1">
        <v>4</v>
      </c>
      <c r="G653" s="1" t="s">
        <v>6</v>
      </c>
      <c r="H653" s="1">
        <v>47</v>
      </c>
      <c r="I653" s="1" t="s">
        <v>2</v>
      </c>
      <c r="J653" s="2"/>
      <c r="K653" s="1" t="s">
        <v>121</v>
      </c>
      <c r="L653" s="2"/>
      <c r="M653" s="1" t="s">
        <v>4</v>
      </c>
    </row>
    <row r="654" spans="1:13" ht="12.75" x14ac:dyDescent="0.2">
      <c r="A654" s="5">
        <v>5390806</v>
      </c>
      <c r="B654" s="6">
        <v>44184</v>
      </c>
      <c r="C654" s="6">
        <v>44184</v>
      </c>
      <c r="D654" s="5" t="s">
        <v>5</v>
      </c>
      <c r="E654" s="5" t="s">
        <v>91</v>
      </c>
      <c r="F654" s="5"/>
      <c r="G654" s="5" t="s">
        <v>1</v>
      </c>
      <c r="H654" s="5">
        <v>34</v>
      </c>
      <c r="I654" s="5" t="s">
        <v>21</v>
      </c>
      <c r="J654" s="6"/>
      <c r="K654" s="5" t="s">
        <v>121</v>
      </c>
      <c r="L654" s="6"/>
      <c r="M654" s="5" t="s">
        <v>20</v>
      </c>
    </row>
    <row r="655" spans="1:13" ht="12.75" x14ac:dyDescent="0.2">
      <c r="A655" s="1">
        <v>1640100</v>
      </c>
      <c r="B655" s="2">
        <v>44045</v>
      </c>
      <c r="C655" s="2">
        <v>44045</v>
      </c>
      <c r="D655" s="1" t="s">
        <v>0</v>
      </c>
      <c r="E655" s="1" t="s">
        <v>18</v>
      </c>
      <c r="F655" s="1">
        <v>8</v>
      </c>
      <c r="G655" s="1" t="s">
        <v>6</v>
      </c>
      <c r="H655" s="1">
        <v>5</v>
      </c>
      <c r="I655" s="1" t="s">
        <v>2</v>
      </c>
      <c r="J655" s="2"/>
      <c r="K655" s="1" t="s">
        <v>121</v>
      </c>
      <c r="L655" s="2">
        <v>44051</v>
      </c>
      <c r="M655" s="1" t="s">
        <v>4</v>
      </c>
    </row>
    <row r="656" spans="1:13" ht="12.75" x14ac:dyDescent="0.2">
      <c r="A656" s="5">
        <v>2724154</v>
      </c>
      <c r="B656" s="6">
        <v>44121</v>
      </c>
      <c r="C656" s="6">
        <v>44121</v>
      </c>
      <c r="D656" s="5" t="s">
        <v>5</v>
      </c>
      <c r="E656" s="5" t="s">
        <v>97</v>
      </c>
      <c r="F656" s="5"/>
      <c r="G656" s="5" t="s">
        <v>1</v>
      </c>
      <c r="H656" s="5">
        <v>50</v>
      </c>
      <c r="I656" s="5" t="s">
        <v>2</v>
      </c>
      <c r="J656" s="6"/>
      <c r="K656" s="5" t="s">
        <v>121</v>
      </c>
      <c r="L656" s="6"/>
      <c r="M656" s="5" t="s">
        <v>4</v>
      </c>
    </row>
    <row r="657" spans="1:13" ht="12.75" x14ac:dyDescent="0.2">
      <c r="A657" s="1">
        <v>3372127</v>
      </c>
      <c r="B657" s="2">
        <v>44116</v>
      </c>
      <c r="C657" s="2">
        <v>44116</v>
      </c>
      <c r="D657" s="1" t="s">
        <v>5</v>
      </c>
      <c r="E657" s="1" t="s">
        <v>102</v>
      </c>
      <c r="G657" s="1" t="s">
        <v>6</v>
      </c>
      <c r="H657" s="1">
        <v>26</v>
      </c>
      <c r="I657" s="1" t="s">
        <v>15</v>
      </c>
      <c r="J657" s="2"/>
      <c r="K657" s="1" t="s">
        <v>121</v>
      </c>
      <c r="L657" s="2"/>
    </row>
    <row r="658" spans="1:13" ht="12.75" x14ac:dyDescent="0.2">
      <c r="A658" s="5">
        <v>2293561</v>
      </c>
      <c r="B658" s="6">
        <v>44076</v>
      </c>
      <c r="C658" s="6">
        <v>44076</v>
      </c>
      <c r="D658" s="5" t="s">
        <v>0</v>
      </c>
      <c r="E658" s="5" t="s">
        <v>11</v>
      </c>
      <c r="F658" s="5">
        <v>6</v>
      </c>
      <c r="G658" s="5" t="s">
        <v>6</v>
      </c>
      <c r="H658" s="5">
        <v>69</v>
      </c>
      <c r="I658" s="5" t="s">
        <v>15</v>
      </c>
      <c r="J658" s="6"/>
      <c r="K658" s="5" t="s">
        <v>121</v>
      </c>
      <c r="L658" s="6"/>
      <c r="M658" s="5"/>
    </row>
    <row r="659" spans="1:13" ht="12.75" x14ac:dyDescent="0.2">
      <c r="A659" s="1">
        <v>937062</v>
      </c>
      <c r="B659" s="2">
        <v>43969</v>
      </c>
      <c r="C659" s="2">
        <v>43970</v>
      </c>
      <c r="D659" s="1" t="s">
        <v>5</v>
      </c>
      <c r="E659" s="1" t="s">
        <v>95</v>
      </c>
      <c r="G659" s="1" t="s">
        <v>1</v>
      </c>
      <c r="H659" s="1">
        <v>31</v>
      </c>
      <c r="I659" s="1" t="s">
        <v>2</v>
      </c>
      <c r="J659" s="2"/>
      <c r="K659" s="1" t="s">
        <v>121</v>
      </c>
      <c r="L659" s="2">
        <v>43980</v>
      </c>
      <c r="M659" s="1" t="s">
        <v>4</v>
      </c>
    </row>
    <row r="660" spans="1:13" ht="12.75" x14ac:dyDescent="0.2">
      <c r="A660" s="5">
        <v>3723994</v>
      </c>
      <c r="B660" s="6">
        <v>44127</v>
      </c>
      <c r="C660" s="6">
        <v>44128</v>
      </c>
      <c r="D660" s="5" t="s">
        <v>0</v>
      </c>
      <c r="E660" s="5" t="s">
        <v>10</v>
      </c>
      <c r="F660" s="5">
        <v>5</v>
      </c>
      <c r="G660" s="5" t="s">
        <v>6</v>
      </c>
      <c r="H660" s="5">
        <v>10</v>
      </c>
      <c r="I660" s="5" t="s">
        <v>15</v>
      </c>
      <c r="J660" s="6"/>
      <c r="K660" s="5" t="s">
        <v>121</v>
      </c>
      <c r="L660" s="6"/>
      <c r="M660" s="5"/>
    </row>
    <row r="661" spans="1:13" ht="12.75" x14ac:dyDescent="0.2">
      <c r="A661" s="1">
        <v>4647143</v>
      </c>
      <c r="B661" s="2">
        <v>44155</v>
      </c>
      <c r="C661" s="2">
        <v>44156</v>
      </c>
      <c r="D661" s="1" t="s">
        <v>5</v>
      </c>
      <c r="E661" s="1" t="s">
        <v>76</v>
      </c>
      <c r="G661" s="1" t="s">
        <v>1</v>
      </c>
      <c r="H661" s="1">
        <v>44</v>
      </c>
      <c r="I661" s="1" t="s">
        <v>15</v>
      </c>
      <c r="J661" s="2"/>
      <c r="K661" s="1" t="s">
        <v>121</v>
      </c>
      <c r="L661" s="2"/>
    </row>
    <row r="662" spans="1:13" ht="12.75" x14ac:dyDescent="0.2">
      <c r="A662" s="5">
        <v>2140998</v>
      </c>
      <c r="B662" s="6">
        <v>44068</v>
      </c>
      <c r="C662" s="6">
        <v>44068</v>
      </c>
      <c r="D662" s="5" t="s">
        <v>0</v>
      </c>
      <c r="E662" s="5" t="s">
        <v>7</v>
      </c>
      <c r="F662" s="5">
        <v>3</v>
      </c>
      <c r="G662" s="5" t="s">
        <v>1</v>
      </c>
      <c r="H662" s="5">
        <v>30</v>
      </c>
      <c r="I662" s="5" t="s">
        <v>2</v>
      </c>
      <c r="J662" s="6"/>
      <c r="K662" s="5" t="s">
        <v>121</v>
      </c>
      <c r="L662" s="6"/>
      <c r="M662" s="5" t="s">
        <v>4</v>
      </c>
    </row>
    <row r="663" spans="1:13" ht="12.75" x14ac:dyDescent="0.2">
      <c r="A663" s="1">
        <v>5483479</v>
      </c>
      <c r="B663" s="2">
        <v>44187</v>
      </c>
      <c r="C663" s="2">
        <v>44187</v>
      </c>
      <c r="D663" s="1" t="s">
        <v>68</v>
      </c>
      <c r="E663" s="1" t="s">
        <v>115</v>
      </c>
      <c r="G663" s="1" t="s">
        <v>1</v>
      </c>
      <c r="H663" s="1">
        <v>42</v>
      </c>
      <c r="I663" s="1" t="s">
        <v>15</v>
      </c>
      <c r="J663" s="2"/>
      <c r="K663" s="1" t="s">
        <v>121</v>
      </c>
      <c r="L663" s="2"/>
    </row>
    <row r="664" spans="1:13" ht="12.75" x14ac:dyDescent="0.2">
      <c r="A664" s="5">
        <v>1516617</v>
      </c>
      <c r="B664" s="6">
        <v>44033</v>
      </c>
      <c r="C664" s="6">
        <v>44033</v>
      </c>
      <c r="D664" s="5" t="s">
        <v>5</v>
      </c>
      <c r="E664" s="5" t="s">
        <v>102</v>
      </c>
      <c r="F664" s="5"/>
      <c r="G664" s="5" t="s">
        <v>6</v>
      </c>
      <c r="H664" s="5">
        <v>31</v>
      </c>
      <c r="I664" s="5" t="s">
        <v>2</v>
      </c>
      <c r="J664" s="6"/>
      <c r="K664" s="5" t="s">
        <v>121</v>
      </c>
      <c r="L664" s="6"/>
      <c r="M664" s="5" t="s">
        <v>4</v>
      </c>
    </row>
    <row r="665" spans="1:13" ht="12.75" x14ac:dyDescent="0.2">
      <c r="A665" s="1">
        <v>5537989</v>
      </c>
      <c r="B665" s="2">
        <v>44186</v>
      </c>
      <c r="C665" s="2">
        <v>44186</v>
      </c>
      <c r="D665" s="1" t="s">
        <v>0</v>
      </c>
      <c r="E665" s="1" t="s">
        <v>14</v>
      </c>
      <c r="F665" s="1">
        <v>14</v>
      </c>
      <c r="G665" s="1" t="s">
        <v>1</v>
      </c>
      <c r="H665" s="1">
        <v>24</v>
      </c>
      <c r="I665" s="1" t="s">
        <v>15</v>
      </c>
      <c r="J665" s="2"/>
      <c r="K665" s="1" t="s">
        <v>121</v>
      </c>
      <c r="L665" s="2"/>
    </row>
    <row r="666" spans="1:13" ht="12.75" x14ac:dyDescent="0.2">
      <c r="A666" s="5">
        <v>1011548</v>
      </c>
      <c r="B666" s="6">
        <v>43983</v>
      </c>
      <c r="C666" s="6">
        <v>44002</v>
      </c>
      <c r="D666" s="5" t="s">
        <v>0</v>
      </c>
      <c r="E666" s="5" t="s">
        <v>33</v>
      </c>
      <c r="F666" s="5">
        <v>13</v>
      </c>
      <c r="G666" s="5" t="s">
        <v>6</v>
      </c>
      <c r="H666" s="5">
        <v>32</v>
      </c>
      <c r="I666" s="5" t="s">
        <v>2</v>
      </c>
      <c r="J666" s="6"/>
      <c r="K666" s="5" t="s">
        <v>121</v>
      </c>
      <c r="L666" s="6"/>
      <c r="M666" s="5" t="s">
        <v>4</v>
      </c>
    </row>
    <row r="667" spans="1:13" ht="12.75" x14ac:dyDescent="0.2">
      <c r="A667" s="1">
        <v>2070444</v>
      </c>
      <c r="B667" s="2">
        <v>44057</v>
      </c>
      <c r="C667" s="2">
        <v>44057</v>
      </c>
      <c r="D667" s="1" t="s">
        <v>0</v>
      </c>
      <c r="E667" s="1" t="s">
        <v>16</v>
      </c>
      <c r="F667" s="1">
        <v>15</v>
      </c>
      <c r="G667" s="1" t="s">
        <v>6</v>
      </c>
      <c r="H667" s="1">
        <v>57</v>
      </c>
      <c r="I667" s="1" t="s">
        <v>2</v>
      </c>
      <c r="J667" s="2"/>
      <c r="K667" s="1" t="s">
        <v>121</v>
      </c>
      <c r="L667" s="2"/>
      <c r="M667" s="1" t="s">
        <v>4</v>
      </c>
    </row>
    <row r="668" spans="1:13" ht="12.75" x14ac:dyDescent="0.2">
      <c r="A668" s="5">
        <v>3885557</v>
      </c>
      <c r="B668" s="6">
        <v>44124</v>
      </c>
      <c r="C668" s="6">
        <v>44124</v>
      </c>
      <c r="D668" s="5" t="s">
        <v>0</v>
      </c>
      <c r="E668" s="5" t="s">
        <v>10</v>
      </c>
      <c r="F668" s="5">
        <v>5</v>
      </c>
      <c r="G668" s="5" t="s">
        <v>6</v>
      </c>
      <c r="H668" s="5">
        <v>68</v>
      </c>
      <c r="I668" s="5" t="s">
        <v>15</v>
      </c>
      <c r="J668" s="6"/>
      <c r="K668" s="5" t="s">
        <v>121</v>
      </c>
      <c r="L668" s="6"/>
      <c r="M668" s="5"/>
    </row>
    <row r="669" spans="1:13" ht="12.75" x14ac:dyDescent="0.2">
      <c r="A669" s="1">
        <v>5350438</v>
      </c>
      <c r="B669" s="2">
        <v>44182</v>
      </c>
      <c r="C669" s="2">
        <v>44182</v>
      </c>
      <c r="D669" s="1" t="s">
        <v>5</v>
      </c>
      <c r="E669" s="1" t="s">
        <v>77</v>
      </c>
      <c r="G669" s="1" t="s">
        <v>6</v>
      </c>
      <c r="H669" s="1">
        <v>40</v>
      </c>
      <c r="I669" s="1" t="s">
        <v>15</v>
      </c>
      <c r="J669" s="2"/>
      <c r="K669" s="1" t="s">
        <v>121</v>
      </c>
      <c r="L669" s="2"/>
    </row>
    <row r="670" spans="1:13" ht="12.75" x14ac:dyDescent="0.2">
      <c r="A670" s="5">
        <v>3500145</v>
      </c>
      <c r="B670" s="6">
        <v>44120</v>
      </c>
      <c r="C670" s="6">
        <v>44121</v>
      </c>
      <c r="D670" s="5" t="s">
        <v>0</v>
      </c>
      <c r="E670" s="5" t="s">
        <v>46</v>
      </c>
      <c r="F670" s="5">
        <v>5</v>
      </c>
      <c r="G670" s="5" t="s">
        <v>1</v>
      </c>
      <c r="H670" s="5">
        <v>77</v>
      </c>
      <c r="I670" s="5" t="s">
        <v>15</v>
      </c>
      <c r="J670" s="6"/>
      <c r="K670" s="5" t="s">
        <v>121</v>
      </c>
      <c r="L670" s="6"/>
      <c r="M670" s="5"/>
    </row>
    <row r="671" spans="1:13" ht="12.75" x14ac:dyDescent="0.2">
      <c r="A671" s="1">
        <v>1237367</v>
      </c>
      <c r="B671" s="2">
        <v>44014</v>
      </c>
      <c r="C671" s="2">
        <v>44014</v>
      </c>
      <c r="D671" s="1" t="s">
        <v>0</v>
      </c>
      <c r="E671" s="1" t="s">
        <v>39</v>
      </c>
      <c r="F671" s="1">
        <v>8</v>
      </c>
      <c r="G671" s="1" t="s">
        <v>1</v>
      </c>
      <c r="H671" s="1">
        <v>55</v>
      </c>
      <c r="I671" s="1" t="s">
        <v>2</v>
      </c>
      <c r="J671" s="2"/>
      <c r="K671" s="1" t="s">
        <v>121</v>
      </c>
      <c r="L671" s="2">
        <v>44025</v>
      </c>
      <c r="M671" s="1" t="s">
        <v>9</v>
      </c>
    </row>
    <row r="672" spans="1:13" ht="12.75" x14ac:dyDescent="0.2">
      <c r="A672" s="5">
        <v>4160749</v>
      </c>
      <c r="B672" s="6">
        <v>44125</v>
      </c>
      <c r="C672" s="6">
        <v>44125</v>
      </c>
      <c r="D672" s="5" t="s">
        <v>0</v>
      </c>
      <c r="E672" s="5" t="s">
        <v>18</v>
      </c>
      <c r="F672" s="5">
        <v>8</v>
      </c>
      <c r="G672" s="5" t="s">
        <v>1</v>
      </c>
      <c r="H672" s="5">
        <v>83</v>
      </c>
      <c r="I672" s="5" t="s">
        <v>15</v>
      </c>
      <c r="J672" s="6"/>
      <c r="K672" s="5" t="s">
        <v>121</v>
      </c>
      <c r="L672" s="6"/>
      <c r="M672" s="5"/>
    </row>
    <row r="673" spans="1:13" ht="12.75" x14ac:dyDescent="0.2">
      <c r="A673" s="1">
        <v>1910196</v>
      </c>
      <c r="B673" s="2">
        <v>44058</v>
      </c>
      <c r="C673" s="2">
        <v>44058</v>
      </c>
      <c r="D673" s="1" t="s">
        <v>0</v>
      </c>
      <c r="E673" s="1" t="s">
        <v>14</v>
      </c>
      <c r="F673" s="1">
        <v>14</v>
      </c>
      <c r="G673" s="1" t="s">
        <v>1</v>
      </c>
      <c r="H673" s="1">
        <v>32</v>
      </c>
      <c r="I673" s="1" t="s">
        <v>2</v>
      </c>
      <c r="J673" s="2">
        <v>44077</v>
      </c>
      <c r="K673" s="1" t="s">
        <v>121</v>
      </c>
      <c r="L673" s="2"/>
      <c r="M673" s="1" t="s">
        <v>9</v>
      </c>
    </row>
    <row r="674" spans="1:13" ht="12.75" x14ac:dyDescent="0.2">
      <c r="A674" s="5">
        <v>3481191</v>
      </c>
      <c r="B674" s="6">
        <v>44119</v>
      </c>
      <c r="C674" s="6">
        <v>44120</v>
      </c>
      <c r="D674" s="5" t="s">
        <v>5</v>
      </c>
      <c r="E674" s="5" t="s">
        <v>77</v>
      </c>
      <c r="F674" s="5"/>
      <c r="G674" s="5" t="s">
        <v>1</v>
      </c>
      <c r="H674" s="5">
        <v>24</v>
      </c>
      <c r="I674" s="5" t="s">
        <v>15</v>
      </c>
      <c r="J674" s="6"/>
      <c r="K674" s="5" t="s">
        <v>121</v>
      </c>
      <c r="L674" s="6"/>
      <c r="M674" s="5"/>
    </row>
    <row r="675" spans="1:13" ht="12.75" x14ac:dyDescent="0.2">
      <c r="A675" s="1">
        <v>5181834</v>
      </c>
      <c r="B675" s="2">
        <v>44177</v>
      </c>
      <c r="C675" s="2">
        <v>44177</v>
      </c>
      <c r="D675" s="1" t="s">
        <v>0</v>
      </c>
      <c r="E675" s="1" t="s">
        <v>8</v>
      </c>
      <c r="F675" s="1">
        <v>7</v>
      </c>
      <c r="G675" s="1" t="s">
        <v>6</v>
      </c>
      <c r="H675" s="1">
        <v>31</v>
      </c>
      <c r="I675" s="1" t="s">
        <v>2</v>
      </c>
      <c r="J675" s="2"/>
      <c r="K675" s="1" t="s">
        <v>121</v>
      </c>
      <c r="L675" s="2"/>
      <c r="M675" s="1" t="s">
        <v>4</v>
      </c>
    </row>
    <row r="676" spans="1:13" ht="12.75" x14ac:dyDescent="0.2">
      <c r="A676" s="5">
        <v>1740862</v>
      </c>
      <c r="B676" s="6">
        <v>44049</v>
      </c>
      <c r="C676" s="6">
        <v>44049</v>
      </c>
      <c r="D676" s="5" t="s">
        <v>0</v>
      </c>
      <c r="E676" s="5" t="s">
        <v>52</v>
      </c>
      <c r="F676" s="5">
        <v>11</v>
      </c>
      <c r="G676" s="5" t="s">
        <v>1</v>
      </c>
      <c r="H676" s="5">
        <v>52</v>
      </c>
      <c r="I676" s="5" t="s">
        <v>15</v>
      </c>
      <c r="J676" s="6"/>
      <c r="K676" s="5" t="s">
        <v>121</v>
      </c>
      <c r="L676" s="6"/>
      <c r="M676" s="5"/>
    </row>
    <row r="677" spans="1:13" ht="12.75" x14ac:dyDescent="0.2">
      <c r="A677" s="1">
        <v>1250151</v>
      </c>
      <c r="B677" s="2">
        <v>44014</v>
      </c>
      <c r="C677" s="2">
        <v>44016</v>
      </c>
      <c r="D677" s="1" t="s">
        <v>0</v>
      </c>
      <c r="E677" s="1" t="s">
        <v>44</v>
      </c>
      <c r="F677" s="1">
        <v>9</v>
      </c>
      <c r="G677" s="1" t="s">
        <v>1</v>
      </c>
      <c r="H677" s="1">
        <v>35</v>
      </c>
      <c r="I677" s="1" t="s">
        <v>2</v>
      </c>
      <c r="J677" s="2"/>
      <c r="K677" s="1" t="s">
        <v>121</v>
      </c>
      <c r="L677" s="2"/>
      <c r="M677" s="1" t="s">
        <v>22</v>
      </c>
    </row>
    <row r="678" spans="1:13" ht="12.75" x14ac:dyDescent="0.2">
      <c r="A678" s="5">
        <v>5257947</v>
      </c>
      <c r="B678" s="6">
        <v>44179</v>
      </c>
      <c r="C678" s="6">
        <v>44179</v>
      </c>
      <c r="D678" s="5" t="s">
        <v>0</v>
      </c>
      <c r="E678" s="5" t="s">
        <v>11</v>
      </c>
      <c r="F678" s="5">
        <v>6</v>
      </c>
      <c r="G678" s="5" t="s">
        <v>6</v>
      </c>
      <c r="H678" s="5">
        <v>37</v>
      </c>
      <c r="I678" s="5" t="s">
        <v>15</v>
      </c>
      <c r="J678" s="6"/>
      <c r="K678" s="5" t="s">
        <v>121</v>
      </c>
      <c r="L678" s="6"/>
      <c r="M678" s="5"/>
    </row>
    <row r="679" spans="1:13" ht="12.75" x14ac:dyDescent="0.2">
      <c r="A679" s="1">
        <v>4166446</v>
      </c>
      <c r="B679" s="2">
        <v>44128</v>
      </c>
      <c r="C679" s="2">
        <v>44128</v>
      </c>
      <c r="D679" s="1" t="s">
        <v>70</v>
      </c>
      <c r="E679" s="1" t="s">
        <v>116</v>
      </c>
      <c r="G679" s="1" t="s">
        <v>6</v>
      </c>
      <c r="H679" s="1">
        <v>36</v>
      </c>
      <c r="I679" s="1" t="s">
        <v>2</v>
      </c>
      <c r="J679" s="2"/>
      <c r="K679" s="1" t="s">
        <v>121</v>
      </c>
      <c r="L679" s="2"/>
      <c r="M679" s="1" t="s">
        <v>4</v>
      </c>
    </row>
    <row r="680" spans="1:13" ht="12.75" x14ac:dyDescent="0.2">
      <c r="A680" s="5">
        <v>2843250</v>
      </c>
      <c r="B680" s="6">
        <v>44097</v>
      </c>
      <c r="C680" s="6">
        <v>44098</v>
      </c>
      <c r="D680" s="5" t="s">
        <v>0</v>
      </c>
      <c r="E680" s="5" t="s">
        <v>14</v>
      </c>
      <c r="F680" s="5">
        <v>14</v>
      </c>
      <c r="G680" s="5" t="s">
        <v>6</v>
      </c>
      <c r="H680" s="5">
        <v>50</v>
      </c>
      <c r="I680" s="5" t="s">
        <v>2</v>
      </c>
      <c r="J680" s="6"/>
      <c r="K680" s="5" t="s">
        <v>121</v>
      </c>
      <c r="L680" s="6"/>
      <c r="M680" s="5" t="s">
        <v>20</v>
      </c>
    </row>
    <row r="681" spans="1:13" ht="12.75" x14ac:dyDescent="0.2">
      <c r="A681" s="1">
        <v>2422066</v>
      </c>
      <c r="B681" s="2">
        <v>44079</v>
      </c>
      <c r="C681" s="2">
        <v>44079</v>
      </c>
      <c r="D681" s="1" t="s">
        <v>5</v>
      </c>
      <c r="E681" s="1" t="s">
        <v>99</v>
      </c>
      <c r="G681" s="1" t="s">
        <v>6</v>
      </c>
      <c r="H681" s="1">
        <v>9</v>
      </c>
      <c r="I681" s="1" t="s">
        <v>15</v>
      </c>
      <c r="J681" s="2"/>
      <c r="K681" s="1" t="s">
        <v>121</v>
      </c>
      <c r="L681" s="2"/>
    </row>
    <row r="682" spans="1:13" ht="12.75" x14ac:dyDescent="0.2">
      <c r="A682" s="5">
        <v>2170212</v>
      </c>
      <c r="B682" s="6">
        <v>44067</v>
      </c>
      <c r="C682" s="6">
        <v>44069</v>
      </c>
      <c r="D682" s="5" t="s">
        <v>0</v>
      </c>
      <c r="E682" s="5" t="s">
        <v>13</v>
      </c>
      <c r="F682" s="5">
        <v>2</v>
      </c>
      <c r="G682" s="5" t="s">
        <v>1</v>
      </c>
      <c r="H682" s="5">
        <v>32</v>
      </c>
      <c r="I682" s="5" t="s">
        <v>2</v>
      </c>
      <c r="J682" s="6"/>
      <c r="K682" s="5" t="s">
        <v>121</v>
      </c>
      <c r="L682" s="6"/>
      <c r="M682" s="5" t="s">
        <v>4</v>
      </c>
    </row>
    <row r="683" spans="1:13" ht="12.75" x14ac:dyDescent="0.2">
      <c r="A683" s="1">
        <v>3958974</v>
      </c>
      <c r="B683" s="2">
        <v>44134</v>
      </c>
      <c r="C683" s="2">
        <v>44135</v>
      </c>
      <c r="D683" s="1" t="s">
        <v>0</v>
      </c>
      <c r="E683" s="1" t="s">
        <v>53</v>
      </c>
      <c r="F683" s="1">
        <v>11</v>
      </c>
      <c r="G683" s="1" t="s">
        <v>6</v>
      </c>
      <c r="H683" s="1">
        <v>15</v>
      </c>
      <c r="I683" s="1" t="s">
        <v>15</v>
      </c>
      <c r="J683" s="2"/>
      <c r="K683" s="1" t="s">
        <v>121</v>
      </c>
      <c r="L683" s="2"/>
    </row>
    <row r="684" spans="1:13" ht="12.75" x14ac:dyDescent="0.2">
      <c r="A684" s="5">
        <v>2623699</v>
      </c>
      <c r="B684" s="6">
        <v>44089</v>
      </c>
      <c r="C684" s="6">
        <v>44089</v>
      </c>
      <c r="D684" s="5" t="s">
        <v>5</v>
      </c>
      <c r="E684" s="5" t="s">
        <v>81</v>
      </c>
      <c r="F684" s="5"/>
      <c r="G684" s="5" t="s">
        <v>6</v>
      </c>
      <c r="H684" s="5">
        <v>39</v>
      </c>
      <c r="I684" s="5" t="s">
        <v>2</v>
      </c>
      <c r="J684" s="6"/>
      <c r="K684" s="5" t="s">
        <v>121</v>
      </c>
      <c r="L684" s="6"/>
      <c r="M684" s="5" t="s">
        <v>20</v>
      </c>
    </row>
    <row r="685" spans="1:13" ht="12.75" x14ac:dyDescent="0.2">
      <c r="A685" s="1">
        <v>1927214</v>
      </c>
      <c r="B685" s="2">
        <v>44059</v>
      </c>
      <c r="C685" s="2">
        <v>44060</v>
      </c>
      <c r="D685" s="1" t="s">
        <v>5</v>
      </c>
      <c r="E685" s="1" t="s">
        <v>77</v>
      </c>
      <c r="G685" s="1" t="s">
        <v>1</v>
      </c>
      <c r="H685" s="1">
        <v>71</v>
      </c>
      <c r="I685" s="1" t="s">
        <v>15</v>
      </c>
      <c r="J685" s="2"/>
      <c r="K685" s="1" t="s">
        <v>121</v>
      </c>
      <c r="L685" s="2"/>
    </row>
    <row r="686" spans="1:13" ht="12.75" x14ac:dyDescent="0.2">
      <c r="A686" s="5">
        <v>2123001</v>
      </c>
      <c r="B686" s="6">
        <v>44069</v>
      </c>
      <c r="C686" s="6">
        <v>44069</v>
      </c>
      <c r="D686" s="5" t="s">
        <v>0</v>
      </c>
      <c r="E686" s="5" t="s">
        <v>14</v>
      </c>
      <c r="F686" s="5">
        <v>14</v>
      </c>
      <c r="G686" s="5" t="s">
        <v>1</v>
      </c>
      <c r="H686" s="5">
        <v>40</v>
      </c>
      <c r="I686" s="5" t="s">
        <v>2</v>
      </c>
      <c r="J686" s="6"/>
      <c r="K686" s="5" t="s">
        <v>121</v>
      </c>
      <c r="L686" s="6"/>
      <c r="M686" s="5" t="s">
        <v>4</v>
      </c>
    </row>
    <row r="687" spans="1:13" ht="12.75" x14ac:dyDescent="0.2">
      <c r="A687" s="1">
        <v>3138919</v>
      </c>
      <c r="B687" s="2">
        <v>44108</v>
      </c>
      <c r="C687" s="2">
        <v>44108</v>
      </c>
      <c r="D687" s="1" t="s">
        <v>0</v>
      </c>
      <c r="E687" s="1" t="s">
        <v>16</v>
      </c>
      <c r="F687" s="1">
        <v>15</v>
      </c>
      <c r="G687" s="1" t="s">
        <v>6</v>
      </c>
      <c r="H687" s="1">
        <v>49</v>
      </c>
      <c r="I687" s="1" t="s">
        <v>2</v>
      </c>
      <c r="J687" s="2"/>
      <c r="K687" s="1" t="s">
        <v>121</v>
      </c>
      <c r="L687" s="2"/>
      <c r="M687" s="1" t="s">
        <v>4</v>
      </c>
    </row>
    <row r="688" spans="1:13" ht="12.75" x14ac:dyDescent="0.2">
      <c r="A688" s="5">
        <v>5386792</v>
      </c>
      <c r="B688" s="6">
        <v>44183</v>
      </c>
      <c r="C688" s="6">
        <v>44183</v>
      </c>
      <c r="D688" s="5" t="s">
        <v>63</v>
      </c>
      <c r="E688" s="5" t="s">
        <v>117</v>
      </c>
      <c r="F688" s="5"/>
      <c r="G688" s="5" t="s">
        <v>6</v>
      </c>
      <c r="H688" s="5">
        <v>44</v>
      </c>
      <c r="I688" s="5" t="s">
        <v>15</v>
      </c>
      <c r="J688" s="6"/>
      <c r="K688" s="5" t="s">
        <v>121</v>
      </c>
      <c r="L688" s="6"/>
      <c r="M688" s="5"/>
    </row>
    <row r="689" spans="1:13" ht="12.75" x14ac:dyDescent="0.2">
      <c r="A689" s="1">
        <v>3599937</v>
      </c>
      <c r="B689" s="2">
        <v>44120</v>
      </c>
      <c r="C689" s="2">
        <v>44120</v>
      </c>
      <c r="D689" s="1" t="s">
        <v>5</v>
      </c>
      <c r="E689" s="1" t="s">
        <v>98</v>
      </c>
      <c r="G689" s="1" t="s">
        <v>6</v>
      </c>
      <c r="H689" s="1">
        <v>26</v>
      </c>
      <c r="I689" s="1" t="s">
        <v>15</v>
      </c>
      <c r="J689" s="2"/>
      <c r="K689" s="1" t="s">
        <v>121</v>
      </c>
      <c r="L689" s="2"/>
    </row>
    <row r="690" spans="1:13" ht="12.75" x14ac:dyDescent="0.2">
      <c r="A690" s="5">
        <v>2941876</v>
      </c>
      <c r="B690" s="6">
        <v>44101</v>
      </c>
      <c r="C690" s="6">
        <v>44101</v>
      </c>
      <c r="D690" s="5" t="s">
        <v>5</v>
      </c>
      <c r="E690" s="5" t="s">
        <v>79</v>
      </c>
      <c r="F690" s="5"/>
      <c r="G690" s="5" t="s">
        <v>6</v>
      </c>
      <c r="H690" s="5">
        <v>35</v>
      </c>
      <c r="I690" s="5" t="s">
        <v>2</v>
      </c>
      <c r="J690" s="6"/>
      <c r="K690" s="5" t="s">
        <v>121</v>
      </c>
      <c r="L690" s="6"/>
      <c r="M690" s="5" t="s">
        <v>4</v>
      </c>
    </row>
    <row r="691" spans="1:13" ht="12.75" x14ac:dyDescent="0.2">
      <c r="A691" s="1">
        <v>1697174</v>
      </c>
      <c r="B691" s="2">
        <v>44046</v>
      </c>
      <c r="C691" s="2">
        <v>44048</v>
      </c>
      <c r="D691" s="1" t="s">
        <v>5</v>
      </c>
      <c r="E691" s="1" t="s">
        <v>79</v>
      </c>
      <c r="G691" s="1" t="s">
        <v>1</v>
      </c>
      <c r="H691" s="1">
        <v>66</v>
      </c>
      <c r="I691" s="1" t="s">
        <v>15</v>
      </c>
      <c r="J691" s="2"/>
      <c r="K691" s="1" t="s">
        <v>121</v>
      </c>
      <c r="L691" s="2"/>
    </row>
    <row r="692" spans="1:13" ht="12.75" x14ac:dyDescent="0.2">
      <c r="A692" s="5">
        <v>1067801</v>
      </c>
      <c r="B692" s="6">
        <v>43993</v>
      </c>
      <c r="C692" s="6">
        <v>43995</v>
      </c>
      <c r="D692" s="5" t="s">
        <v>5</v>
      </c>
      <c r="E692" s="5" t="s">
        <v>102</v>
      </c>
      <c r="F692" s="5"/>
      <c r="G692" s="5" t="s">
        <v>1</v>
      </c>
      <c r="H692" s="5">
        <v>64</v>
      </c>
      <c r="I692" s="5" t="s">
        <v>15</v>
      </c>
      <c r="J692" s="6"/>
      <c r="K692" s="5" t="s">
        <v>121</v>
      </c>
      <c r="L692" s="6"/>
      <c r="M692" s="5"/>
    </row>
    <row r="693" spans="1:13" ht="12.75" x14ac:dyDescent="0.2">
      <c r="A693" s="1">
        <v>2694168</v>
      </c>
      <c r="B693" s="2">
        <v>44091</v>
      </c>
      <c r="C693" s="2">
        <v>44091</v>
      </c>
      <c r="D693" s="1" t="s">
        <v>5</v>
      </c>
      <c r="E693" s="1" t="s">
        <v>102</v>
      </c>
      <c r="G693" s="1" t="s">
        <v>1</v>
      </c>
      <c r="H693" s="1">
        <v>4</v>
      </c>
      <c r="I693" s="1" t="s">
        <v>15</v>
      </c>
      <c r="J693" s="2"/>
      <c r="K693" s="1" t="s">
        <v>121</v>
      </c>
      <c r="L693" s="2"/>
    </row>
    <row r="694" spans="1:13" ht="12.75" x14ac:dyDescent="0.2">
      <c r="A694" s="5">
        <v>4566908</v>
      </c>
      <c r="B694" s="6">
        <v>44151</v>
      </c>
      <c r="C694" s="6">
        <v>44151</v>
      </c>
      <c r="D694" s="5" t="s">
        <v>0</v>
      </c>
      <c r="E694" s="5" t="s">
        <v>18</v>
      </c>
      <c r="F694" s="5">
        <v>8</v>
      </c>
      <c r="G694" s="5" t="s">
        <v>1</v>
      </c>
      <c r="H694" s="5">
        <v>81</v>
      </c>
      <c r="I694" s="5" t="s">
        <v>15</v>
      </c>
      <c r="J694" s="6"/>
      <c r="K694" s="5" t="s">
        <v>121</v>
      </c>
      <c r="L694" s="6"/>
      <c r="M694" s="5"/>
    </row>
    <row r="695" spans="1:13" ht="12.75" x14ac:dyDescent="0.2">
      <c r="A695" s="1">
        <v>3168569</v>
      </c>
      <c r="B695" s="2">
        <v>44107</v>
      </c>
      <c r="C695" s="2">
        <v>44108</v>
      </c>
      <c r="D695" s="1" t="s">
        <v>5</v>
      </c>
      <c r="E695" s="1" t="s">
        <v>83</v>
      </c>
      <c r="G695" s="1" t="s">
        <v>1</v>
      </c>
      <c r="H695" s="1">
        <v>44</v>
      </c>
      <c r="I695" s="1" t="s">
        <v>2</v>
      </c>
      <c r="J695" s="2"/>
      <c r="K695" s="1" t="s">
        <v>121</v>
      </c>
      <c r="L695" s="2"/>
      <c r="M695" s="1" t="s">
        <v>4</v>
      </c>
    </row>
    <row r="696" spans="1:13" ht="12.75" x14ac:dyDescent="0.2">
      <c r="A696" s="5">
        <v>4039876</v>
      </c>
      <c r="B696" s="6">
        <v>44138</v>
      </c>
      <c r="C696" s="6">
        <v>44138</v>
      </c>
      <c r="D696" s="5" t="s">
        <v>0</v>
      </c>
      <c r="E696" s="5" t="s">
        <v>45</v>
      </c>
      <c r="F696" s="5">
        <v>4</v>
      </c>
      <c r="G696" s="5" t="s">
        <v>1</v>
      </c>
      <c r="H696" s="5">
        <v>24</v>
      </c>
      <c r="I696" s="5" t="s">
        <v>2</v>
      </c>
      <c r="J696" s="6"/>
      <c r="K696" s="5" t="s">
        <v>121</v>
      </c>
      <c r="L696" s="6"/>
      <c r="M696" s="5" t="s">
        <v>4</v>
      </c>
    </row>
    <row r="697" spans="1:13" ht="12.75" x14ac:dyDescent="0.2">
      <c r="A697" s="1">
        <v>2209565</v>
      </c>
      <c r="B697" s="2">
        <v>44071</v>
      </c>
      <c r="C697" s="2">
        <v>44072</v>
      </c>
      <c r="D697" s="1" t="s">
        <v>0</v>
      </c>
      <c r="E697" s="1" t="s">
        <v>35</v>
      </c>
      <c r="F697" s="1">
        <v>3</v>
      </c>
      <c r="G697" s="1" t="s">
        <v>1</v>
      </c>
      <c r="H697" s="1">
        <v>48</v>
      </c>
      <c r="I697" s="1" t="s">
        <v>2</v>
      </c>
      <c r="J697" s="2"/>
      <c r="K697" s="1" t="s">
        <v>121</v>
      </c>
      <c r="L697" s="2"/>
      <c r="M697" s="1" t="s">
        <v>4</v>
      </c>
    </row>
    <row r="698" spans="1:13" ht="12.75" x14ac:dyDescent="0.2">
      <c r="A698" s="5">
        <v>4919636</v>
      </c>
      <c r="B698" s="6">
        <v>44163</v>
      </c>
      <c r="C698" s="6">
        <v>44163</v>
      </c>
      <c r="D698" s="5" t="s">
        <v>5</v>
      </c>
      <c r="E698" s="5" t="s">
        <v>98</v>
      </c>
      <c r="F698" s="5"/>
      <c r="G698" s="5" t="s">
        <v>1</v>
      </c>
      <c r="H698" s="5">
        <v>30</v>
      </c>
      <c r="I698" s="5" t="s">
        <v>15</v>
      </c>
      <c r="J698" s="6"/>
      <c r="K698" s="5" t="s">
        <v>121</v>
      </c>
      <c r="L698" s="6"/>
      <c r="M698" s="5"/>
    </row>
    <row r="699" spans="1:13" ht="12.75" x14ac:dyDescent="0.2">
      <c r="A699" s="1">
        <v>3026712</v>
      </c>
      <c r="B699" s="2">
        <v>44104</v>
      </c>
      <c r="C699" s="2">
        <v>44106</v>
      </c>
      <c r="D699" s="1" t="s">
        <v>0</v>
      </c>
      <c r="E699" s="1" t="s">
        <v>18</v>
      </c>
      <c r="F699" s="1">
        <v>8</v>
      </c>
      <c r="G699" s="1" t="s">
        <v>6</v>
      </c>
      <c r="H699" s="1">
        <v>53</v>
      </c>
      <c r="I699" s="1" t="s">
        <v>2</v>
      </c>
      <c r="J699" s="2"/>
      <c r="K699" s="1" t="s">
        <v>121</v>
      </c>
      <c r="L699" s="2"/>
      <c r="M699" s="1" t="s">
        <v>20</v>
      </c>
    </row>
    <row r="700" spans="1:13" ht="12.75" x14ac:dyDescent="0.2">
      <c r="A700" s="5">
        <v>2008679</v>
      </c>
      <c r="B700" s="6">
        <v>44063</v>
      </c>
      <c r="C700" s="6">
        <v>44063</v>
      </c>
      <c r="D700" s="5" t="s">
        <v>0</v>
      </c>
      <c r="E700" s="5" t="s">
        <v>45</v>
      </c>
      <c r="F700" s="5">
        <v>4</v>
      </c>
      <c r="G700" s="5" t="s">
        <v>6</v>
      </c>
      <c r="H700" s="5">
        <v>20</v>
      </c>
      <c r="I700" s="5" t="s">
        <v>2</v>
      </c>
      <c r="J700" s="6"/>
      <c r="K700" s="5" t="s">
        <v>121</v>
      </c>
      <c r="L700" s="6">
        <v>44073</v>
      </c>
      <c r="M700" s="5" t="s">
        <v>9</v>
      </c>
    </row>
    <row r="701" spans="1:13" ht="12.75" x14ac:dyDescent="0.2">
      <c r="A701" s="1">
        <v>4645718</v>
      </c>
      <c r="B701" s="2">
        <v>44157</v>
      </c>
      <c r="C701" s="2">
        <v>44157</v>
      </c>
      <c r="D701" s="1" t="s">
        <v>5</v>
      </c>
      <c r="E701" s="1" t="s">
        <v>102</v>
      </c>
      <c r="G701" s="1" t="s">
        <v>1</v>
      </c>
      <c r="H701" s="1">
        <v>48</v>
      </c>
      <c r="I701" s="1" t="s">
        <v>21</v>
      </c>
      <c r="J701" s="2"/>
      <c r="K701" s="1" t="s">
        <v>121</v>
      </c>
      <c r="L701" s="2"/>
      <c r="M701" s="5" t="s">
        <v>20</v>
      </c>
    </row>
    <row r="702" spans="1:13" ht="12.75" x14ac:dyDescent="0.2">
      <c r="A702" s="5">
        <v>1906959</v>
      </c>
      <c r="B702" s="6">
        <v>44058</v>
      </c>
      <c r="C702" s="6">
        <v>44058</v>
      </c>
      <c r="D702" s="5" t="s">
        <v>0</v>
      </c>
      <c r="E702" s="5" t="s">
        <v>14</v>
      </c>
      <c r="F702" s="5">
        <v>14</v>
      </c>
      <c r="G702" s="5" t="s">
        <v>6</v>
      </c>
      <c r="H702" s="5">
        <v>28</v>
      </c>
      <c r="I702" s="5" t="s">
        <v>2</v>
      </c>
      <c r="J702" s="6"/>
      <c r="K702" s="5" t="s">
        <v>121</v>
      </c>
      <c r="L702" s="6"/>
      <c r="M702" s="5" t="s">
        <v>4</v>
      </c>
    </row>
    <row r="703" spans="1:13" ht="12.75" x14ac:dyDescent="0.2">
      <c r="A703" s="1">
        <v>2877448</v>
      </c>
      <c r="B703" s="2">
        <v>44098</v>
      </c>
      <c r="C703" s="2">
        <v>44098</v>
      </c>
      <c r="D703" s="1" t="s">
        <v>0</v>
      </c>
      <c r="E703" s="1" t="s">
        <v>35</v>
      </c>
      <c r="F703" s="1">
        <v>3</v>
      </c>
      <c r="G703" s="1" t="s">
        <v>1</v>
      </c>
      <c r="H703" s="1">
        <v>46</v>
      </c>
      <c r="I703" s="1" t="s">
        <v>2</v>
      </c>
      <c r="J703" s="2"/>
      <c r="K703" s="1" t="s">
        <v>121</v>
      </c>
      <c r="L703" s="2"/>
      <c r="M703" s="1" t="s">
        <v>22</v>
      </c>
    </row>
    <row r="704" spans="1:13" ht="12.75" x14ac:dyDescent="0.2">
      <c r="A704" s="5">
        <v>4576972</v>
      </c>
      <c r="B704" s="6">
        <v>44156</v>
      </c>
      <c r="C704" s="6">
        <v>44156</v>
      </c>
      <c r="D704" s="5" t="s">
        <v>5</v>
      </c>
      <c r="E704" s="5" t="s">
        <v>77</v>
      </c>
      <c r="F704" s="5"/>
      <c r="G704" s="5" t="s">
        <v>6</v>
      </c>
      <c r="H704" s="5">
        <v>19</v>
      </c>
      <c r="I704" s="5" t="s">
        <v>15</v>
      </c>
      <c r="J704" s="6"/>
      <c r="K704" s="5" t="s">
        <v>121</v>
      </c>
      <c r="L704" s="6"/>
      <c r="M704" s="5"/>
    </row>
    <row r="705" spans="1:13" ht="12.75" x14ac:dyDescent="0.2">
      <c r="A705" s="1">
        <v>2097139</v>
      </c>
      <c r="B705" s="2">
        <v>44064</v>
      </c>
      <c r="C705" s="2">
        <v>44067</v>
      </c>
      <c r="D705" s="1" t="s">
        <v>5</v>
      </c>
      <c r="E705" s="1" t="s">
        <v>99</v>
      </c>
      <c r="G705" s="1" t="s">
        <v>6</v>
      </c>
      <c r="H705" s="1">
        <v>53</v>
      </c>
      <c r="I705" s="1" t="s">
        <v>2</v>
      </c>
      <c r="J705" s="2"/>
      <c r="K705" s="1" t="s">
        <v>121</v>
      </c>
      <c r="L705" s="2"/>
      <c r="M705" s="1" t="s">
        <v>4</v>
      </c>
    </row>
    <row r="706" spans="1:13" ht="12.75" x14ac:dyDescent="0.2">
      <c r="A706" s="5">
        <v>3543601</v>
      </c>
      <c r="B706" s="6">
        <v>44123</v>
      </c>
      <c r="C706" s="6">
        <v>44124</v>
      </c>
      <c r="D706" s="5" t="s">
        <v>0</v>
      </c>
      <c r="E706" s="5" t="s">
        <v>10</v>
      </c>
      <c r="F706" s="5">
        <v>5</v>
      </c>
      <c r="G706" s="5" t="s">
        <v>6</v>
      </c>
      <c r="H706" s="5">
        <v>2</v>
      </c>
      <c r="I706" s="5" t="s">
        <v>15</v>
      </c>
      <c r="J706" s="6"/>
      <c r="K706" s="5" t="s">
        <v>121</v>
      </c>
      <c r="L706" s="6"/>
      <c r="M706" s="5"/>
    </row>
    <row r="707" spans="1:13" ht="12.75" x14ac:dyDescent="0.2">
      <c r="A707" s="1">
        <v>5550986</v>
      </c>
      <c r="B707" s="2">
        <v>44315</v>
      </c>
      <c r="C707" s="2">
        <v>44316</v>
      </c>
      <c r="D707" s="1" t="s">
        <v>0</v>
      </c>
      <c r="E707" s="1" t="s">
        <v>47</v>
      </c>
      <c r="F707" s="1">
        <v>12</v>
      </c>
      <c r="G707" s="1" t="s">
        <v>6</v>
      </c>
      <c r="H707" s="1">
        <v>63</v>
      </c>
      <c r="I707" s="1" t="s">
        <v>2</v>
      </c>
      <c r="J707" s="2"/>
      <c r="K707" s="1" t="s">
        <v>121</v>
      </c>
      <c r="L707" s="2"/>
      <c r="M707" s="1" t="s">
        <v>4</v>
      </c>
    </row>
    <row r="708" spans="1:13" ht="12.75" x14ac:dyDescent="0.2">
      <c r="A708" s="5">
        <v>1358526</v>
      </c>
      <c r="B708" s="6">
        <v>44026</v>
      </c>
      <c r="C708" s="6">
        <v>44026</v>
      </c>
      <c r="D708" s="5" t="s">
        <v>5</v>
      </c>
      <c r="E708" s="5" t="s">
        <v>79</v>
      </c>
      <c r="F708" s="5"/>
      <c r="G708" s="5" t="s">
        <v>6</v>
      </c>
      <c r="H708" s="5">
        <v>10</v>
      </c>
      <c r="I708" s="5" t="s">
        <v>2</v>
      </c>
      <c r="J708" s="6"/>
      <c r="K708" s="5" t="s">
        <v>121</v>
      </c>
      <c r="L708" s="6"/>
      <c r="M708" s="5" t="s">
        <v>4</v>
      </c>
    </row>
    <row r="709" spans="1:13" ht="12.75" x14ac:dyDescent="0.2">
      <c r="A709" s="1">
        <v>1802244</v>
      </c>
      <c r="B709" s="2">
        <v>44053</v>
      </c>
      <c r="C709" s="2">
        <v>44053</v>
      </c>
      <c r="D709" s="1" t="s">
        <v>0</v>
      </c>
      <c r="E709" s="1" t="s">
        <v>41</v>
      </c>
      <c r="F709" s="1">
        <v>4</v>
      </c>
      <c r="G709" s="1" t="s">
        <v>1</v>
      </c>
      <c r="H709" s="1">
        <v>10</v>
      </c>
      <c r="I709" s="1" t="s">
        <v>2</v>
      </c>
      <c r="J709" s="2"/>
      <c r="K709" s="1" t="s">
        <v>121</v>
      </c>
      <c r="L709" s="2"/>
      <c r="M709" s="1" t="s">
        <v>4</v>
      </c>
    </row>
    <row r="710" spans="1:13" ht="12.75" x14ac:dyDescent="0.2">
      <c r="A710" s="5">
        <v>1439678</v>
      </c>
      <c r="B710" s="6">
        <v>44043</v>
      </c>
      <c r="C710" s="6">
        <v>44043</v>
      </c>
      <c r="D710" s="5" t="s">
        <v>5</v>
      </c>
      <c r="E710" s="5" t="s">
        <v>95</v>
      </c>
      <c r="F710" s="5"/>
      <c r="G710" s="5" t="s">
        <v>6</v>
      </c>
      <c r="H710" s="5">
        <v>40</v>
      </c>
      <c r="I710" s="5" t="s">
        <v>2</v>
      </c>
      <c r="J710" s="6"/>
      <c r="K710" s="5" t="s">
        <v>121</v>
      </c>
      <c r="L710" s="6"/>
      <c r="M710" s="5" t="s">
        <v>4</v>
      </c>
    </row>
    <row r="711" spans="1:13" ht="12.75" x14ac:dyDescent="0.2">
      <c r="A711" s="1">
        <v>1493023</v>
      </c>
      <c r="B711" s="2">
        <v>44035</v>
      </c>
      <c r="C711" s="2">
        <v>44035</v>
      </c>
      <c r="D711" s="1" t="s">
        <v>0</v>
      </c>
      <c r="E711" s="1" t="s">
        <v>8</v>
      </c>
      <c r="F711" s="1">
        <v>7</v>
      </c>
      <c r="G711" s="1" t="s">
        <v>6</v>
      </c>
      <c r="H711" s="1">
        <v>38</v>
      </c>
      <c r="I711" s="1" t="s">
        <v>15</v>
      </c>
      <c r="J711" s="2"/>
      <c r="K711" s="1" t="s">
        <v>121</v>
      </c>
      <c r="L711" s="2"/>
    </row>
    <row r="712" spans="1:13" ht="12.75" x14ac:dyDescent="0.2">
      <c r="A712" s="5">
        <v>1235912</v>
      </c>
      <c r="B712" s="6">
        <v>44014</v>
      </c>
      <c r="C712" s="6">
        <v>44015</v>
      </c>
      <c r="D712" s="5" t="s">
        <v>0</v>
      </c>
      <c r="E712" s="5" t="s">
        <v>10</v>
      </c>
      <c r="F712" s="5">
        <v>5</v>
      </c>
      <c r="G712" s="5" t="s">
        <v>6</v>
      </c>
      <c r="H712" s="5">
        <v>8</v>
      </c>
      <c r="I712" s="5" t="s">
        <v>2</v>
      </c>
      <c r="J712" s="6"/>
      <c r="K712" s="5" t="s">
        <v>121</v>
      </c>
      <c r="L712" s="6">
        <v>44018</v>
      </c>
      <c r="M712" s="5" t="s">
        <v>9</v>
      </c>
    </row>
    <row r="713" spans="1:13" ht="12.75" x14ac:dyDescent="0.2">
      <c r="A713" s="1">
        <v>5633284</v>
      </c>
      <c r="B713" s="2">
        <v>44189</v>
      </c>
      <c r="C713" s="2">
        <v>44189</v>
      </c>
      <c r="D713" s="1" t="s">
        <v>0</v>
      </c>
      <c r="E713" s="1" t="s">
        <v>33</v>
      </c>
      <c r="F713" s="1">
        <v>13</v>
      </c>
      <c r="G713" s="1" t="s">
        <v>6</v>
      </c>
      <c r="H713" s="1">
        <v>51</v>
      </c>
      <c r="I713" s="1" t="s">
        <v>15</v>
      </c>
      <c r="J713" s="2"/>
      <c r="K713" s="1" t="s">
        <v>121</v>
      </c>
      <c r="L713" s="2"/>
    </row>
    <row r="714" spans="1:13" ht="12.75" x14ac:dyDescent="0.2">
      <c r="A714" s="5">
        <v>4953412</v>
      </c>
      <c r="B714" s="6">
        <v>44166</v>
      </c>
      <c r="C714" s="6">
        <v>44167</v>
      </c>
      <c r="D714" s="5" t="s">
        <v>0</v>
      </c>
      <c r="E714" s="5" t="s">
        <v>8</v>
      </c>
      <c r="F714" s="5">
        <v>7</v>
      </c>
      <c r="G714" s="5" t="s">
        <v>6</v>
      </c>
      <c r="H714" s="5">
        <v>34</v>
      </c>
      <c r="I714" s="5" t="s">
        <v>15</v>
      </c>
      <c r="J714" s="6"/>
      <c r="K714" s="5" t="s">
        <v>121</v>
      </c>
      <c r="L714" s="6"/>
      <c r="M714" s="5"/>
    </row>
    <row r="715" spans="1:13" ht="12.75" x14ac:dyDescent="0.2">
      <c r="A715" s="1">
        <v>4698458</v>
      </c>
      <c r="B715" s="2">
        <v>44159</v>
      </c>
      <c r="C715" s="2">
        <v>44159</v>
      </c>
      <c r="D715" s="1" t="s">
        <v>0</v>
      </c>
      <c r="E715" s="1" t="s">
        <v>18</v>
      </c>
      <c r="F715" s="1">
        <v>8</v>
      </c>
      <c r="G715" s="1" t="s">
        <v>6</v>
      </c>
      <c r="H715" s="1">
        <v>47</v>
      </c>
      <c r="I715" s="1" t="s">
        <v>2</v>
      </c>
      <c r="J715" s="2"/>
      <c r="K715" s="1" t="s">
        <v>121</v>
      </c>
      <c r="L715" s="2"/>
      <c r="M715" s="1" t="s">
        <v>4</v>
      </c>
    </row>
    <row r="716" spans="1:13" ht="12.75" x14ac:dyDescent="0.2">
      <c r="A716" s="5">
        <v>2896387</v>
      </c>
      <c r="B716" s="6">
        <v>44095</v>
      </c>
      <c r="C716" s="6">
        <v>44195</v>
      </c>
      <c r="D716" s="5" t="s">
        <v>71</v>
      </c>
      <c r="E716" s="5" t="s">
        <v>118</v>
      </c>
      <c r="F716" s="5"/>
      <c r="G716" s="5" t="s">
        <v>6</v>
      </c>
      <c r="H716" s="5">
        <v>45</v>
      </c>
      <c r="I716" s="5" t="s">
        <v>2</v>
      </c>
      <c r="J716" s="6"/>
      <c r="K716" s="5" t="s">
        <v>121</v>
      </c>
      <c r="L716" s="6"/>
      <c r="M716" s="5" t="s">
        <v>4</v>
      </c>
    </row>
    <row r="717" spans="1:13" ht="12.75" x14ac:dyDescent="0.2">
      <c r="A717" s="1">
        <v>5114565</v>
      </c>
      <c r="B717" s="2">
        <v>44170</v>
      </c>
      <c r="C717" s="2">
        <v>44170</v>
      </c>
      <c r="D717" s="1" t="s">
        <v>0</v>
      </c>
      <c r="E717" s="1" t="s">
        <v>14</v>
      </c>
      <c r="F717" s="1">
        <v>14</v>
      </c>
      <c r="G717" s="1" t="s">
        <v>1</v>
      </c>
      <c r="H717" s="1">
        <v>91</v>
      </c>
      <c r="I717" s="1" t="s">
        <v>15</v>
      </c>
      <c r="J717" s="2"/>
      <c r="K717" s="1" t="s">
        <v>121</v>
      </c>
      <c r="L717" s="2"/>
    </row>
    <row r="718" spans="1:13" ht="12.75" x14ac:dyDescent="0.2">
      <c r="A718" s="5">
        <v>3635855</v>
      </c>
      <c r="B718" s="6">
        <v>44123</v>
      </c>
      <c r="C718" s="6">
        <v>44124</v>
      </c>
      <c r="D718" s="5" t="s">
        <v>0</v>
      </c>
      <c r="E718" s="5" t="s">
        <v>10</v>
      </c>
      <c r="F718" s="5">
        <v>5</v>
      </c>
      <c r="G718" s="5" t="s">
        <v>6</v>
      </c>
      <c r="H718" s="5">
        <v>26</v>
      </c>
      <c r="I718" s="5" t="s">
        <v>15</v>
      </c>
      <c r="J718" s="6"/>
      <c r="K718" s="5" t="s">
        <v>121</v>
      </c>
      <c r="L718" s="6"/>
      <c r="M718" s="5"/>
    </row>
    <row r="719" spans="1:13" ht="12.75" x14ac:dyDescent="0.2">
      <c r="A719" s="1">
        <v>3656542</v>
      </c>
      <c r="B719" s="2">
        <v>44124</v>
      </c>
      <c r="C719" s="2">
        <v>44125</v>
      </c>
      <c r="D719" s="1" t="s">
        <v>5</v>
      </c>
      <c r="E719" s="1" t="s">
        <v>81</v>
      </c>
      <c r="G719" s="1" t="s">
        <v>1</v>
      </c>
      <c r="H719" s="1">
        <v>27</v>
      </c>
      <c r="I719" s="1" t="s">
        <v>15</v>
      </c>
      <c r="J719" s="2"/>
      <c r="K719" s="1" t="s">
        <v>121</v>
      </c>
      <c r="L719" s="2"/>
    </row>
    <row r="720" spans="1:13" ht="12.75" x14ac:dyDescent="0.2">
      <c r="A720" s="5">
        <v>1075871</v>
      </c>
      <c r="B720" s="6">
        <v>43994</v>
      </c>
      <c r="C720" s="6">
        <v>43994</v>
      </c>
      <c r="D720" s="5" t="s">
        <v>0</v>
      </c>
      <c r="E720" s="5" t="s">
        <v>18</v>
      </c>
      <c r="F720" s="5">
        <v>8</v>
      </c>
      <c r="G720" s="5" t="s">
        <v>6</v>
      </c>
      <c r="H720" s="5">
        <v>38</v>
      </c>
      <c r="I720" s="5" t="s">
        <v>2</v>
      </c>
      <c r="J720" s="6"/>
      <c r="K720" s="5" t="s">
        <v>121</v>
      </c>
      <c r="L720" s="6">
        <v>44005</v>
      </c>
      <c r="M720" s="5" t="s">
        <v>9</v>
      </c>
    </row>
    <row r="721" spans="1:13" ht="12.75" x14ac:dyDescent="0.2">
      <c r="A721" s="1">
        <v>5508604</v>
      </c>
      <c r="B721" s="2">
        <v>44187</v>
      </c>
      <c r="C721" s="2">
        <v>44187</v>
      </c>
      <c r="D721" s="1" t="s">
        <v>5</v>
      </c>
      <c r="E721" s="1" t="s">
        <v>102</v>
      </c>
      <c r="G721" s="1" t="s">
        <v>6</v>
      </c>
      <c r="H721" s="1">
        <v>31</v>
      </c>
      <c r="I721" s="1" t="s">
        <v>15</v>
      </c>
      <c r="J721" s="2"/>
      <c r="K721" s="1" t="s">
        <v>121</v>
      </c>
      <c r="L721" s="2"/>
    </row>
    <row r="722" spans="1:13" ht="12.75" x14ac:dyDescent="0.2">
      <c r="A722" s="5">
        <v>4973261</v>
      </c>
      <c r="B722" s="6">
        <v>44168</v>
      </c>
      <c r="C722" s="6">
        <v>44168</v>
      </c>
      <c r="D722" s="5" t="s">
        <v>0</v>
      </c>
      <c r="E722" s="5" t="s">
        <v>24</v>
      </c>
      <c r="F722" s="5">
        <v>9</v>
      </c>
      <c r="G722" s="5" t="s">
        <v>6</v>
      </c>
      <c r="H722" s="5">
        <v>54</v>
      </c>
      <c r="I722" s="5" t="s">
        <v>2</v>
      </c>
      <c r="J722" s="6"/>
      <c r="K722" s="5" t="s">
        <v>121</v>
      </c>
      <c r="L722" s="6"/>
      <c r="M722" s="5" t="s">
        <v>4</v>
      </c>
    </row>
    <row r="723" spans="1:13" ht="12.75" x14ac:dyDescent="0.2">
      <c r="A723" s="1">
        <v>2833359</v>
      </c>
      <c r="B723" s="2">
        <v>44096</v>
      </c>
      <c r="C723" s="2">
        <v>44096</v>
      </c>
      <c r="D723" s="1" t="s">
        <v>0</v>
      </c>
      <c r="E723" s="1" t="s">
        <v>26</v>
      </c>
      <c r="F723" s="1">
        <v>4</v>
      </c>
      <c r="G723" s="1" t="s">
        <v>1</v>
      </c>
      <c r="H723" s="1">
        <v>36</v>
      </c>
      <c r="I723" s="1" t="s">
        <v>15</v>
      </c>
      <c r="J723" s="2"/>
      <c r="K723" s="1" t="s">
        <v>121</v>
      </c>
      <c r="L723" s="2"/>
    </row>
    <row r="724" spans="1:13" ht="12.75" x14ac:dyDescent="0.2">
      <c r="A724" s="5">
        <v>1937116</v>
      </c>
      <c r="B724" s="6">
        <v>44060</v>
      </c>
      <c r="C724" s="6">
        <v>44060</v>
      </c>
      <c r="D724" s="5" t="s">
        <v>5</v>
      </c>
      <c r="E724" s="5" t="s">
        <v>76</v>
      </c>
      <c r="F724" s="5"/>
      <c r="G724" s="5" t="s">
        <v>6</v>
      </c>
      <c r="H724" s="5">
        <v>41</v>
      </c>
      <c r="I724" s="5" t="s">
        <v>2</v>
      </c>
      <c r="J724" s="6"/>
      <c r="K724" s="5" t="s">
        <v>121</v>
      </c>
      <c r="L724" s="6">
        <v>44070</v>
      </c>
      <c r="M724" s="5" t="s">
        <v>9</v>
      </c>
    </row>
    <row r="725" spans="1:13" ht="12.75" x14ac:dyDescent="0.2">
      <c r="A725" s="1">
        <v>5526893</v>
      </c>
      <c r="B725" s="2">
        <v>44187</v>
      </c>
      <c r="C725" s="2">
        <v>44188</v>
      </c>
      <c r="D725" s="1" t="s">
        <v>5</v>
      </c>
      <c r="E725" s="1" t="s">
        <v>80</v>
      </c>
      <c r="G725" s="1" t="s">
        <v>6</v>
      </c>
      <c r="H725" s="1">
        <v>21</v>
      </c>
      <c r="I725" s="1" t="s">
        <v>2</v>
      </c>
      <c r="J725" s="2"/>
      <c r="K725" s="1" t="s">
        <v>121</v>
      </c>
      <c r="L725" s="2"/>
      <c r="M725" s="1" t="s">
        <v>4</v>
      </c>
    </row>
    <row r="726" spans="1:13" ht="12.75" x14ac:dyDescent="0.2">
      <c r="A726" s="5">
        <v>2088347</v>
      </c>
      <c r="B726" s="6">
        <v>44068</v>
      </c>
      <c r="C726" s="6">
        <v>44069</v>
      </c>
      <c r="D726" s="5" t="s">
        <v>5</v>
      </c>
      <c r="E726" s="5" t="s">
        <v>91</v>
      </c>
      <c r="F726" s="5"/>
      <c r="G726" s="5" t="s">
        <v>1</v>
      </c>
      <c r="H726" s="5">
        <v>43</v>
      </c>
      <c r="I726" s="5" t="s">
        <v>15</v>
      </c>
      <c r="J726" s="6"/>
      <c r="K726" s="5" t="s">
        <v>121</v>
      </c>
      <c r="L726" s="6"/>
      <c r="M726" s="5"/>
    </row>
    <row r="727" spans="1:13" ht="12.75" x14ac:dyDescent="0.2">
      <c r="A727" s="1">
        <v>2849184</v>
      </c>
      <c r="B727" s="2">
        <v>44097</v>
      </c>
      <c r="C727" s="2">
        <v>44097</v>
      </c>
      <c r="D727" s="1" t="s">
        <v>72</v>
      </c>
      <c r="E727" s="1" t="s">
        <v>119</v>
      </c>
      <c r="G727" s="1" t="s">
        <v>1</v>
      </c>
      <c r="H727" s="1">
        <v>19</v>
      </c>
      <c r="I727" s="1" t="s">
        <v>15</v>
      </c>
      <c r="J727" s="2"/>
      <c r="K727" s="1" t="s">
        <v>121</v>
      </c>
      <c r="L727" s="2"/>
      <c r="M727" t="s">
        <v>22</v>
      </c>
    </row>
    <row r="728" spans="1:13" ht="12.75" x14ac:dyDescent="0.2">
      <c r="A728" s="5">
        <v>4261075</v>
      </c>
      <c r="B728" s="6">
        <v>44145</v>
      </c>
      <c r="C728" s="6">
        <v>44145</v>
      </c>
      <c r="D728" s="5" t="s">
        <v>0</v>
      </c>
      <c r="E728" s="5" t="s">
        <v>13</v>
      </c>
      <c r="F728" s="5">
        <v>2</v>
      </c>
      <c r="G728" s="5" t="s">
        <v>6</v>
      </c>
      <c r="H728" s="5">
        <v>48</v>
      </c>
      <c r="I728" s="5" t="s">
        <v>2</v>
      </c>
      <c r="J728" s="6"/>
      <c r="K728" s="5" t="s">
        <v>121</v>
      </c>
      <c r="L728" s="6"/>
      <c r="M728" s="5" t="s">
        <v>4</v>
      </c>
    </row>
    <row r="729" spans="1:13" ht="12.75" x14ac:dyDescent="0.2">
      <c r="A729" s="1">
        <v>1653044</v>
      </c>
      <c r="B729" s="2">
        <v>44045</v>
      </c>
      <c r="C729" s="2">
        <v>44045</v>
      </c>
      <c r="D729" s="1" t="s">
        <v>0</v>
      </c>
      <c r="E729" s="1" t="s">
        <v>10</v>
      </c>
      <c r="F729" s="1">
        <v>5</v>
      </c>
      <c r="G729" s="1" t="s">
        <v>1</v>
      </c>
      <c r="H729" s="1">
        <v>80</v>
      </c>
      <c r="I729" s="1" t="s">
        <v>2</v>
      </c>
      <c r="J729" s="2"/>
      <c r="K729" s="1" t="s">
        <v>121</v>
      </c>
      <c r="L729" s="2"/>
      <c r="M729" s="1" t="s">
        <v>9</v>
      </c>
    </row>
    <row r="730" spans="1:13" ht="12.75" x14ac:dyDescent="0.2">
      <c r="A730" s="5">
        <v>852677</v>
      </c>
      <c r="B730" s="6">
        <v>43945</v>
      </c>
      <c r="C730" s="6">
        <v>43945</v>
      </c>
      <c r="D730" s="5" t="s">
        <v>5</v>
      </c>
      <c r="E730" s="5" t="s">
        <v>74</v>
      </c>
      <c r="F730" s="5"/>
      <c r="G730" s="5" t="s">
        <v>1</v>
      </c>
      <c r="H730" s="5">
        <v>69</v>
      </c>
      <c r="I730" s="5" t="s">
        <v>15</v>
      </c>
      <c r="J730" s="6"/>
      <c r="K730" s="5" t="s">
        <v>121</v>
      </c>
      <c r="L730" s="6"/>
      <c r="M730" s="5"/>
    </row>
    <row r="731" spans="1:13" ht="12.75" x14ac:dyDescent="0.2">
      <c r="A731" s="1">
        <v>2931757</v>
      </c>
      <c r="B731" s="2">
        <v>44100</v>
      </c>
      <c r="C731" s="2">
        <v>44101</v>
      </c>
      <c r="D731" s="1" t="s">
        <v>0</v>
      </c>
      <c r="E731" s="1" t="s">
        <v>38</v>
      </c>
      <c r="F731" s="1">
        <v>12</v>
      </c>
      <c r="G731" s="1" t="s">
        <v>1</v>
      </c>
      <c r="H731" s="1">
        <v>72</v>
      </c>
      <c r="I731" s="1" t="s">
        <v>15</v>
      </c>
      <c r="J731" s="2"/>
      <c r="K731" s="1" t="s">
        <v>121</v>
      </c>
      <c r="L731" s="2"/>
    </row>
    <row r="732" spans="1:13" ht="12.75" x14ac:dyDescent="0.2">
      <c r="A732" s="5">
        <v>1236969</v>
      </c>
      <c r="B732" s="6">
        <v>44014</v>
      </c>
      <c r="C732" s="6">
        <v>44016</v>
      </c>
      <c r="D732" s="5" t="s">
        <v>0</v>
      </c>
      <c r="E732" s="5" t="s">
        <v>51</v>
      </c>
      <c r="F732" s="5">
        <v>15</v>
      </c>
      <c r="G732" s="5" t="s">
        <v>6</v>
      </c>
      <c r="H732" s="5">
        <v>19</v>
      </c>
      <c r="I732" s="5" t="s">
        <v>15</v>
      </c>
      <c r="J732" s="6"/>
      <c r="K732" s="5" t="s">
        <v>121</v>
      </c>
      <c r="L732" s="6"/>
      <c r="M732" s="5"/>
    </row>
    <row r="733" spans="1:13" ht="12.75" x14ac:dyDescent="0.2">
      <c r="A733" s="1">
        <v>3519856</v>
      </c>
      <c r="B733" s="2">
        <v>44117</v>
      </c>
      <c r="C733" s="2">
        <v>44117</v>
      </c>
      <c r="D733" s="1" t="s">
        <v>5</v>
      </c>
      <c r="E733" s="1" t="s">
        <v>102</v>
      </c>
      <c r="G733" s="1" t="s">
        <v>6</v>
      </c>
      <c r="H733" s="1">
        <v>45</v>
      </c>
      <c r="I733" s="1" t="s">
        <v>15</v>
      </c>
      <c r="J733" s="2"/>
      <c r="K733" s="1" t="s">
        <v>121</v>
      </c>
      <c r="L733" s="2"/>
    </row>
    <row r="734" spans="1:13" ht="12.75" x14ac:dyDescent="0.2">
      <c r="A734" s="5">
        <v>2064097</v>
      </c>
      <c r="B734" s="6">
        <v>44066</v>
      </c>
      <c r="C734" s="6">
        <v>44067</v>
      </c>
      <c r="D734" s="5" t="s">
        <v>0</v>
      </c>
      <c r="E734" s="5" t="s">
        <v>23</v>
      </c>
      <c r="F734" s="5">
        <v>10</v>
      </c>
      <c r="G734" s="5" t="s">
        <v>1</v>
      </c>
      <c r="H734" s="5">
        <v>28</v>
      </c>
      <c r="I734" s="5" t="s">
        <v>2</v>
      </c>
      <c r="J734" s="6"/>
      <c r="K734" s="5" t="s">
        <v>121</v>
      </c>
      <c r="L734" s="6">
        <v>44080</v>
      </c>
      <c r="M734" s="5" t="s">
        <v>4</v>
      </c>
    </row>
    <row r="735" spans="1:13" ht="12.75" x14ac:dyDescent="0.2">
      <c r="A735" s="1">
        <v>1264918</v>
      </c>
      <c r="B735" s="2">
        <v>44014</v>
      </c>
      <c r="C735" s="2">
        <v>44014</v>
      </c>
      <c r="D735" s="1" t="s">
        <v>5</v>
      </c>
      <c r="E735" s="1" t="s">
        <v>96</v>
      </c>
      <c r="G735" s="1" t="s">
        <v>6</v>
      </c>
      <c r="H735" s="1">
        <v>42</v>
      </c>
      <c r="I735" s="1" t="s">
        <v>15</v>
      </c>
      <c r="J735" s="2"/>
      <c r="K735" s="1" t="s">
        <v>121</v>
      </c>
      <c r="L735" s="2"/>
    </row>
    <row r="736" spans="1:13" ht="12.75" x14ac:dyDescent="0.2">
      <c r="A736" s="5">
        <v>2397211</v>
      </c>
      <c r="B736" s="6">
        <v>44078</v>
      </c>
      <c r="C736" s="6">
        <v>44079</v>
      </c>
      <c r="D736" s="5" t="s">
        <v>5</v>
      </c>
      <c r="E736" s="5" t="s">
        <v>79</v>
      </c>
      <c r="F736" s="5"/>
      <c r="G736" s="5" t="s">
        <v>1</v>
      </c>
      <c r="H736" s="5">
        <v>30</v>
      </c>
      <c r="I736" s="5" t="s">
        <v>2</v>
      </c>
      <c r="J736" s="6"/>
      <c r="K736" s="5" t="s">
        <v>121</v>
      </c>
      <c r="L736" s="6"/>
      <c r="M736" s="5" t="s">
        <v>4</v>
      </c>
    </row>
    <row r="737" spans="1:13" ht="12.75" x14ac:dyDescent="0.2">
      <c r="A737" s="1">
        <v>1702324</v>
      </c>
      <c r="B737" s="2">
        <v>44048</v>
      </c>
      <c r="C737" s="2">
        <v>44048</v>
      </c>
      <c r="D737" s="1" t="s">
        <v>5</v>
      </c>
      <c r="E737" s="1" t="s">
        <v>97</v>
      </c>
      <c r="G737" s="1" t="s">
        <v>6</v>
      </c>
      <c r="H737" s="1">
        <v>17</v>
      </c>
      <c r="I737" s="1" t="s">
        <v>21</v>
      </c>
      <c r="J737" s="2"/>
      <c r="K737" s="1" t="s">
        <v>121</v>
      </c>
      <c r="L737" s="2"/>
      <c r="M737" s="5" t="s">
        <v>20</v>
      </c>
    </row>
    <row r="738" spans="1:13" ht="12.75" x14ac:dyDescent="0.2">
      <c r="A738" s="5">
        <v>5379959</v>
      </c>
      <c r="B738" s="6">
        <v>44183</v>
      </c>
      <c r="C738" s="6">
        <v>44184</v>
      </c>
      <c r="D738" s="5" t="s">
        <v>0</v>
      </c>
      <c r="E738" s="5" t="s">
        <v>33</v>
      </c>
      <c r="F738" s="5">
        <v>13</v>
      </c>
      <c r="G738" s="5" t="s">
        <v>6</v>
      </c>
      <c r="H738" s="5">
        <v>20</v>
      </c>
      <c r="I738" s="5" t="s">
        <v>2</v>
      </c>
      <c r="J738" s="6"/>
      <c r="K738" s="5" t="s">
        <v>121</v>
      </c>
      <c r="L738" s="6"/>
      <c r="M738" s="5" t="s">
        <v>4</v>
      </c>
    </row>
    <row r="739" spans="1:13" ht="12.75" x14ac:dyDescent="0.2">
      <c r="A739" s="1">
        <v>4676657</v>
      </c>
      <c r="B739" s="2">
        <v>44159</v>
      </c>
      <c r="C739" s="2">
        <v>44159</v>
      </c>
      <c r="D739" s="1" t="s">
        <v>0</v>
      </c>
      <c r="E739" s="1" t="s">
        <v>25</v>
      </c>
      <c r="F739" s="1">
        <v>13</v>
      </c>
      <c r="G739" s="1" t="s">
        <v>6</v>
      </c>
      <c r="H739" s="1">
        <v>29</v>
      </c>
      <c r="I739" s="1" t="s">
        <v>15</v>
      </c>
      <c r="J739" s="2"/>
      <c r="K739" s="1" t="s">
        <v>121</v>
      </c>
      <c r="L739" s="2"/>
    </row>
    <row r="740" spans="1:13" ht="12.75" x14ac:dyDescent="0.2">
      <c r="A740" s="5">
        <v>4684380</v>
      </c>
      <c r="B740" s="6">
        <v>44153</v>
      </c>
      <c r="C740" s="6">
        <v>44155</v>
      </c>
      <c r="D740" s="5" t="s">
        <v>0</v>
      </c>
      <c r="E740" s="5" t="s">
        <v>18</v>
      </c>
      <c r="F740" s="5">
        <v>8</v>
      </c>
      <c r="G740" s="5" t="s">
        <v>1</v>
      </c>
      <c r="H740" s="5">
        <v>32</v>
      </c>
      <c r="I740" s="5" t="s">
        <v>15</v>
      </c>
      <c r="J740" s="6"/>
      <c r="K740" s="5" t="s">
        <v>121</v>
      </c>
      <c r="L740" s="6"/>
      <c r="M740" s="5"/>
    </row>
    <row r="741" spans="1:13" ht="12.75" x14ac:dyDescent="0.2">
      <c r="A741" s="1">
        <v>4872053</v>
      </c>
      <c r="B741" s="2">
        <v>44166</v>
      </c>
      <c r="C741" s="2">
        <v>44166</v>
      </c>
      <c r="D741" s="1" t="s">
        <v>5</v>
      </c>
      <c r="E741" s="1" t="s">
        <v>91</v>
      </c>
      <c r="G741" s="1" t="s">
        <v>1</v>
      </c>
      <c r="H741" s="1">
        <v>20</v>
      </c>
      <c r="I741" s="1" t="s">
        <v>21</v>
      </c>
      <c r="J741" s="2"/>
      <c r="K741" s="1" t="s">
        <v>121</v>
      </c>
      <c r="L741" s="2"/>
      <c r="M741" s="5" t="s">
        <v>20</v>
      </c>
    </row>
    <row r="742" spans="1:13" ht="12.75" x14ac:dyDescent="0.2">
      <c r="A742" s="5">
        <v>1515110</v>
      </c>
      <c r="B742" s="6">
        <v>44037</v>
      </c>
      <c r="C742" s="6">
        <v>44038</v>
      </c>
      <c r="D742" s="5" t="s">
        <v>5</v>
      </c>
      <c r="E742" s="5" t="s">
        <v>99</v>
      </c>
      <c r="F742" s="5"/>
      <c r="G742" s="5" t="s">
        <v>6</v>
      </c>
      <c r="H742" s="5">
        <v>42</v>
      </c>
      <c r="I742" s="5" t="s">
        <v>2</v>
      </c>
      <c r="J742" s="6"/>
      <c r="K742" s="5" t="s">
        <v>121</v>
      </c>
      <c r="L742" s="6">
        <v>44044</v>
      </c>
      <c r="M742" s="5" t="s">
        <v>4</v>
      </c>
    </row>
    <row r="743" spans="1:13" ht="12.75" x14ac:dyDescent="0.2">
      <c r="A743" s="1">
        <v>3903942</v>
      </c>
      <c r="B743" s="2">
        <v>44133</v>
      </c>
      <c r="C743" s="2">
        <v>44133</v>
      </c>
      <c r="D743" s="1" t="s">
        <v>5</v>
      </c>
      <c r="E743" s="1" t="s">
        <v>102</v>
      </c>
      <c r="G743" s="1" t="s">
        <v>6</v>
      </c>
      <c r="H743" s="1">
        <v>43</v>
      </c>
      <c r="I743" s="1" t="s">
        <v>2</v>
      </c>
      <c r="J743" s="2"/>
      <c r="K743" s="1" t="s">
        <v>121</v>
      </c>
      <c r="L743" s="2"/>
      <c r="M743" s="1" t="s">
        <v>4</v>
      </c>
    </row>
    <row r="744" spans="1:13" ht="12.75" x14ac:dyDescent="0.2">
      <c r="A744" s="5">
        <v>2994679</v>
      </c>
      <c r="B744" s="6">
        <v>44103</v>
      </c>
      <c r="C744" s="6">
        <v>44103</v>
      </c>
      <c r="D744" s="5" t="s">
        <v>5</v>
      </c>
      <c r="E744" s="5" t="s">
        <v>102</v>
      </c>
      <c r="F744" s="5"/>
      <c r="G744" s="5" t="s">
        <v>6</v>
      </c>
      <c r="H744" s="5">
        <v>25</v>
      </c>
      <c r="I744" s="5" t="s">
        <v>15</v>
      </c>
      <c r="J744" s="6"/>
      <c r="K744" s="5" t="s">
        <v>121</v>
      </c>
      <c r="L744" s="6"/>
      <c r="M744" s="5"/>
    </row>
    <row r="745" spans="1:13" ht="12.75" x14ac:dyDescent="0.2">
      <c r="A745" s="1">
        <v>2422486</v>
      </c>
      <c r="B745" s="2">
        <v>44092</v>
      </c>
      <c r="C745" s="2">
        <v>44094</v>
      </c>
      <c r="D745" s="1" t="s">
        <v>0</v>
      </c>
      <c r="E745" s="1" t="s">
        <v>41</v>
      </c>
      <c r="F745" s="1">
        <v>4</v>
      </c>
      <c r="G745" s="1" t="s">
        <v>1</v>
      </c>
      <c r="H745" s="1">
        <v>59</v>
      </c>
      <c r="I745" s="1" t="s">
        <v>2</v>
      </c>
      <c r="J745" s="2"/>
      <c r="K745" s="1" t="s">
        <v>121</v>
      </c>
      <c r="L745" s="2"/>
      <c r="M745" s="1" t="s">
        <v>4</v>
      </c>
    </row>
    <row r="746" spans="1:13" ht="12.75" x14ac:dyDescent="0.2">
      <c r="A746" s="5">
        <v>3298167</v>
      </c>
      <c r="B746" s="6">
        <v>44112</v>
      </c>
      <c r="C746" s="6">
        <v>44112</v>
      </c>
      <c r="D746" s="5" t="s">
        <v>5</v>
      </c>
      <c r="E746" s="5" t="s">
        <v>83</v>
      </c>
      <c r="F746" s="5"/>
      <c r="G746" s="5" t="s">
        <v>6</v>
      </c>
      <c r="H746" s="5">
        <v>38</v>
      </c>
      <c r="I746" s="5" t="s">
        <v>15</v>
      </c>
      <c r="J746" s="6"/>
      <c r="K746" s="5" t="s">
        <v>121</v>
      </c>
      <c r="L746" s="6"/>
      <c r="M746" s="5"/>
    </row>
    <row r="747" spans="1:13" ht="12.75" x14ac:dyDescent="0.2">
      <c r="A747" s="1">
        <v>3780926</v>
      </c>
      <c r="B747" s="2">
        <v>44130</v>
      </c>
      <c r="C747" s="2">
        <v>44132</v>
      </c>
      <c r="D747" s="1" t="s">
        <v>5</v>
      </c>
      <c r="E747" s="1" t="s">
        <v>84</v>
      </c>
      <c r="G747" s="1" t="s">
        <v>6</v>
      </c>
      <c r="H747" s="1">
        <v>33</v>
      </c>
      <c r="I747" s="1" t="s">
        <v>2</v>
      </c>
      <c r="J747" s="2"/>
      <c r="K747" s="1" t="s">
        <v>121</v>
      </c>
      <c r="L747" s="2"/>
      <c r="M747" s="1" t="s">
        <v>4</v>
      </c>
    </row>
    <row r="748" spans="1:13" ht="12.75" x14ac:dyDescent="0.2">
      <c r="A748" s="5">
        <v>2641502</v>
      </c>
      <c r="B748" s="6">
        <v>44088</v>
      </c>
      <c r="C748" s="6">
        <v>44088</v>
      </c>
      <c r="D748" s="5" t="s">
        <v>5</v>
      </c>
      <c r="E748" s="5" t="s">
        <v>85</v>
      </c>
      <c r="F748" s="5"/>
      <c r="G748" s="5" t="s">
        <v>1</v>
      </c>
      <c r="H748" s="5">
        <v>7</v>
      </c>
      <c r="I748" s="5" t="s">
        <v>15</v>
      </c>
      <c r="J748" s="6"/>
      <c r="K748" s="5" t="s">
        <v>121</v>
      </c>
      <c r="L748" s="6"/>
      <c r="M748" s="5"/>
    </row>
    <row r="749" spans="1:13" ht="12.75" x14ac:dyDescent="0.2">
      <c r="A749" s="1">
        <v>5767489</v>
      </c>
      <c r="B749" s="2">
        <v>44194</v>
      </c>
      <c r="C749" s="2">
        <v>44195</v>
      </c>
      <c r="D749" s="1" t="s">
        <v>5</v>
      </c>
      <c r="E749" s="1" t="s">
        <v>96</v>
      </c>
      <c r="G749" s="1" t="s">
        <v>6</v>
      </c>
      <c r="H749" s="1">
        <v>54</v>
      </c>
      <c r="I749" s="1" t="s">
        <v>2</v>
      </c>
      <c r="J749" s="2"/>
      <c r="K749" s="1" t="s">
        <v>121</v>
      </c>
      <c r="L749" s="2"/>
      <c r="M749" s="1" t="s">
        <v>4</v>
      </c>
    </row>
    <row r="750" spans="1:13" ht="12.75" x14ac:dyDescent="0.2">
      <c r="A750" s="5">
        <v>967839</v>
      </c>
      <c r="B750" s="6">
        <v>43976</v>
      </c>
      <c r="C750" s="6">
        <v>43976</v>
      </c>
      <c r="D750" s="5" t="s">
        <v>5</v>
      </c>
      <c r="E750" s="5" t="s">
        <v>76</v>
      </c>
      <c r="F750" s="5"/>
      <c r="G750" s="5" t="s">
        <v>6</v>
      </c>
      <c r="H750" s="5">
        <v>42</v>
      </c>
      <c r="I750" s="5" t="s">
        <v>15</v>
      </c>
      <c r="J750" s="6"/>
      <c r="K750" s="5" t="s">
        <v>121</v>
      </c>
      <c r="L750" s="6"/>
      <c r="M750" s="5"/>
    </row>
    <row r="751" spans="1:13" ht="12.75" x14ac:dyDescent="0.2">
      <c r="A751" s="1">
        <v>2781780</v>
      </c>
      <c r="B751" s="2">
        <v>44095</v>
      </c>
      <c r="C751" s="2">
        <v>44095</v>
      </c>
      <c r="D751" s="1" t="s">
        <v>5</v>
      </c>
      <c r="E751" s="1" t="s">
        <v>102</v>
      </c>
      <c r="G751" s="1" t="s">
        <v>1</v>
      </c>
      <c r="H751" s="1">
        <v>37</v>
      </c>
      <c r="I751" s="1" t="s">
        <v>21</v>
      </c>
      <c r="J751" s="2"/>
      <c r="K751" s="1" t="s">
        <v>121</v>
      </c>
      <c r="L751" s="2"/>
      <c r="M751" s="5" t="s">
        <v>20</v>
      </c>
    </row>
    <row r="752" spans="1:13" ht="12.75" x14ac:dyDescent="0.2">
      <c r="A752" s="5">
        <v>5359116</v>
      </c>
      <c r="B752" s="6">
        <v>44182</v>
      </c>
      <c r="C752" s="6">
        <v>44182</v>
      </c>
      <c r="D752" s="5" t="s">
        <v>60</v>
      </c>
      <c r="E752" s="5" t="s">
        <v>120</v>
      </c>
      <c r="F752" s="5"/>
      <c r="G752" s="5" t="s">
        <v>1</v>
      </c>
      <c r="H752" s="5">
        <v>16</v>
      </c>
      <c r="I752" s="5" t="s">
        <v>15</v>
      </c>
      <c r="J752" s="6"/>
      <c r="K752" s="5" t="s">
        <v>121</v>
      </c>
      <c r="L752" s="6"/>
      <c r="M752" s="5"/>
    </row>
    <row r="753" spans="1:13" ht="12.75" x14ac:dyDescent="0.2">
      <c r="A753" s="1">
        <v>5767775</v>
      </c>
      <c r="B753" s="2">
        <v>44193</v>
      </c>
      <c r="C753" s="2">
        <v>44194</v>
      </c>
      <c r="D753" s="1" t="s">
        <v>5</v>
      </c>
      <c r="E753" s="1" t="s">
        <v>97</v>
      </c>
      <c r="G753" s="1" t="s">
        <v>6</v>
      </c>
      <c r="H753" s="1">
        <v>43</v>
      </c>
      <c r="I753" s="1" t="s">
        <v>2</v>
      </c>
      <c r="J753" s="2"/>
      <c r="K753" s="1" t="s">
        <v>121</v>
      </c>
      <c r="L753" s="2"/>
      <c r="M753" s="1" t="s">
        <v>4</v>
      </c>
    </row>
    <row r="754" spans="1:13" ht="12.75" x14ac:dyDescent="0.2">
      <c r="A754" s="5">
        <v>1093102</v>
      </c>
      <c r="B754" s="6">
        <v>43998</v>
      </c>
      <c r="C754" s="6">
        <v>44000</v>
      </c>
      <c r="D754" s="5" t="s">
        <v>0</v>
      </c>
      <c r="E754" s="5" t="s">
        <v>55</v>
      </c>
      <c r="F754" s="5">
        <v>15</v>
      </c>
      <c r="G754" s="5" t="s">
        <v>6</v>
      </c>
      <c r="H754" s="5">
        <v>2</v>
      </c>
      <c r="I754" s="5" t="s">
        <v>2</v>
      </c>
      <c r="J754" s="6"/>
      <c r="K754" s="5" t="s">
        <v>121</v>
      </c>
      <c r="L754" s="6">
        <v>44008</v>
      </c>
      <c r="M754" s="5" t="s">
        <v>4</v>
      </c>
    </row>
    <row r="755" spans="1:13" ht="12.75" x14ac:dyDescent="0.2">
      <c r="A755" s="1">
        <v>892094</v>
      </c>
      <c r="B755" s="2">
        <v>43957</v>
      </c>
      <c r="C755" s="2">
        <v>43958</v>
      </c>
      <c r="D755" s="1" t="s">
        <v>5</v>
      </c>
      <c r="E755" s="1" t="s">
        <v>102</v>
      </c>
      <c r="G755" s="1" t="s">
        <v>1</v>
      </c>
      <c r="H755" s="1">
        <v>2</v>
      </c>
      <c r="I755" s="1" t="s">
        <v>15</v>
      </c>
      <c r="J755" s="2"/>
      <c r="K755" s="1" t="s">
        <v>121</v>
      </c>
      <c r="L755" s="2"/>
    </row>
    <row r="756" spans="1:13" ht="12.75" x14ac:dyDescent="0.2">
      <c r="A756" s="5">
        <v>1688931</v>
      </c>
      <c r="B756" s="6">
        <v>44046</v>
      </c>
      <c r="C756" s="6">
        <v>44046</v>
      </c>
      <c r="D756" s="5" t="s">
        <v>0</v>
      </c>
      <c r="E756" s="5" t="s">
        <v>16</v>
      </c>
      <c r="F756" s="5">
        <v>15</v>
      </c>
      <c r="G756" s="5" t="s">
        <v>1</v>
      </c>
      <c r="H756" s="5">
        <v>24</v>
      </c>
      <c r="I756" s="5" t="s">
        <v>2</v>
      </c>
      <c r="J756" s="6"/>
      <c r="K756" s="5" t="s">
        <v>121</v>
      </c>
      <c r="L756" s="6"/>
      <c r="M756" s="5" t="s">
        <v>4</v>
      </c>
    </row>
    <row r="757" spans="1:13" ht="12.75" x14ac:dyDescent="0.2">
      <c r="A757" s="1">
        <v>2933251</v>
      </c>
      <c r="B757" s="2">
        <v>44099</v>
      </c>
      <c r="C757" s="2">
        <v>44099</v>
      </c>
      <c r="D757" s="1" t="s">
        <v>5</v>
      </c>
      <c r="E757" s="1" t="s">
        <v>95</v>
      </c>
      <c r="G757" s="1" t="s">
        <v>1</v>
      </c>
      <c r="H757" s="1">
        <v>46</v>
      </c>
      <c r="I757" s="1" t="s">
        <v>15</v>
      </c>
      <c r="J757" s="2"/>
      <c r="K757" s="1" t="s">
        <v>121</v>
      </c>
      <c r="L757" s="2"/>
    </row>
    <row r="758" spans="1:13" ht="12.75" x14ac:dyDescent="0.2">
      <c r="A758" s="5">
        <v>4720510</v>
      </c>
      <c r="B758" s="6">
        <v>44158</v>
      </c>
      <c r="C758" s="6">
        <v>44159</v>
      </c>
      <c r="D758" s="5" t="s">
        <v>0</v>
      </c>
      <c r="E758" s="5" t="s">
        <v>24</v>
      </c>
      <c r="F758" s="5">
        <v>9</v>
      </c>
      <c r="G758" s="5" t="s">
        <v>6</v>
      </c>
      <c r="H758" s="5">
        <v>39</v>
      </c>
      <c r="I758" s="5" t="s">
        <v>15</v>
      </c>
      <c r="J758" s="6"/>
      <c r="K758" s="5" t="s">
        <v>121</v>
      </c>
      <c r="L758" s="6"/>
      <c r="M758" s="5"/>
    </row>
    <row r="759" spans="1:13" ht="12.75" x14ac:dyDescent="0.2">
      <c r="A759" s="1">
        <v>5391945</v>
      </c>
      <c r="B759" s="2">
        <v>44183</v>
      </c>
      <c r="C759" s="2">
        <v>44183</v>
      </c>
      <c r="D759" s="1" t="s">
        <v>0</v>
      </c>
      <c r="E759" s="1" t="s">
        <v>7</v>
      </c>
      <c r="F759" s="1">
        <v>3</v>
      </c>
      <c r="G759" s="1" t="s">
        <v>1</v>
      </c>
      <c r="H759" s="1">
        <v>33</v>
      </c>
      <c r="I759" s="1" t="s">
        <v>2</v>
      </c>
      <c r="J759" s="2"/>
      <c r="K759" s="1" t="s">
        <v>121</v>
      </c>
      <c r="L759" s="2"/>
      <c r="M759" s="1" t="s">
        <v>20</v>
      </c>
    </row>
    <row r="760" spans="1:13" ht="12.75" x14ac:dyDescent="0.2">
      <c r="A760" s="5">
        <v>4381736</v>
      </c>
      <c r="B760" s="6">
        <v>44148</v>
      </c>
      <c r="C760" s="6">
        <v>44148</v>
      </c>
      <c r="D760" s="5" t="s">
        <v>0</v>
      </c>
      <c r="E760" s="5" t="s">
        <v>39</v>
      </c>
      <c r="F760" s="5">
        <v>8</v>
      </c>
      <c r="G760" s="5" t="s">
        <v>1</v>
      </c>
      <c r="H760" s="5">
        <v>31</v>
      </c>
      <c r="I760" s="5" t="s">
        <v>2</v>
      </c>
      <c r="J760" s="6"/>
      <c r="K760" s="5" t="s">
        <v>121</v>
      </c>
      <c r="L760" s="6"/>
      <c r="M760" s="5" t="s">
        <v>4</v>
      </c>
    </row>
    <row r="761" spans="1:13" ht="12.75" x14ac:dyDescent="0.2">
      <c r="A761" s="1">
        <v>3873636</v>
      </c>
      <c r="B761" s="2">
        <v>44132</v>
      </c>
      <c r="C761" s="2">
        <v>44132</v>
      </c>
      <c r="D761" s="1" t="s">
        <v>0</v>
      </c>
      <c r="E761" s="1" t="s">
        <v>37</v>
      </c>
      <c r="F761" s="1">
        <v>13</v>
      </c>
      <c r="G761" s="1" t="s">
        <v>6</v>
      </c>
      <c r="H761" s="1">
        <v>71</v>
      </c>
      <c r="I761" s="1" t="s">
        <v>2</v>
      </c>
      <c r="J761" s="2"/>
      <c r="K761" s="1" t="s">
        <v>121</v>
      </c>
      <c r="L761" s="2"/>
      <c r="M761" s="1" t="s">
        <v>4</v>
      </c>
    </row>
    <row r="762" spans="1:13" ht="12.75" x14ac:dyDescent="0.2">
      <c r="A762" s="5">
        <v>995456</v>
      </c>
      <c r="B762" s="6">
        <v>43981</v>
      </c>
      <c r="C762" s="6">
        <v>43982</v>
      </c>
      <c r="D762" s="5" t="s">
        <v>0</v>
      </c>
      <c r="E762" s="5" t="s">
        <v>36</v>
      </c>
      <c r="F762" s="5">
        <v>1</v>
      </c>
      <c r="G762" s="5" t="s">
        <v>6</v>
      </c>
      <c r="H762" s="5">
        <v>14</v>
      </c>
      <c r="I762" s="5" t="s">
        <v>2</v>
      </c>
      <c r="J762" s="6"/>
      <c r="K762" s="5" t="s">
        <v>121</v>
      </c>
      <c r="L762" s="6"/>
      <c r="M762" s="5" t="s">
        <v>9</v>
      </c>
    </row>
    <row r="763" spans="1:13" ht="12.75" x14ac:dyDescent="0.2">
      <c r="A763" s="1">
        <v>1120557</v>
      </c>
      <c r="B763" s="2">
        <v>44001</v>
      </c>
      <c r="C763" s="2">
        <v>44001</v>
      </c>
      <c r="D763" s="1" t="s">
        <v>0</v>
      </c>
      <c r="E763" s="1" t="s">
        <v>52</v>
      </c>
      <c r="F763" s="1">
        <v>11</v>
      </c>
      <c r="G763" s="1" t="s">
        <v>6</v>
      </c>
      <c r="H763" s="1">
        <v>7</v>
      </c>
      <c r="I763" s="1" t="s">
        <v>2</v>
      </c>
      <c r="J763" s="2"/>
      <c r="K763" s="1" t="s">
        <v>121</v>
      </c>
      <c r="L763" s="2">
        <v>44008</v>
      </c>
      <c r="M763" s="1" t="s">
        <v>4</v>
      </c>
    </row>
    <row r="764" spans="1:13" ht="12.75" x14ac:dyDescent="0.2">
      <c r="A764" s="5">
        <v>5755171</v>
      </c>
      <c r="B764" s="6">
        <v>44193</v>
      </c>
      <c r="C764" s="6">
        <v>44193</v>
      </c>
      <c r="D764" s="5" t="s">
        <v>0</v>
      </c>
      <c r="E764" s="5" t="s">
        <v>10</v>
      </c>
      <c r="F764" s="5">
        <v>5</v>
      </c>
      <c r="G764" s="5" t="s">
        <v>1</v>
      </c>
      <c r="H764" s="5">
        <v>67</v>
      </c>
      <c r="I764" s="5" t="s">
        <v>15</v>
      </c>
      <c r="J764" s="6"/>
      <c r="K764" s="5" t="s">
        <v>121</v>
      </c>
      <c r="L764" s="6"/>
      <c r="M764" s="5"/>
    </row>
    <row r="765" spans="1:13" ht="12.75" x14ac:dyDescent="0.2">
      <c r="A765" s="1">
        <v>5770963</v>
      </c>
      <c r="B765" s="2">
        <v>44195</v>
      </c>
      <c r="C765" s="2">
        <v>44195</v>
      </c>
      <c r="D765" s="1" t="s">
        <v>5</v>
      </c>
      <c r="E765" s="1" t="s">
        <v>102</v>
      </c>
      <c r="G765" s="1" t="s">
        <v>1</v>
      </c>
      <c r="H765" s="1">
        <v>17</v>
      </c>
      <c r="I765" s="1" t="s">
        <v>15</v>
      </c>
      <c r="J765" s="2"/>
      <c r="K765" s="1" t="s">
        <v>121</v>
      </c>
      <c r="L765" s="2"/>
    </row>
    <row r="766" spans="1:13" ht="12.75" x14ac:dyDescent="0.2">
      <c r="A766" s="5">
        <v>3616805</v>
      </c>
      <c r="B766" s="6">
        <v>44124</v>
      </c>
      <c r="C766" s="6">
        <v>44124</v>
      </c>
      <c r="D766" s="5" t="s">
        <v>0</v>
      </c>
      <c r="E766" s="5" t="s">
        <v>44</v>
      </c>
      <c r="F766" s="5">
        <v>9</v>
      </c>
      <c r="G766" s="5" t="s">
        <v>1</v>
      </c>
      <c r="H766" s="5">
        <v>21</v>
      </c>
      <c r="I766" s="5" t="s">
        <v>15</v>
      </c>
      <c r="J766" s="6"/>
      <c r="K766" s="5" t="s">
        <v>121</v>
      </c>
      <c r="L766" s="6"/>
      <c r="M766" s="5"/>
    </row>
    <row r="767" spans="1:13" ht="12.75" x14ac:dyDescent="0.2">
      <c r="A767" s="1">
        <v>1384532</v>
      </c>
      <c r="B767" s="2">
        <v>44028</v>
      </c>
      <c r="C767" s="2">
        <v>44028</v>
      </c>
      <c r="D767" s="1" t="s">
        <v>0</v>
      </c>
      <c r="E767" s="1" t="s">
        <v>17</v>
      </c>
      <c r="F767" s="1">
        <v>1</v>
      </c>
      <c r="G767" s="1" t="s">
        <v>6</v>
      </c>
      <c r="H767" s="1">
        <v>53</v>
      </c>
      <c r="I767" s="1" t="s">
        <v>2</v>
      </c>
      <c r="J767" s="2"/>
      <c r="K767" s="1" t="s">
        <v>121</v>
      </c>
      <c r="L767" s="2">
        <v>44038</v>
      </c>
      <c r="M767" s="1" t="s">
        <v>9</v>
      </c>
    </row>
    <row r="768" spans="1:13" ht="12.75" x14ac:dyDescent="0.2">
      <c r="A768" s="5">
        <v>2254851</v>
      </c>
      <c r="B768" s="6">
        <v>44074</v>
      </c>
      <c r="C768" s="6">
        <v>44074</v>
      </c>
      <c r="D768" s="5" t="s">
        <v>5</v>
      </c>
      <c r="E768" s="5" t="s">
        <v>83</v>
      </c>
      <c r="F768" s="5"/>
      <c r="G768" s="5" t="s">
        <v>1</v>
      </c>
      <c r="H768" s="5">
        <v>34</v>
      </c>
      <c r="I768" s="5" t="s">
        <v>15</v>
      </c>
      <c r="J768" s="6"/>
      <c r="K768" s="5" t="s">
        <v>121</v>
      </c>
      <c r="L768" s="6"/>
      <c r="M768" s="5"/>
    </row>
    <row r="769" spans="1:13" ht="12.75" x14ac:dyDescent="0.2">
      <c r="A769" s="1">
        <v>4678002</v>
      </c>
      <c r="B769" s="2">
        <v>44154</v>
      </c>
      <c r="C769" s="2">
        <v>44156</v>
      </c>
      <c r="D769" s="1" t="s">
        <v>5</v>
      </c>
      <c r="E769" s="1" t="s">
        <v>84</v>
      </c>
      <c r="G769" s="1" t="s">
        <v>1</v>
      </c>
      <c r="H769" s="1">
        <v>30</v>
      </c>
      <c r="I769" s="1" t="s">
        <v>15</v>
      </c>
      <c r="J769" s="2"/>
      <c r="K769" s="1" t="s">
        <v>121</v>
      </c>
      <c r="L769" s="2"/>
    </row>
    <row r="770" spans="1:13" ht="12.75" x14ac:dyDescent="0.2">
      <c r="A770" s="5">
        <v>957662</v>
      </c>
      <c r="B770" s="6">
        <v>43973</v>
      </c>
      <c r="C770" s="6">
        <v>43973</v>
      </c>
      <c r="D770" s="5" t="s">
        <v>0</v>
      </c>
      <c r="E770" s="5" t="s">
        <v>11</v>
      </c>
      <c r="F770" s="5">
        <v>6</v>
      </c>
      <c r="G770" s="5" t="s">
        <v>6</v>
      </c>
      <c r="H770" s="5">
        <v>6</v>
      </c>
      <c r="I770" s="5" t="s">
        <v>2</v>
      </c>
      <c r="J770" s="6"/>
      <c r="K770" s="5" t="s">
        <v>121</v>
      </c>
      <c r="L770" s="6">
        <v>43983</v>
      </c>
      <c r="M770" s="5" t="s">
        <v>9</v>
      </c>
    </row>
    <row r="771" spans="1:13" ht="12.75" x14ac:dyDescent="0.2">
      <c r="A771" s="1">
        <v>1538273</v>
      </c>
      <c r="B771" s="2">
        <v>44034</v>
      </c>
      <c r="C771" s="2">
        <v>44034</v>
      </c>
      <c r="D771" s="1" t="s">
        <v>5</v>
      </c>
      <c r="E771" s="1" t="s">
        <v>98</v>
      </c>
      <c r="G771" s="1" t="s">
        <v>1</v>
      </c>
      <c r="H771" s="1">
        <v>39</v>
      </c>
      <c r="I771" s="1" t="s">
        <v>2</v>
      </c>
      <c r="J771" s="2"/>
      <c r="K771" s="1" t="s">
        <v>121</v>
      </c>
      <c r="L771" s="2"/>
      <c r="M771" s="1" t="s">
        <v>9</v>
      </c>
    </row>
    <row r="772" spans="1:13" ht="12.75" x14ac:dyDescent="0.2">
      <c r="A772" s="5">
        <v>1118794</v>
      </c>
      <c r="B772" s="6">
        <v>44001</v>
      </c>
      <c r="C772" s="6">
        <v>44001</v>
      </c>
      <c r="D772" s="5" t="s">
        <v>5</v>
      </c>
      <c r="E772" s="5" t="s">
        <v>102</v>
      </c>
      <c r="F772" s="5"/>
      <c r="G772" s="5" t="s">
        <v>6</v>
      </c>
      <c r="H772" s="5">
        <v>4</v>
      </c>
      <c r="I772" s="5" t="s">
        <v>2</v>
      </c>
      <c r="J772" s="6"/>
      <c r="K772" s="5" t="s">
        <v>121</v>
      </c>
      <c r="L772" s="6">
        <v>44483</v>
      </c>
      <c r="M772" s="5" t="s">
        <v>9</v>
      </c>
    </row>
    <row r="773" spans="1:13" ht="12.75" x14ac:dyDescent="0.2">
      <c r="A773" s="1">
        <v>4737597</v>
      </c>
      <c r="B773" s="2">
        <v>44160</v>
      </c>
      <c r="C773" s="2">
        <v>44161</v>
      </c>
      <c r="D773" s="1" t="s">
        <v>0</v>
      </c>
      <c r="E773" s="1" t="s">
        <v>43</v>
      </c>
      <c r="F773" s="1">
        <v>10</v>
      </c>
      <c r="G773" s="1" t="s">
        <v>1</v>
      </c>
      <c r="H773" s="1">
        <v>85</v>
      </c>
      <c r="I773" s="1" t="s">
        <v>15</v>
      </c>
      <c r="J773" s="2"/>
      <c r="K773" s="1" t="s">
        <v>121</v>
      </c>
      <c r="L773" s="2"/>
    </row>
    <row r="774" spans="1:13" ht="12.75" x14ac:dyDescent="0.2">
      <c r="A774" s="5">
        <v>4552344</v>
      </c>
      <c r="B774" s="6">
        <v>44285</v>
      </c>
      <c r="C774" s="6">
        <v>44286</v>
      </c>
      <c r="D774" s="5" t="s">
        <v>5</v>
      </c>
      <c r="E774" s="5" t="s">
        <v>96</v>
      </c>
      <c r="F774" s="5"/>
      <c r="G774" s="5" t="s">
        <v>6</v>
      </c>
      <c r="H774" s="5">
        <v>39</v>
      </c>
      <c r="I774" s="5" t="s">
        <v>2</v>
      </c>
      <c r="J774" s="6"/>
      <c r="K774" s="5" t="s">
        <v>121</v>
      </c>
      <c r="L774" s="6"/>
      <c r="M774" s="5" t="s">
        <v>4</v>
      </c>
    </row>
    <row r="775" spans="1:13" ht="12.75" x14ac:dyDescent="0.2">
      <c r="A775" s="1">
        <v>5387517</v>
      </c>
      <c r="B775" s="2">
        <v>44183</v>
      </c>
      <c r="C775" s="2">
        <v>44183</v>
      </c>
      <c r="D775" s="1" t="s">
        <v>5</v>
      </c>
      <c r="E775" s="1" t="s">
        <v>92</v>
      </c>
      <c r="G775" s="1" t="s">
        <v>1</v>
      </c>
      <c r="H775" s="1">
        <v>44</v>
      </c>
      <c r="I775" s="1" t="s">
        <v>15</v>
      </c>
      <c r="J775" s="2"/>
      <c r="K775" s="1" t="s">
        <v>121</v>
      </c>
      <c r="L775" s="2"/>
    </row>
    <row r="776" spans="1:13" ht="12.75" x14ac:dyDescent="0.2">
      <c r="A776" s="5">
        <v>1445090</v>
      </c>
      <c r="B776" s="6">
        <v>44033</v>
      </c>
      <c r="C776" s="6">
        <v>44034</v>
      </c>
      <c r="D776" s="5" t="s">
        <v>0</v>
      </c>
      <c r="E776" s="5" t="s">
        <v>24</v>
      </c>
      <c r="F776" s="5">
        <v>9</v>
      </c>
      <c r="G776" s="5" t="s">
        <v>1</v>
      </c>
      <c r="H776" s="5">
        <v>32</v>
      </c>
      <c r="I776" s="5" t="s">
        <v>2</v>
      </c>
      <c r="J776" s="6"/>
      <c r="K776" s="5" t="s">
        <v>121</v>
      </c>
      <c r="L776" s="6"/>
      <c r="M776" s="5" t="s">
        <v>22</v>
      </c>
    </row>
    <row r="777" spans="1:13" ht="12.75" x14ac:dyDescent="0.2">
      <c r="A777" s="1">
        <v>1031909</v>
      </c>
      <c r="B777" s="2">
        <v>44010</v>
      </c>
      <c r="C777" s="2">
        <v>44034</v>
      </c>
      <c r="D777" s="1" t="s">
        <v>0</v>
      </c>
      <c r="E777" s="1" t="s">
        <v>11</v>
      </c>
      <c r="F777" s="1">
        <v>6</v>
      </c>
      <c r="G777" s="1" t="s">
        <v>6</v>
      </c>
      <c r="H777" s="1">
        <v>31</v>
      </c>
      <c r="I777" s="1" t="s">
        <v>2</v>
      </c>
      <c r="J777" s="2"/>
      <c r="K777" s="1" t="s">
        <v>121</v>
      </c>
      <c r="L777" s="2"/>
      <c r="M777" s="1" t="s">
        <v>22</v>
      </c>
    </row>
    <row r="778" spans="1:13" ht="12.75" x14ac:dyDescent="0.2">
      <c r="A778" s="5">
        <v>2228079</v>
      </c>
      <c r="B778" s="6">
        <v>44071</v>
      </c>
      <c r="C778" s="6">
        <v>44071</v>
      </c>
      <c r="D778" s="5" t="s">
        <v>0</v>
      </c>
      <c r="E778" s="5" t="s">
        <v>54</v>
      </c>
      <c r="F778" s="5">
        <v>7</v>
      </c>
      <c r="G778" s="5" t="s">
        <v>6</v>
      </c>
      <c r="H778" s="5">
        <v>22</v>
      </c>
      <c r="I778" s="5" t="s">
        <v>2</v>
      </c>
      <c r="J778" s="6"/>
      <c r="K778" s="5" t="s">
        <v>121</v>
      </c>
      <c r="L778" s="6">
        <v>44083</v>
      </c>
      <c r="M778" s="5" t="s">
        <v>4</v>
      </c>
    </row>
    <row r="779" spans="1:13" ht="12.75" x14ac:dyDescent="0.2">
      <c r="A779" s="1">
        <v>3997851</v>
      </c>
      <c r="B779" s="2">
        <v>44135</v>
      </c>
      <c r="C779" s="2">
        <v>44136</v>
      </c>
      <c r="D779" s="1" t="s">
        <v>0</v>
      </c>
      <c r="E779" s="1" t="s">
        <v>44</v>
      </c>
      <c r="F779" s="1">
        <v>9</v>
      </c>
      <c r="G779" s="1" t="s">
        <v>1</v>
      </c>
      <c r="H779" s="1">
        <v>22</v>
      </c>
      <c r="I779" s="1" t="s">
        <v>2</v>
      </c>
      <c r="J779" s="2"/>
      <c r="K779" s="1" t="s">
        <v>121</v>
      </c>
      <c r="L779" s="2">
        <v>44146</v>
      </c>
      <c r="M779" s="1" t="s">
        <v>4</v>
      </c>
    </row>
    <row r="780" spans="1:13" ht="12.75" x14ac:dyDescent="0.2">
      <c r="A780" s="5">
        <v>3336731</v>
      </c>
      <c r="B780" s="6">
        <v>44107</v>
      </c>
      <c r="C780" s="6">
        <v>44107</v>
      </c>
      <c r="D780" s="5" t="s">
        <v>0</v>
      </c>
      <c r="E780" s="5" t="s">
        <v>27</v>
      </c>
      <c r="F780" s="5">
        <v>4</v>
      </c>
      <c r="G780" s="5" t="s">
        <v>1</v>
      </c>
      <c r="H780" s="5">
        <v>15</v>
      </c>
      <c r="I780" s="5" t="s">
        <v>2</v>
      </c>
      <c r="J780" s="6"/>
      <c r="K780" s="5" t="s">
        <v>121</v>
      </c>
      <c r="L780" s="6"/>
      <c r="M780" s="5" t="s">
        <v>4</v>
      </c>
    </row>
    <row r="781" spans="1:13" ht="12.75" x14ac:dyDescent="0.2">
      <c r="A781" s="1">
        <v>1448031</v>
      </c>
      <c r="B781" s="2">
        <v>44033</v>
      </c>
      <c r="C781" s="2">
        <v>44033</v>
      </c>
      <c r="D781" s="1" t="s">
        <v>0</v>
      </c>
      <c r="E781" s="1" t="s">
        <v>25</v>
      </c>
      <c r="F781" s="1">
        <v>13</v>
      </c>
      <c r="G781" s="1" t="s">
        <v>6</v>
      </c>
      <c r="H781" s="1">
        <v>58</v>
      </c>
      <c r="I781" s="1" t="s">
        <v>2</v>
      </c>
      <c r="J781" s="2"/>
      <c r="K781" s="1" t="s">
        <v>121</v>
      </c>
      <c r="L781" s="2"/>
      <c r="M781" s="1" t="s">
        <v>9</v>
      </c>
    </row>
    <row r="782" spans="1:13" ht="12.75" x14ac:dyDescent="0.2">
      <c r="A782" s="5">
        <v>1063726</v>
      </c>
      <c r="B782" s="6">
        <v>43993</v>
      </c>
      <c r="C782" s="6">
        <v>43994</v>
      </c>
      <c r="D782" s="5" t="s">
        <v>0</v>
      </c>
      <c r="E782" s="5" t="s">
        <v>33</v>
      </c>
      <c r="F782" s="5">
        <v>13</v>
      </c>
      <c r="G782" s="5" t="s">
        <v>1</v>
      </c>
      <c r="H782" s="5">
        <v>61</v>
      </c>
      <c r="I782" s="5" t="s">
        <v>2</v>
      </c>
      <c r="J782" s="6"/>
      <c r="K782" s="5" t="s">
        <v>121</v>
      </c>
      <c r="L782" s="6"/>
      <c r="M782" s="5" t="s">
        <v>4</v>
      </c>
    </row>
    <row r="783" spans="1:13" ht="12.75" x14ac:dyDescent="0.2">
      <c r="A783" s="1">
        <v>3478815</v>
      </c>
      <c r="B783" s="2">
        <v>44120</v>
      </c>
      <c r="C783" s="2">
        <v>44120</v>
      </c>
      <c r="D783" s="1" t="s">
        <v>5</v>
      </c>
      <c r="E783" s="1" t="s">
        <v>102</v>
      </c>
      <c r="G783" s="1" t="s">
        <v>6</v>
      </c>
      <c r="H783" s="1">
        <v>31</v>
      </c>
      <c r="I783" s="1" t="s">
        <v>15</v>
      </c>
      <c r="J783" s="2"/>
      <c r="K783" s="1" t="s">
        <v>121</v>
      </c>
      <c r="L783" s="2"/>
    </row>
    <row r="784" spans="1:13" ht="12.75" x14ac:dyDescent="0.2">
      <c r="A784" s="5">
        <v>5313327</v>
      </c>
      <c r="B784" s="6">
        <v>44179</v>
      </c>
      <c r="C784" s="6">
        <v>44179</v>
      </c>
      <c r="D784" s="5" t="s">
        <v>0</v>
      </c>
      <c r="E784" s="5" t="s">
        <v>31</v>
      </c>
      <c r="F784" s="5">
        <v>10</v>
      </c>
      <c r="G784" s="5" t="s">
        <v>6</v>
      </c>
      <c r="H784" s="5">
        <v>62</v>
      </c>
      <c r="I784" s="5" t="s">
        <v>15</v>
      </c>
      <c r="J784" s="6"/>
      <c r="K784" s="5" t="s">
        <v>121</v>
      </c>
      <c r="L784" s="6"/>
      <c r="M784" s="5"/>
    </row>
    <row r="785" spans="1:13" ht="12.75" x14ac:dyDescent="0.2">
      <c r="A785" s="1">
        <v>3264604</v>
      </c>
      <c r="B785" s="2">
        <v>44110</v>
      </c>
      <c r="C785" s="2">
        <v>44110</v>
      </c>
      <c r="D785" s="1" t="s">
        <v>5</v>
      </c>
      <c r="E785" s="1" t="s">
        <v>99</v>
      </c>
      <c r="G785" s="1" t="s">
        <v>1</v>
      </c>
      <c r="H785" s="1">
        <v>54</v>
      </c>
      <c r="I785" s="1" t="s">
        <v>2</v>
      </c>
      <c r="J785" s="2"/>
      <c r="K785" s="1" t="s">
        <v>121</v>
      </c>
      <c r="L785" s="2"/>
      <c r="M785" s="1" t="s">
        <v>4</v>
      </c>
    </row>
    <row r="786" spans="1:13" ht="12.75" x14ac:dyDescent="0.2">
      <c r="A786" s="5">
        <v>848820</v>
      </c>
      <c r="B786" s="6">
        <v>43943</v>
      </c>
      <c r="C786" s="6">
        <v>43944</v>
      </c>
      <c r="D786" s="5" t="s">
        <v>5</v>
      </c>
      <c r="E786" s="5" t="s">
        <v>102</v>
      </c>
      <c r="F786" s="5"/>
      <c r="G786" s="5" t="s">
        <v>1</v>
      </c>
      <c r="H786" s="5">
        <v>10</v>
      </c>
      <c r="I786" s="5" t="s">
        <v>15</v>
      </c>
      <c r="J786" s="6"/>
      <c r="K786" s="5" t="s">
        <v>121</v>
      </c>
      <c r="L786" s="6"/>
      <c r="M786" s="5"/>
    </row>
    <row r="787" spans="1:13" ht="12.75" x14ac:dyDescent="0.2">
      <c r="A787" s="1">
        <v>1535461</v>
      </c>
      <c r="B787" s="2">
        <v>44036</v>
      </c>
      <c r="C787" s="2">
        <v>44036</v>
      </c>
      <c r="D787" s="1" t="s">
        <v>5</v>
      </c>
      <c r="E787" s="1" t="s">
        <v>102</v>
      </c>
      <c r="G787" s="1" t="s">
        <v>6</v>
      </c>
      <c r="H787" s="1">
        <v>37</v>
      </c>
      <c r="I787" s="1" t="s">
        <v>2</v>
      </c>
      <c r="J787" s="2"/>
      <c r="K787" s="1" t="s">
        <v>121</v>
      </c>
      <c r="L787" s="2"/>
      <c r="M787" s="1" t="s">
        <v>4</v>
      </c>
    </row>
    <row r="788" spans="1:13" ht="12.75" x14ac:dyDescent="0.2">
      <c r="A788" s="5">
        <v>2468783</v>
      </c>
      <c r="B788" s="6">
        <v>44081</v>
      </c>
      <c r="C788" s="6">
        <v>44082</v>
      </c>
      <c r="D788" s="5" t="s">
        <v>0</v>
      </c>
      <c r="E788" s="5" t="s">
        <v>14</v>
      </c>
      <c r="F788" s="5">
        <v>14</v>
      </c>
      <c r="G788" s="5" t="s">
        <v>1</v>
      </c>
      <c r="H788" s="5">
        <v>43</v>
      </c>
      <c r="I788" s="5" t="s">
        <v>2</v>
      </c>
      <c r="J788" s="6"/>
      <c r="K788" s="5" t="s">
        <v>121</v>
      </c>
      <c r="L788" s="6"/>
      <c r="M788" s="5" t="s">
        <v>4</v>
      </c>
    </row>
    <row r="789" spans="1:13" ht="12.75" x14ac:dyDescent="0.2">
      <c r="A789" s="1">
        <v>4256807</v>
      </c>
      <c r="B789" s="2">
        <v>44144</v>
      </c>
      <c r="C789" s="2">
        <v>44144</v>
      </c>
      <c r="D789" s="1" t="s">
        <v>0</v>
      </c>
      <c r="E789" s="1" t="s">
        <v>51</v>
      </c>
      <c r="F789" s="1">
        <v>15</v>
      </c>
      <c r="G789" s="1" t="s">
        <v>1</v>
      </c>
      <c r="H789" s="1">
        <v>21</v>
      </c>
      <c r="I789" s="1" t="s">
        <v>2</v>
      </c>
      <c r="J789" s="2"/>
      <c r="K789" s="1" t="s">
        <v>121</v>
      </c>
      <c r="L789" s="2"/>
      <c r="M789" s="1" t="s">
        <v>4</v>
      </c>
    </row>
    <row r="790" spans="1:13" ht="12.75" x14ac:dyDescent="0.2">
      <c r="A790" s="5">
        <v>1857687</v>
      </c>
      <c r="B790" s="6">
        <v>44052</v>
      </c>
      <c r="C790" s="6">
        <v>44053</v>
      </c>
      <c r="D790" s="5" t="s">
        <v>0</v>
      </c>
      <c r="E790" s="5" t="s">
        <v>38</v>
      </c>
      <c r="F790" s="5">
        <v>12</v>
      </c>
      <c r="G790" s="5" t="s">
        <v>6</v>
      </c>
      <c r="H790" s="5">
        <v>43</v>
      </c>
      <c r="I790" s="5" t="s">
        <v>2</v>
      </c>
      <c r="J790" s="6"/>
      <c r="K790" s="5" t="s">
        <v>121</v>
      </c>
      <c r="L790" s="6">
        <v>44060</v>
      </c>
      <c r="M790" s="5" t="s">
        <v>4</v>
      </c>
    </row>
    <row r="791" spans="1:13" ht="12.75" x14ac:dyDescent="0.2">
      <c r="A791" s="1">
        <v>3158363</v>
      </c>
      <c r="B791" s="2">
        <v>44106</v>
      </c>
      <c r="C791" s="2">
        <v>44107</v>
      </c>
      <c r="D791" s="1" t="s">
        <v>5</v>
      </c>
      <c r="E791" s="1" t="s">
        <v>102</v>
      </c>
      <c r="G791" s="1" t="s">
        <v>6</v>
      </c>
      <c r="H791" s="1">
        <v>47</v>
      </c>
      <c r="I791" s="1" t="s">
        <v>15</v>
      </c>
      <c r="J791" s="2"/>
      <c r="K791" s="1" t="s">
        <v>121</v>
      </c>
      <c r="L791" s="2">
        <v>44109</v>
      </c>
    </row>
    <row r="792" spans="1:13" ht="12.75" x14ac:dyDescent="0.2">
      <c r="A792" s="5">
        <v>1441755</v>
      </c>
      <c r="B792" s="6">
        <v>44032</v>
      </c>
      <c r="C792" s="6">
        <v>44032</v>
      </c>
      <c r="D792" s="5" t="s">
        <v>0</v>
      </c>
      <c r="E792" s="5" t="s">
        <v>18</v>
      </c>
      <c r="F792" s="5">
        <v>8</v>
      </c>
      <c r="G792" s="5" t="s">
        <v>1</v>
      </c>
      <c r="H792" s="5">
        <v>10</v>
      </c>
      <c r="I792" s="5" t="s">
        <v>2</v>
      </c>
      <c r="J792" s="6"/>
      <c r="K792" s="5" t="s">
        <v>121</v>
      </c>
      <c r="L792" s="6">
        <v>44042</v>
      </c>
      <c r="M792" s="5" t="s">
        <v>9</v>
      </c>
    </row>
    <row r="793" spans="1:13" ht="12.75" x14ac:dyDescent="0.2">
      <c r="A793" s="1">
        <v>2007282</v>
      </c>
      <c r="B793" s="2">
        <v>44055</v>
      </c>
      <c r="C793" s="2">
        <v>44055</v>
      </c>
      <c r="D793" s="1" t="s">
        <v>0</v>
      </c>
      <c r="E793" s="1" t="s">
        <v>40</v>
      </c>
      <c r="F793" s="1">
        <v>1</v>
      </c>
      <c r="G793" s="1" t="s">
        <v>6</v>
      </c>
      <c r="H793" s="1">
        <v>68</v>
      </c>
      <c r="I793" s="1" t="s">
        <v>15</v>
      </c>
      <c r="J793" s="2"/>
      <c r="K793" s="1" t="s">
        <v>121</v>
      </c>
      <c r="L793" s="2">
        <v>44054</v>
      </c>
    </row>
    <row r="794" spans="1:13" ht="12.75" x14ac:dyDescent="0.2">
      <c r="A794" s="5">
        <v>1865402</v>
      </c>
      <c r="B794" s="6">
        <v>44054</v>
      </c>
      <c r="C794" s="6">
        <v>44058</v>
      </c>
      <c r="D794" s="5" t="s">
        <v>5</v>
      </c>
      <c r="E794" s="5" t="s">
        <v>83</v>
      </c>
      <c r="F794" s="5"/>
      <c r="G794" s="5" t="s">
        <v>6</v>
      </c>
      <c r="H794" s="5">
        <v>57</v>
      </c>
      <c r="I794" s="5" t="s">
        <v>2</v>
      </c>
      <c r="J794" s="6"/>
      <c r="K794" s="5" t="s">
        <v>121</v>
      </c>
      <c r="L794" s="6"/>
      <c r="M794" s="5" t="s">
        <v>9</v>
      </c>
    </row>
    <row r="795" spans="1:13" ht="12.75" x14ac:dyDescent="0.2">
      <c r="A795" s="1">
        <v>5289112</v>
      </c>
      <c r="B795" s="2">
        <v>44183</v>
      </c>
      <c r="C795" s="2">
        <v>44185</v>
      </c>
      <c r="D795" s="1" t="s">
        <v>5</v>
      </c>
      <c r="E795" s="1" t="s">
        <v>84</v>
      </c>
      <c r="G795" s="1" t="s">
        <v>1</v>
      </c>
      <c r="H795" s="1">
        <v>48</v>
      </c>
      <c r="I795" s="1" t="s">
        <v>2</v>
      </c>
      <c r="J795" s="2"/>
      <c r="K795" s="1" t="s">
        <v>121</v>
      </c>
      <c r="L795" s="2"/>
      <c r="M795" s="1" t="s">
        <v>4</v>
      </c>
    </row>
    <row r="796" spans="1:13" ht="12.75" x14ac:dyDescent="0.2">
      <c r="A796" s="5">
        <v>2509824</v>
      </c>
      <c r="B796" s="6">
        <v>44083</v>
      </c>
      <c r="C796" s="6">
        <v>44084</v>
      </c>
      <c r="D796" s="5" t="s">
        <v>5</v>
      </c>
      <c r="E796" s="5" t="s">
        <v>85</v>
      </c>
      <c r="F796" s="5"/>
      <c r="G796" s="5" t="s">
        <v>1</v>
      </c>
      <c r="H796" s="5">
        <v>15</v>
      </c>
      <c r="I796" s="5" t="s">
        <v>2</v>
      </c>
      <c r="J796" s="6"/>
      <c r="K796" s="5" t="s">
        <v>121</v>
      </c>
      <c r="L796" s="6"/>
      <c r="M796" s="5" t="s">
        <v>4</v>
      </c>
    </row>
    <row r="797" spans="1:13" ht="12.75" x14ac:dyDescent="0.2">
      <c r="A797" s="1">
        <v>4185486</v>
      </c>
      <c r="B797" s="2">
        <v>44141</v>
      </c>
      <c r="C797" s="2">
        <v>44141</v>
      </c>
      <c r="D797" s="1" t="s">
        <v>0</v>
      </c>
      <c r="E797" s="1" t="s">
        <v>10</v>
      </c>
      <c r="F797" s="1">
        <v>5</v>
      </c>
      <c r="G797" s="1" t="s">
        <v>6</v>
      </c>
      <c r="H797" s="1">
        <v>65</v>
      </c>
      <c r="I797" s="1" t="s">
        <v>15</v>
      </c>
      <c r="J797" s="2"/>
      <c r="K797" s="1" t="s">
        <v>121</v>
      </c>
      <c r="L797" s="2"/>
    </row>
    <row r="798" spans="1:13" ht="12.75" x14ac:dyDescent="0.2">
      <c r="A798" s="5">
        <v>4852872</v>
      </c>
      <c r="B798" s="6">
        <v>44207</v>
      </c>
      <c r="C798" s="6">
        <v>44207</v>
      </c>
      <c r="D798" s="5" t="s">
        <v>0</v>
      </c>
      <c r="E798" s="5" t="s">
        <v>56</v>
      </c>
      <c r="F798" s="5">
        <v>10</v>
      </c>
      <c r="G798" s="5" t="s">
        <v>1</v>
      </c>
      <c r="H798" s="5">
        <v>19</v>
      </c>
      <c r="I798" s="5" t="s">
        <v>2</v>
      </c>
      <c r="J798" s="6"/>
      <c r="K798" s="5" t="s">
        <v>121</v>
      </c>
      <c r="L798" s="6"/>
      <c r="M798" s="5" t="s">
        <v>4</v>
      </c>
    </row>
    <row r="799" spans="1:13" ht="12.75" x14ac:dyDescent="0.2">
      <c r="A799" s="1">
        <v>2450086</v>
      </c>
      <c r="B799" s="2">
        <v>44080</v>
      </c>
      <c r="C799" s="2">
        <v>44081</v>
      </c>
      <c r="D799" s="1" t="s">
        <v>0</v>
      </c>
      <c r="E799" s="1" t="s">
        <v>40</v>
      </c>
      <c r="F799" s="1">
        <v>1</v>
      </c>
      <c r="G799" s="1" t="s">
        <v>1</v>
      </c>
      <c r="H799" s="1">
        <v>44</v>
      </c>
      <c r="I799" s="1" t="s">
        <v>15</v>
      </c>
      <c r="J799" s="2"/>
      <c r="K799" s="1" t="s">
        <v>121</v>
      </c>
      <c r="L799" s="2"/>
    </row>
    <row r="800" spans="1:13" ht="12.75" x14ac:dyDescent="0.2">
      <c r="A800" s="5">
        <v>2053603</v>
      </c>
      <c r="B800" s="6">
        <v>44063</v>
      </c>
      <c r="C800" s="6">
        <v>44064</v>
      </c>
      <c r="D800" s="5" t="s">
        <v>5</v>
      </c>
      <c r="E800" s="5" t="s">
        <v>98</v>
      </c>
      <c r="F800" s="5"/>
      <c r="G800" s="5" t="s">
        <v>1</v>
      </c>
      <c r="H800" s="5">
        <v>45</v>
      </c>
      <c r="I800" s="5" t="s">
        <v>2</v>
      </c>
      <c r="J800" s="6"/>
      <c r="K800" s="5" t="s">
        <v>121</v>
      </c>
      <c r="L800" s="6"/>
      <c r="M800" s="5" t="s">
        <v>4</v>
      </c>
    </row>
    <row r="801" spans="1:13" ht="12.75" x14ac:dyDescent="0.2">
      <c r="A801" s="1">
        <v>1423712</v>
      </c>
      <c r="B801" s="2">
        <v>44029</v>
      </c>
      <c r="C801" s="2">
        <v>44032</v>
      </c>
      <c r="D801" s="1" t="s">
        <v>5</v>
      </c>
      <c r="E801" s="1" t="s">
        <v>74</v>
      </c>
      <c r="G801" s="1" t="s">
        <v>1</v>
      </c>
      <c r="H801" s="1">
        <v>66</v>
      </c>
      <c r="I801" s="1" t="s">
        <v>2</v>
      </c>
      <c r="J801" s="2"/>
      <c r="K801" s="1" t="s">
        <v>121</v>
      </c>
      <c r="L801" s="2"/>
      <c r="M801" s="1" t="s">
        <v>4</v>
      </c>
    </row>
    <row r="802" spans="1:13" ht="12.75" x14ac:dyDescent="0.2">
      <c r="A802" s="5">
        <v>4538910</v>
      </c>
      <c r="B802" s="6">
        <v>44153</v>
      </c>
      <c r="C802" s="6">
        <v>44154</v>
      </c>
      <c r="D802" s="5" t="s">
        <v>5</v>
      </c>
      <c r="E802" s="5" t="s">
        <v>97</v>
      </c>
      <c r="F802" s="5"/>
      <c r="G802" s="5" t="s">
        <v>1</v>
      </c>
      <c r="H802" s="5">
        <v>32</v>
      </c>
      <c r="I802" s="5" t="s">
        <v>15</v>
      </c>
      <c r="J802" s="6"/>
      <c r="K802" s="5" t="s">
        <v>121</v>
      </c>
      <c r="L802" s="6"/>
      <c r="M802" s="5"/>
    </row>
    <row r="803" spans="1:13" ht="12.75" x14ac:dyDescent="0.2">
      <c r="A803" s="1">
        <v>1320094</v>
      </c>
      <c r="B803" s="2">
        <v>44022</v>
      </c>
      <c r="C803" s="2">
        <v>44040</v>
      </c>
      <c r="D803" s="1" t="s">
        <v>5</v>
      </c>
      <c r="E803" s="1" t="s">
        <v>74</v>
      </c>
      <c r="G803" s="1" t="s">
        <v>6</v>
      </c>
      <c r="H803" s="1">
        <v>56</v>
      </c>
      <c r="I803" s="1" t="s">
        <v>2</v>
      </c>
      <c r="J803" s="2"/>
      <c r="K803" s="1" t="s">
        <v>121</v>
      </c>
      <c r="L803" s="2">
        <v>44040</v>
      </c>
      <c r="M803" s="1" t="s">
        <v>4</v>
      </c>
    </row>
    <row r="804" spans="1:13" ht="12.75" x14ac:dyDescent="0.2">
      <c r="A804" s="5">
        <v>2635663</v>
      </c>
      <c r="B804" s="6">
        <v>44068</v>
      </c>
      <c r="C804" s="6">
        <v>44068</v>
      </c>
      <c r="D804" s="5" t="s">
        <v>5</v>
      </c>
      <c r="E804" s="5" t="s">
        <v>76</v>
      </c>
      <c r="F804" s="5"/>
      <c r="G804" s="5" t="s">
        <v>1</v>
      </c>
      <c r="H804" s="5">
        <v>34</v>
      </c>
      <c r="I804" s="5" t="s">
        <v>15</v>
      </c>
      <c r="J804" s="6"/>
      <c r="K804" s="5" t="s">
        <v>121</v>
      </c>
      <c r="L804" s="6"/>
      <c r="M804" s="5"/>
    </row>
    <row r="805" spans="1:13" ht="12.75" x14ac:dyDescent="0.2">
      <c r="A805" s="1">
        <v>5145864</v>
      </c>
      <c r="B805" s="2">
        <v>44060</v>
      </c>
      <c r="C805" s="2">
        <v>44060</v>
      </c>
      <c r="D805" s="1" t="s">
        <v>0</v>
      </c>
      <c r="E805" s="1" t="s">
        <v>28</v>
      </c>
      <c r="F805" s="1">
        <v>11</v>
      </c>
      <c r="G805" s="1" t="s">
        <v>1</v>
      </c>
      <c r="H805" s="1">
        <v>36</v>
      </c>
      <c r="I805" s="1" t="s">
        <v>15</v>
      </c>
      <c r="J805" s="2"/>
      <c r="K805" s="1" t="s">
        <v>121</v>
      </c>
      <c r="L805" s="2"/>
    </row>
    <row r="806" spans="1:13" ht="12.75" x14ac:dyDescent="0.2">
      <c r="A806" s="5">
        <v>2430819</v>
      </c>
      <c r="B806" s="6">
        <v>44082</v>
      </c>
      <c r="C806" s="6">
        <v>44083</v>
      </c>
      <c r="D806" s="5" t="s">
        <v>5</v>
      </c>
      <c r="E806" s="5" t="s">
        <v>102</v>
      </c>
      <c r="F806" s="5"/>
      <c r="G806" s="5" t="s">
        <v>6</v>
      </c>
      <c r="H806" s="5">
        <v>64</v>
      </c>
      <c r="I806" s="5" t="s">
        <v>2</v>
      </c>
      <c r="J806" s="6"/>
      <c r="K806" s="5" t="s">
        <v>121</v>
      </c>
      <c r="L806" s="6"/>
      <c r="M806" s="5" t="s">
        <v>4</v>
      </c>
    </row>
    <row r="807" spans="1:13" ht="12.75" x14ac:dyDescent="0.2">
      <c r="A807" s="1">
        <v>2701910</v>
      </c>
      <c r="B807" s="2">
        <v>44091</v>
      </c>
      <c r="C807" s="2">
        <v>44091</v>
      </c>
      <c r="D807" s="1" t="s">
        <v>0</v>
      </c>
      <c r="E807" s="1" t="s">
        <v>7</v>
      </c>
      <c r="F807" s="1">
        <v>3</v>
      </c>
      <c r="G807" s="1" t="s">
        <v>1</v>
      </c>
      <c r="H807" s="1">
        <v>62</v>
      </c>
      <c r="I807" s="1" t="s">
        <v>2</v>
      </c>
      <c r="J807" s="2"/>
      <c r="K807" s="1" t="s">
        <v>121</v>
      </c>
      <c r="L807" s="2">
        <v>44101</v>
      </c>
      <c r="M807" s="1" t="s">
        <v>20</v>
      </c>
    </row>
    <row r="808" spans="1:13" ht="12.75" x14ac:dyDescent="0.2">
      <c r="A808" s="5">
        <v>936531</v>
      </c>
      <c r="B808" s="6">
        <v>43969</v>
      </c>
      <c r="C808" s="6">
        <v>43969</v>
      </c>
      <c r="D808" s="5" t="s">
        <v>0</v>
      </c>
      <c r="E808" s="5" t="s">
        <v>36</v>
      </c>
      <c r="F808" s="5">
        <v>1</v>
      </c>
      <c r="G808" s="5" t="s">
        <v>6</v>
      </c>
      <c r="H808" s="5">
        <v>24</v>
      </c>
      <c r="I808" s="5" t="s">
        <v>15</v>
      </c>
      <c r="J808" s="6"/>
      <c r="K808" s="5" t="s">
        <v>121</v>
      </c>
      <c r="L808" s="6"/>
      <c r="M808" s="5"/>
    </row>
    <row r="809" spans="1:13" ht="12.75" x14ac:dyDescent="0.2">
      <c r="A809" s="1">
        <v>5284295</v>
      </c>
      <c r="B809" s="2">
        <v>44095</v>
      </c>
      <c r="C809" s="2">
        <v>44095</v>
      </c>
      <c r="D809" s="1" t="s">
        <v>5</v>
      </c>
      <c r="E809" s="1" t="s">
        <v>96</v>
      </c>
      <c r="G809" s="1" t="s">
        <v>1</v>
      </c>
      <c r="H809" s="1">
        <v>57</v>
      </c>
      <c r="I809" s="1" t="s">
        <v>15</v>
      </c>
      <c r="J809" s="2"/>
      <c r="K809" s="1" t="s">
        <v>121</v>
      </c>
      <c r="L809" s="2"/>
    </row>
    <row r="810" spans="1:13" ht="12.75" x14ac:dyDescent="0.2">
      <c r="A810" s="5">
        <v>4923502</v>
      </c>
      <c r="B810" s="6">
        <v>44165</v>
      </c>
      <c r="C810" s="6">
        <v>44165</v>
      </c>
      <c r="D810" s="5" t="s">
        <v>0</v>
      </c>
      <c r="E810" s="5" t="s">
        <v>16</v>
      </c>
      <c r="F810" s="5">
        <v>15</v>
      </c>
      <c r="G810" s="5" t="s">
        <v>6</v>
      </c>
      <c r="H810" s="5">
        <v>25</v>
      </c>
      <c r="I810" s="5" t="s">
        <v>2</v>
      </c>
      <c r="J810" s="6"/>
      <c r="K810" s="5" t="s">
        <v>121</v>
      </c>
      <c r="L810" s="6"/>
      <c r="M810" s="5" t="s">
        <v>4</v>
      </c>
    </row>
    <row r="811" spans="1:13" ht="12.75" x14ac:dyDescent="0.2">
      <c r="A811" s="1">
        <v>1519142</v>
      </c>
      <c r="B811" s="2">
        <v>44036</v>
      </c>
      <c r="C811" s="2">
        <v>44036</v>
      </c>
      <c r="D811" s="1" t="s">
        <v>5</v>
      </c>
      <c r="E811" s="1" t="s">
        <v>92</v>
      </c>
      <c r="G811" s="1" t="s">
        <v>6</v>
      </c>
      <c r="H811" s="1">
        <v>36</v>
      </c>
      <c r="I811" s="1" t="s">
        <v>2</v>
      </c>
      <c r="J811" s="2"/>
      <c r="K811" s="1" t="s">
        <v>121</v>
      </c>
      <c r="L811" s="2">
        <v>44051</v>
      </c>
      <c r="M811" s="1" t="s">
        <v>9</v>
      </c>
    </row>
    <row r="812" spans="1:13" ht="12.75" x14ac:dyDescent="0.2">
      <c r="A812" s="5">
        <v>4128684</v>
      </c>
      <c r="B812" s="6">
        <v>44141</v>
      </c>
      <c r="C812" s="6">
        <v>44141</v>
      </c>
      <c r="D812" s="5" t="s">
        <v>5</v>
      </c>
      <c r="E812" s="5" t="s">
        <v>90</v>
      </c>
      <c r="F812" s="5"/>
      <c r="G812" s="5" t="s">
        <v>6</v>
      </c>
      <c r="H812" s="5">
        <v>57</v>
      </c>
      <c r="I812" s="5" t="s">
        <v>2</v>
      </c>
      <c r="J812" s="6"/>
      <c r="K812" s="5" t="s">
        <v>121</v>
      </c>
      <c r="L812" s="6"/>
      <c r="M812" s="5" t="s">
        <v>4</v>
      </c>
    </row>
    <row r="813" spans="1:13" ht="12.75" x14ac:dyDescent="0.2">
      <c r="A813" s="1">
        <v>3353454</v>
      </c>
      <c r="B813" s="2">
        <v>44116</v>
      </c>
      <c r="C813" s="2">
        <v>44117</v>
      </c>
      <c r="D813" s="1" t="s">
        <v>5</v>
      </c>
      <c r="E813" s="1" t="s">
        <v>93</v>
      </c>
      <c r="G813" s="1" t="s">
        <v>6</v>
      </c>
      <c r="H813" s="1">
        <v>32</v>
      </c>
      <c r="I813" s="1" t="s">
        <v>2</v>
      </c>
      <c r="J813" s="2"/>
      <c r="K813" s="1" t="s">
        <v>121</v>
      </c>
      <c r="L813" s="2"/>
      <c r="M813" s="1" t="s">
        <v>4</v>
      </c>
    </row>
    <row r="814" spans="1:13" ht="12.75" x14ac:dyDescent="0.2">
      <c r="A814" s="5">
        <v>5487357</v>
      </c>
      <c r="B814" s="6">
        <v>44186</v>
      </c>
      <c r="C814" s="6">
        <v>44186</v>
      </c>
      <c r="D814" s="5" t="s">
        <v>0</v>
      </c>
      <c r="E814" s="5" t="s">
        <v>54</v>
      </c>
      <c r="F814" s="5">
        <v>7</v>
      </c>
      <c r="G814" s="5" t="s">
        <v>6</v>
      </c>
      <c r="H814" s="5">
        <v>17</v>
      </c>
      <c r="I814" s="5" t="s">
        <v>15</v>
      </c>
      <c r="J814" s="6"/>
      <c r="K814" s="5" t="s">
        <v>121</v>
      </c>
      <c r="L814" s="6"/>
      <c r="M814" s="5"/>
    </row>
    <row r="815" spans="1:13" ht="12.75" x14ac:dyDescent="0.2">
      <c r="A815" s="1">
        <v>3979568</v>
      </c>
      <c r="B815" s="2">
        <v>44130</v>
      </c>
      <c r="C815" s="2">
        <v>44130</v>
      </c>
      <c r="D815" s="1" t="s">
        <v>0</v>
      </c>
      <c r="E815" s="1" t="s">
        <v>16</v>
      </c>
      <c r="F815" s="1">
        <v>15</v>
      </c>
      <c r="G815" s="1" t="s">
        <v>1</v>
      </c>
      <c r="H815" s="1">
        <v>39</v>
      </c>
      <c r="I815" s="1" t="s">
        <v>2</v>
      </c>
      <c r="J815" s="2"/>
      <c r="K815" s="1" t="s">
        <v>121</v>
      </c>
      <c r="L815" s="2"/>
      <c r="M815" s="1" t="s">
        <v>4</v>
      </c>
    </row>
    <row r="816" spans="1:13" ht="12.75" x14ac:dyDescent="0.2">
      <c r="A816" s="5">
        <v>1664515</v>
      </c>
      <c r="B816" s="6">
        <v>44046</v>
      </c>
      <c r="C816" s="6">
        <v>44046</v>
      </c>
      <c r="D816" s="5" t="s">
        <v>5</v>
      </c>
      <c r="E816" s="5" t="s">
        <v>96</v>
      </c>
      <c r="F816" s="5"/>
      <c r="G816" s="5" t="s">
        <v>1</v>
      </c>
      <c r="H816" s="5">
        <v>21</v>
      </c>
      <c r="I816" s="5" t="s">
        <v>15</v>
      </c>
      <c r="J816" s="6"/>
      <c r="K816" s="5" t="s">
        <v>121</v>
      </c>
      <c r="L816" s="6"/>
      <c r="M816" s="5"/>
    </row>
    <row r="817" spans="1:13" ht="12.75" x14ac:dyDescent="0.2">
      <c r="A817" s="1">
        <v>1670341</v>
      </c>
      <c r="B817" s="2">
        <v>44046</v>
      </c>
      <c r="C817" s="2">
        <v>44046</v>
      </c>
      <c r="D817" s="1" t="s">
        <v>5</v>
      </c>
      <c r="E817" s="1" t="s">
        <v>102</v>
      </c>
      <c r="G817" s="1" t="s">
        <v>6</v>
      </c>
      <c r="H817" s="1">
        <v>39</v>
      </c>
      <c r="I817" s="1" t="s">
        <v>15</v>
      </c>
      <c r="J817" s="2"/>
      <c r="K817" s="1" t="s">
        <v>121</v>
      </c>
      <c r="L817" s="2"/>
    </row>
    <row r="818" spans="1:13" ht="12.75" x14ac:dyDescent="0.2">
      <c r="A818" s="5">
        <v>2058796</v>
      </c>
      <c r="B818" s="6">
        <v>44066</v>
      </c>
      <c r="C818" s="6">
        <v>44066</v>
      </c>
      <c r="D818" s="5" t="s">
        <v>5</v>
      </c>
      <c r="E818" s="5" t="s">
        <v>95</v>
      </c>
      <c r="F818" s="5"/>
      <c r="G818" s="5" t="s">
        <v>1</v>
      </c>
      <c r="H818" s="5">
        <v>56</v>
      </c>
      <c r="I818" s="5" t="s">
        <v>15</v>
      </c>
      <c r="J818" s="6"/>
      <c r="K818" s="5" t="s">
        <v>121</v>
      </c>
      <c r="L818" s="6"/>
      <c r="M818" s="5"/>
    </row>
    <row r="819" spans="1:13" ht="12.75" x14ac:dyDescent="0.2">
      <c r="A819" s="1">
        <v>1761574</v>
      </c>
      <c r="B819" s="2">
        <v>44051</v>
      </c>
      <c r="C819" s="2">
        <v>44051</v>
      </c>
      <c r="D819" s="1" t="s">
        <v>5</v>
      </c>
      <c r="E819" s="1" t="s">
        <v>95</v>
      </c>
      <c r="G819" s="1" t="s">
        <v>1</v>
      </c>
      <c r="H819" s="1">
        <v>24</v>
      </c>
      <c r="I819" s="1" t="s">
        <v>21</v>
      </c>
      <c r="J819" s="2"/>
      <c r="K819" s="1" t="s">
        <v>121</v>
      </c>
      <c r="L819" s="2"/>
      <c r="M819" s="5" t="s">
        <v>20</v>
      </c>
    </row>
    <row r="820" spans="1:13" ht="12.75" x14ac:dyDescent="0.2">
      <c r="A820" s="5">
        <v>1448987</v>
      </c>
      <c r="B820" s="6">
        <v>44029</v>
      </c>
      <c r="C820" s="6">
        <v>44033</v>
      </c>
      <c r="D820" s="5" t="s">
        <v>5</v>
      </c>
      <c r="E820" s="5" t="s">
        <v>90</v>
      </c>
      <c r="F820" s="5"/>
      <c r="G820" s="5" t="s">
        <v>6</v>
      </c>
      <c r="H820" s="5">
        <v>27</v>
      </c>
      <c r="I820" s="5" t="s">
        <v>15</v>
      </c>
      <c r="J820" s="6"/>
      <c r="K820" s="5" t="s">
        <v>121</v>
      </c>
      <c r="L820" s="6"/>
      <c r="M820" s="5"/>
    </row>
    <row r="821" spans="1:13" ht="12.75" x14ac:dyDescent="0.2">
      <c r="A821" s="1">
        <v>4400873</v>
      </c>
      <c r="B821" s="2">
        <v>44147</v>
      </c>
      <c r="C821" s="2">
        <v>44148</v>
      </c>
      <c r="D821" s="1" t="s">
        <v>0</v>
      </c>
      <c r="E821" s="1" t="s">
        <v>24</v>
      </c>
      <c r="F821" s="1">
        <v>9</v>
      </c>
      <c r="G821" s="1" t="s">
        <v>6</v>
      </c>
      <c r="H821" s="1">
        <v>7</v>
      </c>
      <c r="I821" s="1" t="s">
        <v>15</v>
      </c>
      <c r="J821" s="2"/>
      <c r="K821" s="1" t="s">
        <v>121</v>
      </c>
      <c r="L821" s="2"/>
    </row>
    <row r="822" spans="1:13" ht="12.75" x14ac:dyDescent="0.2">
      <c r="A822" s="5">
        <v>2408770</v>
      </c>
      <c r="B822" s="6">
        <v>44080</v>
      </c>
      <c r="C822" s="6">
        <v>44080</v>
      </c>
      <c r="D822" s="5" t="s">
        <v>0</v>
      </c>
      <c r="E822" s="5" t="s">
        <v>45</v>
      </c>
      <c r="F822" s="5">
        <v>4</v>
      </c>
      <c r="G822" s="5" t="s">
        <v>1</v>
      </c>
      <c r="H822" s="5">
        <v>8</v>
      </c>
      <c r="I822" s="5" t="s">
        <v>2</v>
      </c>
      <c r="J822" s="6"/>
      <c r="K822" s="5" t="s">
        <v>121</v>
      </c>
      <c r="L822" s="6"/>
      <c r="M822" s="5" t="s">
        <v>4</v>
      </c>
    </row>
    <row r="823" spans="1:13" ht="12.75" x14ac:dyDescent="0.2">
      <c r="A823" s="1">
        <v>2746224</v>
      </c>
      <c r="B823" s="2">
        <v>44093</v>
      </c>
      <c r="C823" s="2">
        <v>44093</v>
      </c>
      <c r="D823" s="1" t="s">
        <v>0</v>
      </c>
      <c r="E823" s="1" t="s">
        <v>17</v>
      </c>
      <c r="F823" s="1">
        <v>1</v>
      </c>
      <c r="G823" s="1" t="s">
        <v>6</v>
      </c>
      <c r="H823" s="1">
        <v>22</v>
      </c>
      <c r="I823" s="1" t="s">
        <v>2</v>
      </c>
      <c r="J823" s="2"/>
      <c r="K823" s="1" t="s">
        <v>121</v>
      </c>
      <c r="L823" s="2"/>
      <c r="M823" s="1" t="s">
        <v>9</v>
      </c>
    </row>
    <row r="824" spans="1:13" ht="12.75" x14ac:dyDescent="0.2">
      <c r="A824" s="5">
        <v>1006958</v>
      </c>
      <c r="B824" s="6">
        <v>43982</v>
      </c>
      <c r="C824" s="6">
        <v>43983</v>
      </c>
      <c r="D824" s="5" t="s">
        <v>5</v>
      </c>
      <c r="E824" s="5" t="s">
        <v>83</v>
      </c>
      <c r="F824" s="5"/>
      <c r="G824" s="5" t="s">
        <v>6</v>
      </c>
      <c r="H824" s="5">
        <v>39</v>
      </c>
      <c r="I824" s="5" t="s">
        <v>2</v>
      </c>
      <c r="J824" s="6"/>
      <c r="K824" s="5" t="s">
        <v>121</v>
      </c>
      <c r="L824" s="6"/>
      <c r="M824" s="5" t="s">
        <v>4</v>
      </c>
    </row>
    <row r="825" spans="1:13" ht="12.75" x14ac:dyDescent="0.2">
      <c r="A825" s="1">
        <v>1139624</v>
      </c>
      <c r="B825" s="2">
        <v>44004</v>
      </c>
      <c r="C825" s="2">
        <v>44004</v>
      </c>
      <c r="D825" s="1" t="s">
        <v>5</v>
      </c>
      <c r="E825" s="1" t="s">
        <v>84</v>
      </c>
      <c r="G825" s="1" t="s">
        <v>6</v>
      </c>
      <c r="H825" s="1">
        <v>44</v>
      </c>
      <c r="I825" s="1" t="s">
        <v>2</v>
      </c>
      <c r="J825" s="2"/>
      <c r="K825" s="1" t="s">
        <v>121</v>
      </c>
      <c r="L825" s="2"/>
      <c r="M825" s="1" t="s">
        <v>20</v>
      </c>
    </row>
    <row r="826" spans="1:13" ht="12.75" x14ac:dyDescent="0.2">
      <c r="A826" s="5">
        <v>3471938</v>
      </c>
      <c r="B826" s="6">
        <v>44118</v>
      </c>
      <c r="C826" s="6">
        <v>44119</v>
      </c>
      <c r="D826" s="5" t="s">
        <v>5</v>
      </c>
      <c r="E826" s="5" t="s">
        <v>85</v>
      </c>
      <c r="F826" s="5"/>
      <c r="G826" s="5" t="s">
        <v>1</v>
      </c>
      <c r="H826" s="5">
        <v>31</v>
      </c>
      <c r="I826" s="5" t="s">
        <v>15</v>
      </c>
      <c r="J826" s="6"/>
      <c r="K826" s="5" t="s">
        <v>121</v>
      </c>
      <c r="L826" s="6"/>
      <c r="M826" s="5"/>
    </row>
    <row r="827" spans="1:13" ht="12.75" x14ac:dyDescent="0.2">
      <c r="A827" s="1">
        <v>2437732</v>
      </c>
      <c r="B827" s="2">
        <v>44078</v>
      </c>
      <c r="C827" s="2">
        <v>44079</v>
      </c>
      <c r="D827" s="1" t="s">
        <v>5</v>
      </c>
      <c r="E827" s="1" t="s">
        <v>95</v>
      </c>
      <c r="G827" s="1" t="s">
        <v>1</v>
      </c>
      <c r="H827" s="1">
        <v>47</v>
      </c>
      <c r="I827" s="1" t="s">
        <v>2</v>
      </c>
      <c r="J827" s="2"/>
      <c r="K827" s="1" t="s">
        <v>121</v>
      </c>
      <c r="L827" s="2"/>
      <c r="M827" s="1" t="s">
        <v>4</v>
      </c>
    </row>
    <row r="828" spans="1:13" ht="12.75" x14ac:dyDescent="0.2">
      <c r="A828" s="5">
        <v>1154077</v>
      </c>
      <c r="B828" s="6">
        <v>44006</v>
      </c>
      <c r="C828" s="6">
        <v>44006</v>
      </c>
      <c r="D828" s="5" t="s">
        <v>0</v>
      </c>
      <c r="E828" s="5" t="s">
        <v>7</v>
      </c>
      <c r="F828" s="5">
        <v>3</v>
      </c>
      <c r="G828" s="5" t="s">
        <v>1</v>
      </c>
      <c r="H828" s="5">
        <v>7</v>
      </c>
      <c r="I828" s="5" t="s">
        <v>15</v>
      </c>
      <c r="J828" s="6"/>
      <c r="K828" s="5" t="s">
        <v>121</v>
      </c>
      <c r="L828" s="6"/>
      <c r="M828" s="5"/>
    </row>
    <row r="829" spans="1:13" ht="12.75" x14ac:dyDescent="0.2">
      <c r="A829" s="1">
        <v>3095510</v>
      </c>
      <c r="B829" s="2">
        <v>44106</v>
      </c>
      <c r="C829" s="2">
        <v>44106</v>
      </c>
      <c r="D829" s="1" t="s">
        <v>0</v>
      </c>
      <c r="E829" s="1" t="s">
        <v>55</v>
      </c>
      <c r="F829" s="1">
        <v>15</v>
      </c>
      <c r="G829" s="1" t="s">
        <v>1</v>
      </c>
      <c r="H829" s="1">
        <v>5</v>
      </c>
      <c r="I829" s="1" t="s">
        <v>2</v>
      </c>
      <c r="J829" s="2"/>
      <c r="K829" s="1" t="s">
        <v>121</v>
      </c>
      <c r="L829" s="2"/>
      <c r="M829" s="1" t="s">
        <v>9</v>
      </c>
    </row>
    <row r="830" spans="1:13" ht="12.75" x14ac:dyDescent="0.2">
      <c r="A830" s="5">
        <v>5773807</v>
      </c>
      <c r="B830" s="6">
        <v>44195</v>
      </c>
      <c r="C830" s="6">
        <v>44195</v>
      </c>
      <c r="D830" s="5" t="s">
        <v>0</v>
      </c>
      <c r="E830" s="5" t="s">
        <v>31</v>
      </c>
      <c r="F830" s="5">
        <v>10</v>
      </c>
      <c r="G830" s="5" t="s">
        <v>1</v>
      </c>
      <c r="H830" s="5">
        <v>41</v>
      </c>
      <c r="I830" s="5" t="s">
        <v>2</v>
      </c>
      <c r="J830" s="6"/>
      <c r="K830" s="5" t="s">
        <v>121</v>
      </c>
      <c r="L830" s="6"/>
      <c r="M830" s="5" t="s">
        <v>9</v>
      </c>
    </row>
    <row r="831" spans="1:13" ht="12.75" x14ac:dyDescent="0.2">
      <c r="A831" s="1">
        <v>1268377</v>
      </c>
      <c r="B831" s="2">
        <v>44015</v>
      </c>
      <c r="C831" s="2">
        <v>44015</v>
      </c>
      <c r="D831" s="1" t="s">
        <v>0</v>
      </c>
      <c r="E831" s="1" t="s">
        <v>18</v>
      </c>
      <c r="F831" s="1">
        <v>8</v>
      </c>
      <c r="G831" s="1" t="s">
        <v>6</v>
      </c>
      <c r="H831" s="1">
        <v>27</v>
      </c>
      <c r="I831" s="1" t="s">
        <v>15</v>
      </c>
      <c r="J831" s="2"/>
      <c r="K831" s="1" t="s">
        <v>121</v>
      </c>
      <c r="L831" s="2"/>
    </row>
    <row r="832" spans="1:13" ht="12.75" x14ac:dyDescent="0.2">
      <c r="A832" s="5">
        <v>1618622</v>
      </c>
      <c r="B832" s="6">
        <v>44041</v>
      </c>
      <c r="C832" s="6">
        <v>44056</v>
      </c>
      <c r="D832" s="5" t="s">
        <v>5</v>
      </c>
      <c r="E832" s="5" t="s">
        <v>95</v>
      </c>
      <c r="F832" s="5"/>
      <c r="G832" s="5" t="s">
        <v>6</v>
      </c>
      <c r="H832" s="5">
        <v>56</v>
      </c>
      <c r="I832" s="5" t="s">
        <v>2</v>
      </c>
      <c r="J832" s="6"/>
      <c r="K832" s="5" t="s">
        <v>121</v>
      </c>
      <c r="L832" s="6">
        <v>44051</v>
      </c>
      <c r="M832" s="5" t="s">
        <v>4</v>
      </c>
    </row>
    <row r="833" spans="1:13" ht="12.75" x14ac:dyDescent="0.2">
      <c r="A833" s="1">
        <v>1663190</v>
      </c>
      <c r="B833" s="2">
        <v>44044</v>
      </c>
      <c r="C833" s="2">
        <v>44046</v>
      </c>
      <c r="D833" s="1" t="s">
        <v>5</v>
      </c>
      <c r="E833" s="1" t="s">
        <v>95</v>
      </c>
      <c r="G833" s="1" t="s">
        <v>6</v>
      </c>
      <c r="H833" s="1">
        <v>35</v>
      </c>
      <c r="I833" s="1" t="s">
        <v>2</v>
      </c>
      <c r="J833" s="2"/>
      <c r="K833" s="1" t="s">
        <v>121</v>
      </c>
      <c r="L833" s="2"/>
      <c r="M833" s="1" t="s">
        <v>4</v>
      </c>
    </row>
    <row r="834" spans="1:13" ht="12.75" x14ac:dyDescent="0.2">
      <c r="A834" s="5">
        <v>1803174</v>
      </c>
      <c r="B834" s="6">
        <v>44026</v>
      </c>
      <c r="C834" s="6">
        <v>44026</v>
      </c>
      <c r="D834" s="5" t="s">
        <v>0</v>
      </c>
      <c r="E834" s="5" t="s">
        <v>50</v>
      </c>
      <c r="F834" s="5">
        <v>1</v>
      </c>
      <c r="G834" s="5" t="s">
        <v>6</v>
      </c>
      <c r="H834" s="5">
        <v>46</v>
      </c>
      <c r="I834" s="5" t="s">
        <v>15</v>
      </c>
      <c r="J834" s="6"/>
      <c r="K834" s="5" t="s">
        <v>121</v>
      </c>
      <c r="L834" s="6"/>
      <c r="M834" s="5"/>
    </row>
    <row r="835" spans="1:13" ht="12.75" x14ac:dyDescent="0.2">
      <c r="A835" s="1">
        <v>1562036</v>
      </c>
      <c r="B835" s="2">
        <v>44040</v>
      </c>
      <c r="C835" s="2">
        <v>44042</v>
      </c>
      <c r="D835" s="1" t="s">
        <v>0</v>
      </c>
      <c r="E835" s="1" t="s">
        <v>10</v>
      </c>
      <c r="F835" s="1">
        <v>5</v>
      </c>
      <c r="G835" s="1" t="s">
        <v>6</v>
      </c>
      <c r="H835" s="1">
        <v>45</v>
      </c>
      <c r="I835" s="1" t="s">
        <v>2</v>
      </c>
      <c r="J835" s="2"/>
      <c r="K835" s="1" t="s">
        <v>121</v>
      </c>
      <c r="L835" s="2"/>
      <c r="M835" s="1" t="s">
        <v>4</v>
      </c>
    </row>
    <row r="836" spans="1:13" ht="12.75" x14ac:dyDescent="0.2">
      <c r="A836" s="5">
        <v>1769895</v>
      </c>
      <c r="B836" s="6">
        <v>44053</v>
      </c>
      <c r="C836" s="6">
        <v>44054</v>
      </c>
      <c r="D836" s="5" t="s">
        <v>0</v>
      </c>
      <c r="E836" s="5" t="s">
        <v>17</v>
      </c>
      <c r="F836" s="5">
        <v>1</v>
      </c>
      <c r="G836" s="5" t="s">
        <v>1</v>
      </c>
      <c r="H836" s="5">
        <v>48</v>
      </c>
      <c r="I836" s="5" t="s">
        <v>2</v>
      </c>
      <c r="J836" s="6"/>
      <c r="K836" s="5" t="s">
        <v>121</v>
      </c>
      <c r="L836" s="6"/>
      <c r="M836" s="5" t="s">
        <v>4</v>
      </c>
    </row>
    <row r="837" spans="1:13" ht="12.75" x14ac:dyDescent="0.2">
      <c r="A837" s="1">
        <v>1557249</v>
      </c>
      <c r="B837" s="2">
        <v>44037</v>
      </c>
      <c r="C837" s="2">
        <v>44038</v>
      </c>
      <c r="D837" s="1" t="s">
        <v>5</v>
      </c>
      <c r="E837" s="1" t="s">
        <v>76</v>
      </c>
      <c r="G837" s="1" t="s">
        <v>1</v>
      </c>
      <c r="H837" s="1">
        <v>55</v>
      </c>
      <c r="I837" s="1" t="s">
        <v>2</v>
      </c>
      <c r="J837" s="2"/>
      <c r="K837" s="1" t="s">
        <v>121</v>
      </c>
      <c r="L837" s="2"/>
      <c r="M837" s="1" t="s">
        <v>4</v>
      </c>
    </row>
    <row r="838" spans="1:13" ht="12.75" x14ac:dyDescent="0.2">
      <c r="A838" s="5">
        <v>2110317</v>
      </c>
      <c r="B838" s="6">
        <v>44068</v>
      </c>
      <c r="C838" s="6">
        <v>44068</v>
      </c>
      <c r="D838" s="5" t="s">
        <v>5</v>
      </c>
      <c r="E838" s="5" t="s">
        <v>95</v>
      </c>
      <c r="F838" s="5"/>
      <c r="G838" s="5" t="s">
        <v>6</v>
      </c>
      <c r="H838" s="5">
        <v>39</v>
      </c>
      <c r="I838" s="5" t="s">
        <v>15</v>
      </c>
      <c r="J838" s="6"/>
      <c r="K838" s="5" t="s">
        <v>121</v>
      </c>
      <c r="L838" s="6"/>
      <c r="M838" s="5"/>
    </row>
    <row r="839" spans="1:13" ht="12.75" x14ac:dyDescent="0.2">
      <c r="A839" s="1">
        <v>4102595</v>
      </c>
      <c r="B839" s="2">
        <v>44139</v>
      </c>
      <c r="C839" s="2">
        <v>44140</v>
      </c>
      <c r="D839" s="1" t="s">
        <v>0</v>
      </c>
      <c r="E839" s="1" t="s">
        <v>33</v>
      </c>
      <c r="F839" s="1">
        <v>13</v>
      </c>
      <c r="G839" s="1" t="s">
        <v>1</v>
      </c>
      <c r="H839" s="1">
        <v>86</v>
      </c>
      <c r="I839" s="1" t="s">
        <v>2</v>
      </c>
      <c r="J839" s="2"/>
      <c r="K839" s="1" t="s">
        <v>121</v>
      </c>
      <c r="L839" s="2"/>
      <c r="M839" s="1" t="s">
        <v>4</v>
      </c>
    </row>
    <row r="840" spans="1:13" ht="12.75" x14ac:dyDescent="0.2">
      <c r="A840" s="5">
        <v>5446776</v>
      </c>
      <c r="B840" s="6">
        <v>44185</v>
      </c>
      <c r="C840" s="6">
        <v>44186</v>
      </c>
      <c r="D840" s="5" t="s">
        <v>0</v>
      </c>
      <c r="E840" s="5" t="s">
        <v>11</v>
      </c>
      <c r="F840" s="5">
        <v>6</v>
      </c>
      <c r="G840" s="5" t="s">
        <v>6</v>
      </c>
      <c r="H840" s="5">
        <v>27</v>
      </c>
      <c r="I840" s="5" t="s">
        <v>2</v>
      </c>
      <c r="J840" s="6"/>
      <c r="K840" s="5" t="s">
        <v>121</v>
      </c>
      <c r="L840" s="6"/>
      <c r="M840" s="5" t="s">
        <v>4</v>
      </c>
    </row>
    <row r="841" spans="1:13" ht="12.75" x14ac:dyDescent="0.2">
      <c r="A841" s="1">
        <v>4670700</v>
      </c>
      <c r="B841" s="2">
        <v>44158</v>
      </c>
      <c r="C841" s="2">
        <v>44159</v>
      </c>
      <c r="D841" s="1" t="s">
        <v>5</v>
      </c>
      <c r="E841" s="1" t="s">
        <v>82</v>
      </c>
      <c r="G841" s="1" t="s">
        <v>1</v>
      </c>
      <c r="H841" s="1">
        <v>75</v>
      </c>
      <c r="I841" s="1" t="s">
        <v>15</v>
      </c>
      <c r="J841" s="2"/>
      <c r="K841" s="1" t="s">
        <v>121</v>
      </c>
      <c r="L841" s="2"/>
    </row>
    <row r="842" spans="1:13" ht="12.75" x14ac:dyDescent="0.2">
      <c r="A842" s="5">
        <v>2939846</v>
      </c>
      <c r="B842" s="6">
        <v>44100</v>
      </c>
      <c r="C842" s="6">
        <v>44101</v>
      </c>
      <c r="D842" s="5" t="s">
        <v>5</v>
      </c>
      <c r="E842" s="5" t="s">
        <v>95</v>
      </c>
      <c r="F842" s="5"/>
      <c r="G842" s="5" t="s">
        <v>1</v>
      </c>
      <c r="H842" s="5">
        <v>12</v>
      </c>
      <c r="I842" s="5" t="s">
        <v>2</v>
      </c>
      <c r="J842" s="6"/>
      <c r="K842" s="5" t="s">
        <v>121</v>
      </c>
      <c r="L842" s="6"/>
      <c r="M842" s="5" t="s">
        <v>4</v>
      </c>
    </row>
    <row r="843" spans="1:13" ht="12.75" x14ac:dyDescent="0.2">
      <c r="A843" s="1">
        <v>1413728</v>
      </c>
      <c r="B843" s="2">
        <v>44031</v>
      </c>
      <c r="C843" s="2">
        <v>44031</v>
      </c>
      <c r="D843" s="1" t="s">
        <v>0</v>
      </c>
      <c r="E843" s="1" t="s">
        <v>11</v>
      </c>
      <c r="F843" s="1">
        <v>6</v>
      </c>
      <c r="G843" s="1" t="s">
        <v>1</v>
      </c>
      <c r="H843" s="1">
        <v>36</v>
      </c>
      <c r="I843" s="1" t="s">
        <v>2</v>
      </c>
      <c r="J843" s="2"/>
      <c r="K843" s="1" t="s">
        <v>121</v>
      </c>
      <c r="L843" s="2"/>
      <c r="M843" s="1" t="s">
        <v>9</v>
      </c>
    </row>
    <row r="844" spans="1:13" ht="12.75" x14ac:dyDescent="0.2">
      <c r="A844" s="5">
        <v>5527638</v>
      </c>
      <c r="B844" s="6">
        <v>44188</v>
      </c>
      <c r="C844" s="6">
        <v>44188</v>
      </c>
      <c r="D844" s="5" t="s">
        <v>49</v>
      </c>
      <c r="E844" s="5" t="s">
        <v>110</v>
      </c>
      <c r="F844" s="5"/>
      <c r="G844" s="5" t="s">
        <v>1</v>
      </c>
      <c r="H844" s="5">
        <v>40</v>
      </c>
      <c r="I844" s="5" t="s">
        <v>15</v>
      </c>
      <c r="J844" s="6"/>
      <c r="K844" s="5" t="s">
        <v>121</v>
      </c>
      <c r="L844" s="6"/>
      <c r="M844" s="5"/>
    </row>
    <row r="845" spans="1:13" ht="12.75" x14ac:dyDescent="0.2">
      <c r="A845" s="1">
        <v>1870161</v>
      </c>
      <c r="B845" s="2">
        <v>44056</v>
      </c>
      <c r="C845" s="2">
        <v>44056</v>
      </c>
      <c r="D845" s="1" t="s">
        <v>5</v>
      </c>
      <c r="E845" s="1" t="s">
        <v>95</v>
      </c>
      <c r="G845" s="1" t="s">
        <v>1</v>
      </c>
      <c r="H845" s="1">
        <v>33</v>
      </c>
      <c r="I845" s="1" t="s">
        <v>2</v>
      </c>
      <c r="J845" s="2"/>
      <c r="K845" s="1" t="s">
        <v>121</v>
      </c>
      <c r="L845" s="2"/>
      <c r="M845" s="1" t="s">
        <v>4</v>
      </c>
    </row>
    <row r="846" spans="1:13" ht="12.75" x14ac:dyDescent="0.2">
      <c r="A846" s="5">
        <v>4845152</v>
      </c>
      <c r="B846" s="6">
        <v>44163</v>
      </c>
      <c r="C846" s="6">
        <v>44163</v>
      </c>
      <c r="D846" s="5" t="s">
        <v>5</v>
      </c>
      <c r="E846" s="5" t="s">
        <v>92</v>
      </c>
      <c r="F846" s="5"/>
      <c r="G846" s="5" t="s">
        <v>6</v>
      </c>
      <c r="H846" s="5">
        <v>64</v>
      </c>
      <c r="I846" s="5" t="s">
        <v>15</v>
      </c>
      <c r="J846" s="6"/>
      <c r="K846" s="5" t="s">
        <v>121</v>
      </c>
      <c r="L846" s="6"/>
      <c r="M846" s="5"/>
    </row>
    <row r="847" spans="1:13" ht="12.75" x14ac:dyDescent="0.2">
      <c r="A847" s="1">
        <v>1357561</v>
      </c>
      <c r="B847" s="2">
        <v>44026</v>
      </c>
      <c r="C847" s="2">
        <v>44026</v>
      </c>
      <c r="D847" s="1" t="s">
        <v>5</v>
      </c>
      <c r="E847" s="1" t="s">
        <v>90</v>
      </c>
      <c r="G847" s="1" t="s">
        <v>6</v>
      </c>
      <c r="H847" s="1">
        <v>58</v>
      </c>
      <c r="I847" s="1" t="s">
        <v>2</v>
      </c>
      <c r="J847" s="2"/>
      <c r="K847" s="1" t="s">
        <v>121</v>
      </c>
      <c r="L847" s="2"/>
      <c r="M847" s="1" t="s">
        <v>4</v>
      </c>
    </row>
    <row r="848" spans="1:13" ht="12.75" x14ac:dyDescent="0.2">
      <c r="A848" s="5">
        <v>1130795</v>
      </c>
      <c r="B848" s="6">
        <v>43998</v>
      </c>
      <c r="C848" s="6">
        <v>43999</v>
      </c>
      <c r="D848" s="5" t="s">
        <v>5</v>
      </c>
      <c r="E848" s="5" t="s">
        <v>93</v>
      </c>
      <c r="F848" s="5"/>
      <c r="G848" s="5" t="s">
        <v>1</v>
      </c>
      <c r="H848" s="5">
        <v>58</v>
      </c>
      <c r="I848" s="5" t="s">
        <v>2</v>
      </c>
      <c r="J848" s="6"/>
      <c r="K848" s="5" t="s">
        <v>121</v>
      </c>
      <c r="L848" s="6"/>
      <c r="M848" s="5" t="s">
        <v>4</v>
      </c>
    </row>
    <row r="849" spans="1:13" ht="12.75" x14ac:dyDescent="0.2">
      <c r="A849" s="1">
        <v>3473150</v>
      </c>
      <c r="B849" s="2">
        <v>44096</v>
      </c>
      <c r="C849" s="2">
        <v>44098</v>
      </c>
      <c r="D849" s="1" t="s">
        <v>5</v>
      </c>
      <c r="E849" s="1" t="s">
        <v>76</v>
      </c>
      <c r="G849" s="1" t="s">
        <v>6</v>
      </c>
      <c r="H849" s="1">
        <v>36</v>
      </c>
      <c r="I849" s="1" t="s">
        <v>15</v>
      </c>
      <c r="J849" s="2"/>
      <c r="K849" s="1" t="s">
        <v>121</v>
      </c>
      <c r="L849" s="2"/>
    </row>
    <row r="850" spans="1:13" ht="12.75" x14ac:dyDescent="0.2">
      <c r="A850" s="5">
        <v>1085560</v>
      </c>
      <c r="B850" s="6">
        <v>43997</v>
      </c>
      <c r="C850" s="6">
        <v>43997</v>
      </c>
      <c r="D850" s="5" t="s">
        <v>0</v>
      </c>
      <c r="E850" s="5" t="s">
        <v>45</v>
      </c>
      <c r="F850" s="5">
        <v>4</v>
      </c>
      <c r="G850" s="5" t="s">
        <v>6</v>
      </c>
      <c r="H850" s="5">
        <v>32</v>
      </c>
      <c r="I850" s="5" t="s">
        <v>2</v>
      </c>
      <c r="J850" s="6"/>
      <c r="K850" s="5" t="s">
        <v>121</v>
      </c>
      <c r="L850" s="6"/>
      <c r="M850" s="5" t="s">
        <v>20</v>
      </c>
    </row>
    <row r="851" spans="1:13" ht="12.75" x14ac:dyDescent="0.2">
      <c r="A851" s="1">
        <v>1226875</v>
      </c>
      <c r="B851" s="2">
        <v>44013</v>
      </c>
      <c r="C851" s="2">
        <v>44013</v>
      </c>
      <c r="D851" s="1" t="s">
        <v>0</v>
      </c>
      <c r="E851" s="1" t="s">
        <v>93</v>
      </c>
      <c r="F851" s="1">
        <v>1</v>
      </c>
      <c r="G851" s="1" t="s">
        <v>1</v>
      </c>
      <c r="H851" s="1">
        <v>65</v>
      </c>
      <c r="I851" s="1" t="s">
        <v>2</v>
      </c>
      <c r="J851" s="2"/>
      <c r="K851" s="1" t="s">
        <v>121</v>
      </c>
      <c r="L851" s="2"/>
      <c r="M851" s="1" t="s">
        <v>22</v>
      </c>
    </row>
    <row r="852" spans="1:13" ht="12.75" x14ac:dyDescent="0.2">
      <c r="A852" s="5">
        <v>3114175</v>
      </c>
      <c r="B852" s="6">
        <v>44107</v>
      </c>
      <c r="C852" s="6">
        <v>44107</v>
      </c>
      <c r="D852" s="5" t="s">
        <v>5</v>
      </c>
      <c r="E852" s="5" t="s">
        <v>76</v>
      </c>
      <c r="F852" s="5"/>
      <c r="G852" s="5" t="s">
        <v>1</v>
      </c>
      <c r="H852" s="5">
        <v>41</v>
      </c>
      <c r="I852" s="5" t="s">
        <v>15</v>
      </c>
      <c r="J852" s="6"/>
      <c r="K852" s="5" t="s">
        <v>121</v>
      </c>
      <c r="L852" s="6"/>
      <c r="M852" s="5"/>
    </row>
    <row r="853" spans="1:13" ht="12.75" x14ac:dyDescent="0.2">
      <c r="A853" s="1">
        <v>3288732</v>
      </c>
      <c r="B853" s="2">
        <v>44112</v>
      </c>
      <c r="C853" s="2">
        <v>44112</v>
      </c>
      <c r="D853" s="1" t="s">
        <v>63</v>
      </c>
      <c r="E853" s="1" t="s">
        <v>117</v>
      </c>
      <c r="G853" s="1" t="s">
        <v>6</v>
      </c>
      <c r="H853" s="1">
        <v>27</v>
      </c>
      <c r="I853" s="1" t="s">
        <v>15</v>
      </c>
      <c r="J853" s="2"/>
      <c r="K853" s="1" t="s">
        <v>121</v>
      </c>
      <c r="L853" s="2"/>
    </row>
    <row r="854" spans="1:13" ht="12.75" x14ac:dyDescent="0.2">
      <c r="A854" s="5">
        <v>4989019</v>
      </c>
      <c r="B854" s="6">
        <v>44168</v>
      </c>
      <c r="C854" s="6">
        <v>44169</v>
      </c>
      <c r="D854" s="5" t="s">
        <v>5</v>
      </c>
      <c r="E854" s="5" t="s">
        <v>92</v>
      </c>
      <c r="F854" s="5"/>
      <c r="G854" s="5" t="s">
        <v>6</v>
      </c>
      <c r="H854" s="5">
        <v>50</v>
      </c>
      <c r="I854" s="5" t="s">
        <v>2</v>
      </c>
      <c r="J854" s="6"/>
      <c r="K854" s="5" t="s">
        <v>121</v>
      </c>
      <c r="L854" s="6"/>
      <c r="M854" s="5" t="s">
        <v>20</v>
      </c>
    </row>
    <row r="855" spans="1:13" ht="12.75" x14ac:dyDescent="0.2">
      <c r="A855" s="1">
        <v>5189008</v>
      </c>
      <c r="B855" s="2">
        <v>44217</v>
      </c>
      <c r="C855" s="2">
        <v>44295</v>
      </c>
      <c r="D855" s="1" t="s">
        <v>0</v>
      </c>
      <c r="E855" s="1" t="s">
        <v>35</v>
      </c>
      <c r="F855" s="1">
        <v>3</v>
      </c>
      <c r="G855" s="1" t="s">
        <v>1</v>
      </c>
      <c r="H855" s="1">
        <v>31</v>
      </c>
      <c r="I855" s="1" t="s">
        <v>2</v>
      </c>
      <c r="J855" s="2"/>
      <c r="K855" s="1" t="s">
        <v>121</v>
      </c>
      <c r="L855" s="2"/>
      <c r="M855" s="1" t="s">
        <v>4</v>
      </c>
    </row>
    <row r="856" spans="1:13" ht="12.75" x14ac:dyDescent="0.2">
      <c r="A856" s="5">
        <v>5329328</v>
      </c>
      <c r="B856" s="6">
        <v>44181</v>
      </c>
      <c r="C856" s="6">
        <v>44181</v>
      </c>
      <c r="D856" s="5" t="s">
        <v>5</v>
      </c>
      <c r="E856" s="5" t="s">
        <v>93</v>
      </c>
      <c r="F856" s="5"/>
      <c r="G856" s="5" t="s">
        <v>6</v>
      </c>
      <c r="H856" s="5">
        <v>62</v>
      </c>
      <c r="I856" s="5" t="s">
        <v>15</v>
      </c>
      <c r="J856" s="6"/>
      <c r="K856" s="5" t="s">
        <v>121</v>
      </c>
      <c r="L856" s="6"/>
      <c r="M856" s="5"/>
    </row>
    <row r="857" spans="1:13" ht="12.75" x14ac:dyDescent="0.2">
      <c r="A857" s="1">
        <v>2131301</v>
      </c>
      <c r="B857" s="2">
        <v>44069</v>
      </c>
      <c r="C857" s="2">
        <v>44069</v>
      </c>
      <c r="D857" s="1" t="s">
        <v>0</v>
      </c>
      <c r="E857" s="1" t="s">
        <v>50</v>
      </c>
      <c r="F857" s="1">
        <v>1</v>
      </c>
      <c r="G857" s="1" t="s">
        <v>6</v>
      </c>
      <c r="H857" s="1">
        <v>29</v>
      </c>
      <c r="I857" s="1" t="s">
        <v>15</v>
      </c>
      <c r="J857" s="2"/>
      <c r="K857" s="1" t="s">
        <v>121</v>
      </c>
      <c r="L857" s="2"/>
    </row>
    <row r="858" spans="1:13" ht="12.75" x14ac:dyDescent="0.2">
      <c r="A858" s="5">
        <v>1212052</v>
      </c>
      <c r="B858" s="6">
        <v>44011</v>
      </c>
      <c r="C858" s="6">
        <v>44013</v>
      </c>
      <c r="D858" s="5" t="s">
        <v>0</v>
      </c>
      <c r="E858" s="5" t="s">
        <v>36</v>
      </c>
      <c r="F858" s="5">
        <v>1</v>
      </c>
      <c r="G858" s="5" t="s">
        <v>1</v>
      </c>
      <c r="H858" s="5">
        <v>10</v>
      </c>
      <c r="I858" s="5" t="s">
        <v>15</v>
      </c>
      <c r="J858" s="6"/>
      <c r="K858" s="5" t="s">
        <v>121</v>
      </c>
      <c r="L858" s="6"/>
      <c r="M858" s="5"/>
    </row>
    <row r="859" spans="1:13" ht="12.75" x14ac:dyDescent="0.2">
      <c r="A859" s="1">
        <v>1520214</v>
      </c>
      <c r="B859" s="2">
        <v>44037</v>
      </c>
      <c r="C859" s="2">
        <v>44037</v>
      </c>
      <c r="D859" s="1" t="s">
        <v>0</v>
      </c>
      <c r="E859" s="1" t="s">
        <v>26</v>
      </c>
      <c r="F859" s="1">
        <v>4</v>
      </c>
      <c r="G859" s="1" t="s">
        <v>1</v>
      </c>
      <c r="H859" s="1">
        <v>49</v>
      </c>
      <c r="I859" s="1" t="s">
        <v>2</v>
      </c>
      <c r="J859" s="2"/>
      <c r="K859" s="1" t="s">
        <v>121</v>
      </c>
      <c r="L859" s="2">
        <v>44049</v>
      </c>
      <c r="M859" s="1" t="s">
        <v>9</v>
      </c>
    </row>
    <row r="860" spans="1:13" ht="12.75" x14ac:dyDescent="0.2">
      <c r="A860" s="5">
        <v>2087717</v>
      </c>
      <c r="B860" s="6">
        <v>44067</v>
      </c>
      <c r="C860" s="6">
        <v>44067</v>
      </c>
      <c r="D860" s="5" t="s">
        <v>0</v>
      </c>
      <c r="E860" s="5" t="s">
        <v>24</v>
      </c>
      <c r="F860" s="5">
        <v>9</v>
      </c>
      <c r="G860" s="5" t="s">
        <v>6</v>
      </c>
      <c r="H860" s="5">
        <v>23</v>
      </c>
      <c r="I860" s="5" t="s">
        <v>2</v>
      </c>
      <c r="J860" s="6"/>
      <c r="K860" s="5" t="s">
        <v>121</v>
      </c>
      <c r="L860" s="6"/>
      <c r="M860" s="5" t="s">
        <v>4</v>
      </c>
    </row>
    <row r="861" spans="1:13" ht="12.75" x14ac:dyDescent="0.2">
      <c r="A861" s="1">
        <v>2453197</v>
      </c>
      <c r="B861" s="2">
        <v>44082</v>
      </c>
      <c r="C861" s="2">
        <v>44083</v>
      </c>
      <c r="D861" s="1" t="s">
        <v>0</v>
      </c>
      <c r="E861" s="1" t="s">
        <v>8</v>
      </c>
      <c r="F861" s="1">
        <v>7</v>
      </c>
      <c r="G861" s="1" t="s">
        <v>1</v>
      </c>
      <c r="H861" s="1">
        <v>61</v>
      </c>
      <c r="I861" s="1" t="s">
        <v>2</v>
      </c>
      <c r="J861" s="2"/>
      <c r="K861" s="1" t="s">
        <v>121</v>
      </c>
      <c r="L861" s="2">
        <v>44096</v>
      </c>
      <c r="M861" s="1" t="s">
        <v>22</v>
      </c>
    </row>
    <row r="862" spans="1:13" ht="12.75" x14ac:dyDescent="0.2">
      <c r="A862" s="5">
        <v>1340230</v>
      </c>
      <c r="B862" s="6">
        <v>44021</v>
      </c>
      <c r="C862" s="6">
        <v>44024</v>
      </c>
      <c r="D862" s="5" t="s">
        <v>0</v>
      </c>
      <c r="E862" s="5" t="s">
        <v>50</v>
      </c>
      <c r="F862" s="5">
        <v>1</v>
      </c>
      <c r="G862" s="5" t="s">
        <v>1</v>
      </c>
      <c r="H862" s="5">
        <v>77</v>
      </c>
      <c r="I862" s="5" t="s">
        <v>2</v>
      </c>
      <c r="J862" s="6"/>
      <c r="K862" s="5" t="s">
        <v>121</v>
      </c>
      <c r="L862" s="6"/>
      <c r="M862" s="5" t="s">
        <v>4</v>
      </c>
    </row>
    <row r="863" spans="1:13" ht="12.75" x14ac:dyDescent="0.2">
      <c r="A863" s="1">
        <v>4758055</v>
      </c>
      <c r="B863" s="2">
        <v>44160</v>
      </c>
      <c r="C863" s="2">
        <v>44161</v>
      </c>
      <c r="D863" s="1" t="s">
        <v>5</v>
      </c>
      <c r="E863" s="1" t="s">
        <v>95</v>
      </c>
      <c r="G863" s="1" t="s">
        <v>1</v>
      </c>
      <c r="H863" s="1">
        <v>27</v>
      </c>
      <c r="I863" s="1" t="s">
        <v>2</v>
      </c>
      <c r="J863" s="2"/>
      <c r="K863" s="1" t="s">
        <v>121</v>
      </c>
      <c r="L863" s="2"/>
      <c r="M863" s="1" t="s">
        <v>4</v>
      </c>
    </row>
    <row r="864" spans="1:13" ht="12.75" x14ac:dyDescent="0.2">
      <c r="A864" s="5">
        <v>892754</v>
      </c>
      <c r="B864" s="6">
        <v>43957</v>
      </c>
      <c r="C864" s="6">
        <v>43957</v>
      </c>
      <c r="D864" s="5" t="s">
        <v>0</v>
      </c>
      <c r="E864" s="5" t="s">
        <v>45</v>
      </c>
      <c r="F864" s="5">
        <v>4</v>
      </c>
      <c r="G864" s="5" t="s">
        <v>6</v>
      </c>
      <c r="H864" s="5">
        <v>81</v>
      </c>
      <c r="I864" s="5" t="s">
        <v>15</v>
      </c>
      <c r="J864" s="6"/>
      <c r="K864" s="5" t="s">
        <v>121</v>
      </c>
      <c r="L864" s="6"/>
      <c r="M864" s="5"/>
    </row>
    <row r="865" spans="1:13" ht="12.75" x14ac:dyDescent="0.2">
      <c r="A865" s="1">
        <v>1200987</v>
      </c>
      <c r="B865" s="2">
        <v>44011</v>
      </c>
      <c r="C865" s="2">
        <v>44011</v>
      </c>
      <c r="D865" s="1" t="s">
        <v>5</v>
      </c>
      <c r="E865" s="1" t="s">
        <v>95</v>
      </c>
      <c r="G865" s="1" t="s">
        <v>1</v>
      </c>
      <c r="H865" s="1">
        <v>59</v>
      </c>
      <c r="I865" s="1" t="s">
        <v>2</v>
      </c>
      <c r="J865" s="2"/>
      <c r="K865" s="1" t="s">
        <v>121</v>
      </c>
      <c r="L865" s="2">
        <v>44019</v>
      </c>
      <c r="M865" s="1" t="s">
        <v>4</v>
      </c>
    </row>
    <row r="866" spans="1:13" ht="12.75" x14ac:dyDescent="0.2">
      <c r="A866" s="5">
        <v>3004272</v>
      </c>
      <c r="B866" s="6">
        <v>44103</v>
      </c>
      <c r="C866" s="6">
        <v>44103</v>
      </c>
      <c r="D866" s="5" t="s">
        <v>5</v>
      </c>
      <c r="E866" s="5" t="s">
        <v>91</v>
      </c>
      <c r="F866" s="5"/>
      <c r="G866" s="5" t="s">
        <v>6</v>
      </c>
      <c r="H866" s="5">
        <v>57</v>
      </c>
      <c r="I866" s="5" t="s">
        <v>2</v>
      </c>
      <c r="J866" s="6"/>
      <c r="K866" s="5" t="s">
        <v>121</v>
      </c>
      <c r="L866" s="6"/>
      <c r="M866" s="5" t="s">
        <v>4</v>
      </c>
    </row>
    <row r="867" spans="1:13" ht="12.75" x14ac:dyDescent="0.2">
      <c r="A867" s="1">
        <v>5601134</v>
      </c>
      <c r="B867" s="2">
        <v>44191</v>
      </c>
      <c r="C867" s="2">
        <v>44191</v>
      </c>
      <c r="D867" s="1" t="s">
        <v>0</v>
      </c>
      <c r="E867" s="1" t="s">
        <v>29</v>
      </c>
      <c r="F867" s="1">
        <v>12</v>
      </c>
      <c r="G867" s="1" t="s">
        <v>1</v>
      </c>
      <c r="H867" s="1">
        <v>23</v>
      </c>
      <c r="I867" s="1" t="s">
        <v>15</v>
      </c>
      <c r="J867" s="2"/>
      <c r="K867" s="1" t="s">
        <v>121</v>
      </c>
      <c r="L867" s="2"/>
    </row>
    <row r="868" spans="1:13" ht="12.75" x14ac:dyDescent="0.2">
      <c r="A868" s="5">
        <v>1805047</v>
      </c>
      <c r="B868" s="6">
        <v>44054</v>
      </c>
      <c r="C868" s="6">
        <v>44055</v>
      </c>
      <c r="D868" s="5" t="s">
        <v>0</v>
      </c>
      <c r="E868" s="5" t="s">
        <v>7</v>
      </c>
      <c r="F868" s="5">
        <v>3</v>
      </c>
      <c r="G868" s="5" t="s">
        <v>1</v>
      </c>
      <c r="H868" s="5">
        <v>45</v>
      </c>
      <c r="I868" s="5" t="s">
        <v>2</v>
      </c>
      <c r="J868" s="6"/>
      <c r="K868" s="5" t="s">
        <v>121</v>
      </c>
      <c r="L868" s="6"/>
      <c r="M868" s="5" t="s">
        <v>4</v>
      </c>
    </row>
    <row r="869" spans="1:13" ht="12.75" x14ac:dyDescent="0.2">
      <c r="A869" s="1">
        <v>1236068</v>
      </c>
      <c r="B869" s="2">
        <v>44012</v>
      </c>
      <c r="C869" s="2">
        <v>44012</v>
      </c>
      <c r="D869" s="1" t="s">
        <v>5</v>
      </c>
      <c r="E869" s="1" t="s">
        <v>95</v>
      </c>
      <c r="G869" s="1" t="s">
        <v>1</v>
      </c>
      <c r="H869" s="1">
        <v>51</v>
      </c>
      <c r="I869" s="1" t="s">
        <v>15</v>
      </c>
      <c r="J869" s="2"/>
      <c r="K869" s="1" t="s">
        <v>121</v>
      </c>
      <c r="L869" s="2"/>
    </row>
    <row r="870" spans="1:13" ht="12.75" x14ac:dyDescent="0.2">
      <c r="A870" s="5">
        <v>5121431</v>
      </c>
      <c r="B870" s="6">
        <v>44173</v>
      </c>
      <c r="C870" s="6">
        <v>44173</v>
      </c>
      <c r="D870" s="5" t="s">
        <v>0</v>
      </c>
      <c r="E870" s="5" t="s">
        <v>39</v>
      </c>
      <c r="F870" s="5">
        <v>8</v>
      </c>
      <c r="G870" s="5" t="s">
        <v>6</v>
      </c>
      <c r="H870" s="5">
        <v>26</v>
      </c>
      <c r="I870" s="5" t="s">
        <v>15</v>
      </c>
      <c r="J870" s="6"/>
      <c r="K870" s="5" t="s">
        <v>121</v>
      </c>
      <c r="L870" s="6"/>
      <c r="M870" s="5"/>
    </row>
    <row r="871" spans="1:13" ht="12.75" x14ac:dyDescent="0.2">
      <c r="A871" s="1">
        <v>4073064</v>
      </c>
      <c r="B871" s="2">
        <v>44139</v>
      </c>
      <c r="C871" s="2">
        <v>44139</v>
      </c>
      <c r="D871" s="1" t="s">
        <v>59</v>
      </c>
      <c r="E871" s="1" t="s">
        <v>105</v>
      </c>
      <c r="G871" s="1" t="s">
        <v>1</v>
      </c>
      <c r="H871" s="1">
        <v>25</v>
      </c>
      <c r="I871" s="1" t="s">
        <v>15</v>
      </c>
      <c r="J871" s="2"/>
      <c r="K871" s="1" t="s">
        <v>121</v>
      </c>
      <c r="L871" s="2"/>
    </row>
    <row r="872" spans="1:13" ht="12.75" x14ac:dyDescent="0.2">
      <c r="A872" s="5">
        <v>2895481</v>
      </c>
      <c r="B872" s="6">
        <v>44073</v>
      </c>
      <c r="C872" s="6">
        <v>44074</v>
      </c>
      <c r="D872" s="5" t="s">
        <v>0</v>
      </c>
      <c r="E872" s="5" t="s">
        <v>13</v>
      </c>
      <c r="F872" s="5">
        <v>2</v>
      </c>
      <c r="G872" s="5" t="s">
        <v>1</v>
      </c>
      <c r="H872" s="5">
        <v>32</v>
      </c>
      <c r="I872" s="5" t="s">
        <v>15</v>
      </c>
      <c r="J872" s="6"/>
      <c r="K872" s="5" t="s">
        <v>121</v>
      </c>
      <c r="L872" s="6"/>
      <c r="M872" s="5"/>
    </row>
    <row r="873" spans="1:13" ht="12.75" x14ac:dyDescent="0.2">
      <c r="A873" s="1">
        <v>5387342</v>
      </c>
      <c r="B873" s="2">
        <v>44183</v>
      </c>
      <c r="C873" s="2">
        <v>44183</v>
      </c>
      <c r="D873" s="1" t="s">
        <v>5</v>
      </c>
      <c r="E873" s="1" t="s">
        <v>83</v>
      </c>
      <c r="G873" s="1" t="s">
        <v>1</v>
      </c>
      <c r="H873" s="1">
        <v>28</v>
      </c>
      <c r="I873" s="1" t="s">
        <v>15</v>
      </c>
      <c r="J873" s="2"/>
      <c r="K873" s="1" t="s">
        <v>121</v>
      </c>
      <c r="L873" s="2"/>
    </row>
    <row r="874" spans="1:13" ht="12.75" x14ac:dyDescent="0.2">
      <c r="A874" s="5">
        <v>3158892</v>
      </c>
      <c r="B874" s="6">
        <v>44109</v>
      </c>
      <c r="C874" s="6">
        <v>44109</v>
      </c>
      <c r="D874" s="5" t="s">
        <v>0</v>
      </c>
      <c r="E874" s="5" t="s">
        <v>17</v>
      </c>
      <c r="F874" s="5">
        <v>1</v>
      </c>
      <c r="G874" s="5" t="s">
        <v>6</v>
      </c>
      <c r="H874" s="5">
        <v>12</v>
      </c>
      <c r="I874" s="5" t="s">
        <v>21</v>
      </c>
      <c r="J874" s="6"/>
      <c r="K874" s="5" t="s">
        <v>121</v>
      </c>
      <c r="L874" s="6"/>
      <c r="M874" s="5" t="s">
        <v>20</v>
      </c>
    </row>
    <row r="875" spans="1:13" ht="12.75" x14ac:dyDescent="0.2">
      <c r="A875" s="1">
        <v>3436291</v>
      </c>
      <c r="B875" s="2">
        <v>44118</v>
      </c>
      <c r="C875" s="2">
        <v>44118</v>
      </c>
      <c r="D875" s="1" t="s">
        <v>0</v>
      </c>
      <c r="E875" s="1" t="s">
        <v>38</v>
      </c>
      <c r="F875" s="1">
        <v>12</v>
      </c>
      <c r="G875" s="1" t="s">
        <v>6</v>
      </c>
      <c r="H875" s="1">
        <v>23</v>
      </c>
      <c r="I875" s="1" t="s">
        <v>15</v>
      </c>
      <c r="J875" s="2"/>
      <c r="K875" s="1" t="s">
        <v>121</v>
      </c>
      <c r="L875" s="2"/>
    </row>
    <row r="876" spans="1:13" ht="12.75" x14ac:dyDescent="0.2">
      <c r="A876" s="5">
        <v>2324664</v>
      </c>
      <c r="B876" s="6">
        <v>44077</v>
      </c>
      <c r="C876" s="6">
        <v>44077</v>
      </c>
      <c r="D876" s="5" t="s">
        <v>0</v>
      </c>
      <c r="E876" s="5" t="s">
        <v>25</v>
      </c>
      <c r="F876" s="5">
        <v>13</v>
      </c>
      <c r="G876" s="5" t="s">
        <v>1</v>
      </c>
      <c r="H876" s="5">
        <v>91</v>
      </c>
      <c r="I876" s="5" t="s">
        <v>15</v>
      </c>
      <c r="J876" s="6"/>
      <c r="K876" s="5" t="s">
        <v>121</v>
      </c>
      <c r="L876" s="6"/>
      <c r="M876" s="5"/>
    </row>
    <row r="877" spans="1:13" ht="12.75" x14ac:dyDescent="0.2">
      <c r="A877" s="1">
        <v>912948</v>
      </c>
      <c r="B877" s="2">
        <v>43963</v>
      </c>
      <c r="C877" s="2">
        <v>43964</v>
      </c>
      <c r="D877" s="1" t="s">
        <v>0</v>
      </c>
      <c r="E877" s="1" t="s">
        <v>8</v>
      </c>
      <c r="F877" s="1">
        <v>7</v>
      </c>
      <c r="G877" s="1" t="s">
        <v>6</v>
      </c>
      <c r="H877" s="1">
        <v>35</v>
      </c>
      <c r="I877" s="1" t="s">
        <v>15</v>
      </c>
      <c r="J877" s="2"/>
      <c r="K877" s="1" t="s">
        <v>121</v>
      </c>
      <c r="L877" s="2">
        <v>43964</v>
      </c>
    </row>
    <row r="878" spans="1:13" ht="12.75" x14ac:dyDescent="0.2">
      <c r="A878" s="5">
        <v>995535</v>
      </c>
      <c r="B878" s="6">
        <v>43981</v>
      </c>
      <c r="C878" s="6">
        <v>43981</v>
      </c>
      <c r="D878" s="5" t="s">
        <v>0</v>
      </c>
      <c r="E878" s="5" t="s">
        <v>45</v>
      </c>
      <c r="F878" s="5">
        <v>4</v>
      </c>
      <c r="G878" s="5" t="s">
        <v>6</v>
      </c>
      <c r="H878" s="5">
        <v>35</v>
      </c>
      <c r="I878" s="5" t="s">
        <v>2</v>
      </c>
      <c r="J878" s="6"/>
      <c r="K878" s="5" t="s">
        <v>121</v>
      </c>
      <c r="L878" s="6">
        <v>43992</v>
      </c>
      <c r="M878" s="5" t="s">
        <v>9</v>
      </c>
    </row>
    <row r="879" spans="1:13" ht="12.75" x14ac:dyDescent="0.2">
      <c r="A879" s="1">
        <v>2741645</v>
      </c>
      <c r="B879" s="2">
        <v>44091</v>
      </c>
      <c r="C879" s="2">
        <v>44091</v>
      </c>
      <c r="D879" s="1" t="s">
        <v>5</v>
      </c>
      <c r="E879" s="1" t="s">
        <v>95</v>
      </c>
      <c r="G879" s="1" t="s">
        <v>1</v>
      </c>
      <c r="H879" s="1">
        <v>36</v>
      </c>
      <c r="I879" s="1" t="s">
        <v>2</v>
      </c>
      <c r="J879" s="2"/>
      <c r="K879" s="1" t="s">
        <v>121</v>
      </c>
      <c r="L879" s="2"/>
      <c r="M879" s="1" t="s">
        <v>4</v>
      </c>
    </row>
    <row r="880" spans="1:13" ht="12.75" x14ac:dyDescent="0.2">
      <c r="A880" s="5">
        <v>3502668</v>
      </c>
      <c r="B880" s="6">
        <v>44123</v>
      </c>
      <c r="C880" s="6">
        <v>44123</v>
      </c>
      <c r="D880" s="5" t="s">
        <v>5</v>
      </c>
      <c r="E880" s="5" t="s">
        <v>95</v>
      </c>
      <c r="F880" s="5"/>
      <c r="G880" s="5" t="s">
        <v>1</v>
      </c>
      <c r="H880" s="5">
        <v>63</v>
      </c>
      <c r="I880" s="5" t="s">
        <v>15</v>
      </c>
      <c r="J880" s="6"/>
      <c r="K880" s="5" t="s">
        <v>121</v>
      </c>
      <c r="L880" s="6"/>
      <c r="M880" s="5"/>
    </row>
    <row r="881" spans="1:13" ht="12.75" x14ac:dyDescent="0.2">
      <c r="A881" s="1">
        <v>2003780</v>
      </c>
      <c r="B881" s="2">
        <v>44062</v>
      </c>
      <c r="C881" s="2">
        <v>44062</v>
      </c>
      <c r="D881" s="1" t="s">
        <v>5</v>
      </c>
      <c r="E881" s="1" t="s">
        <v>91</v>
      </c>
      <c r="G881" s="1" t="s">
        <v>6</v>
      </c>
      <c r="H881" s="1">
        <v>23</v>
      </c>
      <c r="I881" s="1" t="s">
        <v>2</v>
      </c>
      <c r="J881" s="2"/>
      <c r="K881" s="1" t="s">
        <v>121</v>
      </c>
      <c r="L881" s="2"/>
      <c r="M881" s="1" t="s">
        <v>4</v>
      </c>
    </row>
    <row r="882" spans="1:13" ht="12.75" x14ac:dyDescent="0.2">
      <c r="A882" s="5">
        <v>1060232</v>
      </c>
      <c r="B882" s="6">
        <v>43993</v>
      </c>
      <c r="C882" s="6">
        <v>43994</v>
      </c>
      <c r="D882" s="5" t="s">
        <v>0</v>
      </c>
      <c r="E882" s="5" t="s">
        <v>41</v>
      </c>
      <c r="F882" s="5">
        <v>4</v>
      </c>
      <c r="G882" s="5" t="s">
        <v>6</v>
      </c>
      <c r="H882" s="5">
        <v>44</v>
      </c>
      <c r="I882" s="5" t="s">
        <v>2</v>
      </c>
      <c r="J882" s="6"/>
      <c r="K882" s="5" t="s">
        <v>121</v>
      </c>
      <c r="L882" s="6">
        <v>44003</v>
      </c>
      <c r="M882" s="5" t="s">
        <v>4</v>
      </c>
    </row>
    <row r="883" spans="1:13" ht="12.75" x14ac:dyDescent="0.2">
      <c r="A883" s="1">
        <v>1925485</v>
      </c>
      <c r="B883" s="2">
        <v>44060</v>
      </c>
      <c r="C883" s="2">
        <v>44063</v>
      </c>
      <c r="D883" s="1" t="s">
        <v>5</v>
      </c>
      <c r="E883" s="1" t="s">
        <v>92</v>
      </c>
      <c r="G883" s="1" t="s">
        <v>1</v>
      </c>
      <c r="H883" s="1">
        <v>40</v>
      </c>
      <c r="I883" s="1" t="s">
        <v>15</v>
      </c>
      <c r="J883" s="2"/>
      <c r="K883" s="1" t="s">
        <v>121</v>
      </c>
      <c r="L883" s="2"/>
    </row>
    <row r="884" spans="1:13" ht="12.75" x14ac:dyDescent="0.2">
      <c r="A884" s="5">
        <v>5547809</v>
      </c>
      <c r="B884" s="6">
        <v>44188</v>
      </c>
      <c r="C884" s="6">
        <v>44188</v>
      </c>
      <c r="D884" s="5" t="s">
        <v>0</v>
      </c>
      <c r="E884" s="5" t="s">
        <v>52</v>
      </c>
      <c r="F884" s="5">
        <v>11</v>
      </c>
      <c r="G884" s="5" t="s">
        <v>6</v>
      </c>
      <c r="H884" s="5">
        <v>37</v>
      </c>
      <c r="I884" s="5" t="s">
        <v>15</v>
      </c>
      <c r="J884" s="6"/>
      <c r="K884" s="5" t="s">
        <v>121</v>
      </c>
      <c r="L884" s="6"/>
      <c r="M884" s="5"/>
    </row>
    <row r="885" spans="1:13" ht="12.75" x14ac:dyDescent="0.2">
      <c r="A885" s="1">
        <v>857798</v>
      </c>
      <c r="B885" s="2">
        <v>43947</v>
      </c>
      <c r="C885" s="2">
        <v>43994</v>
      </c>
      <c r="D885" s="1" t="s">
        <v>5</v>
      </c>
      <c r="E885" s="1" t="s">
        <v>93</v>
      </c>
      <c r="G885" s="1" t="s">
        <v>1</v>
      </c>
      <c r="H885" s="1">
        <v>47</v>
      </c>
      <c r="I885" s="1" t="s">
        <v>2</v>
      </c>
      <c r="J885" s="2"/>
      <c r="K885" s="1" t="s">
        <v>121</v>
      </c>
      <c r="L885" s="2"/>
      <c r="M885" s="1" t="s">
        <v>22</v>
      </c>
    </row>
    <row r="886" spans="1:13" ht="12.75" x14ac:dyDescent="0.2">
      <c r="A886" s="5">
        <v>1161891</v>
      </c>
      <c r="B886" s="6">
        <v>44005</v>
      </c>
      <c r="C886" s="6">
        <v>44005</v>
      </c>
      <c r="D886" s="5" t="s">
        <v>0</v>
      </c>
      <c r="E886" s="5" t="s">
        <v>18</v>
      </c>
      <c r="F886" s="5">
        <v>8</v>
      </c>
      <c r="G886" s="5" t="s">
        <v>6</v>
      </c>
      <c r="H886" s="5">
        <v>32</v>
      </c>
      <c r="I886" s="5" t="s">
        <v>2</v>
      </c>
      <c r="J886" s="6"/>
      <c r="K886" s="5" t="s">
        <v>121</v>
      </c>
      <c r="L886" s="6">
        <v>44015</v>
      </c>
      <c r="M886" s="5" t="s">
        <v>4</v>
      </c>
    </row>
    <row r="887" spans="1:13" ht="12.75" x14ac:dyDescent="0.2">
      <c r="A887" s="1">
        <v>2185000</v>
      </c>
      <c r="B887" s="2">
        <v>44071</v>
      </c>
      <c r="C887" s="2">
        <v>44072</v>
      </c>
      <c r="D887" s="1" t="s">
        <v>0</v>
      </c>
      <c r="E887" s="1" t="s">
        <v>42</v>
      </c>
      <c r="F887" s="1">
        <v>11</v>
      </c>
      <c r="G887" s="1" t="s">
        <v>1</v>
      </c>
      <c r="H887" s="1">
        <v>43</v>
      </c>
      <c r="I887" s="1" t="s">
        <v>15</v>
      </c>
      <c r="J887" s="2"/>
      <c r="K887" s="1" t="s">
        <v>121</v>
      </c>
      <c r="L887" s="2"/>
    </row>
    <row r="888" spans="1:13" ht="12.75" x14ac:dyDescent="0.2">
      <c r="A888" s="5">
        <v>5360838</v>
      </c>
      <c r="B888" s="6">
        <v>44183</v>
      </c>
      <c r="C888" s="6">
        <v>44183</v>
      </c>
      <c r="D888" s="5" t="s">
        <v>0</v>
      </c>
      <c r="E888" s="5" t="s">
        <v>34</v>
      </c>
      <c r="F888" s="5">
        <v>9</v>
      </c>
      <c r="G888" s="5" t="s">
        <v>1</v>
      </c>
      <c r="H888" s="5">
        <v>41</v>
      </c>
      <c r="I888" s="5" t="s">
        <v>2</v>
      </c>
      <c r="J888" s="6"/>
      <c r="K888" s="5" t="s">
        <v>121</v>
      </c>
      <c r="L888" s="6"/>
      <c r="M888" s="5" t="s">
        <v>4</v>
      </c>
    </row>
    <row r="889" spans="1:13" ht="12.75" x14ac:dyDescent="0.2">
      <c r="A889" s="1">
        <v>2143884</v>
      </c>
      <c r="B889" s="2">
        <v>44070</v>
      </c>
      <c r="C889" s="2">
        <v>44071</v>
      </c>
      <c r="D889" s="1" t="s">
        <v>0</v>
      </c>
      <c r="E889" s="1" t="s">
        <v>11</v>
      </c>
      <c r="F889" s="1">
        <v>6</v>
      </c>
      <c r="G889" s="1" t="s">
        <v>6</v>
      </c>
      <c r="H889" s="1">
        <v>86</v>
      </c>
      <c r="I889" s="1" t="s">
        <v>15</v>
      </c>
      <c r="J889" s="2"/>
      <c r="K889" s="1" t="s">
        <v>121</v>
      </c>
      <c r="L889" s="2"/>
    </row>
    <row r="890" spans="1:13" ht="12.75" x14ac:dyDescent="0.2">
      <c r="A890" s="5">
        <v>1831720</v>
      </c>
      <c r="B890" s="6">
        <v>44052</v>
      </c>
      <c r="C890" s="6">
        <v>44052</v>
      </c>
      <c r="D890" s="5" t="s">
        <v>5</v>
      </c>
      <c r="E890" s="5" t="s">
        <v>95</v>
      </c>
      <c r="F890" s="5"/>
      <c r="G890" s="5" t="s">
        <v>6</v>
      </c>
      <c r="H890" s="5">
        <v>62</v>
      </c>
      <c r="I890" s="5" t="s">
        <v>2</v>
      </c>
      <c r="J890" s="6"/>
      <c r="K890" s="5" t="s">
        <v>121</v>
      </c>
      <c r="L890" s="6"/>
      <c r="M890" s="5" t="s">
        <v>9</v>
      </c>
    </row>
    <row r="891" spans="1:13" ht="12.75" x14ac:dyDescent="0.2">
      <c r="A891" s="1">
        <v>4399898</v>
      </c>
      <c r="B891" s="2">
        <v>44147</v>
      </c>
      <c r="C891" s="2">
        <v>44147</v>
      </c>
      <c r="D891" s="1" t="s">
        <v>0</v>
      </c>
      <c r="E891" s="1" t="s">
        <v>11</v>
      </c>
      <c r="F891" s="1">
        <v>6</v>
      </c>
      <c r="G891" s="1" t="s">
        <v>1</v>
      </c>
      <c r="H891" s="1">
        <v>38</v>
      </c>
      <c r="I891" s="1" t="s">
        <v>15</v>
      </c>
      <c r="J891" s="2"/>
      <c r="K891" s="1" t="s">
        <v>121</v>
      </c>
      <c r="L891" s="2"/>
    </row>
    <row r="892" spans="1:13" ht="12.75" x14ac:dyDescent="0.2">
      <c r="A892" s="5">
        <v>4066356</v>
      </c>
      <c r="B892" s="6">
        <v>44136</v>
      </c>
      <c r="C892" s="6">
        <v>44139</v>
      </c>
      <c r="D892" s="5" t="s">
        <v>5</v>
      </c>
      <c r="E892" s="5" t="s">
        <v>95</v>
      </c>
      <c r="F892" s="5"/>
      <c r="G892" s="5" t="s">
        <v>6</v>
      </c>
      <c r="H892" s="5">
        <v>3</v>
      </c>
      <c r="I892" s="5" t="s">
        <v>15</v>
      </c>
      <c r="J892" s="6"/>
      <c r="K892" s="5" t="s">
        <v>121</v>
      </c>
      <c r="L892" s="6"/>
      <c r="M892" s="5"/>
    </row>
    <row r="893" spans="1:13" ht="12.75" x14ac:dyDescent="0.2">
      <c r="A893" s="1">
        <v>4636983</v>
      </c>
      <c r="B893" s="2">
        <v>44156</v>
      </c>
      <c r="C893" s="2">
        <v>44156</v>
      </c>
      <c r="D893" s="1" t="s">
        <v>0</v>
      </c>
      <c r="E893" s="1" t="s">
        <v>55</v>
      </c>
      <c r="F893" s="1">
        <v>15</v>
      </c>
      <c r="G893" s="1" t="s">
        <v>6</v>
      </c>
      <c r="H893" s="1">
        <v>15</v>
      </c>
      <c r="I893" s="1" t="s">
        <v>2</v>
      </c>
      <c r="J893" s="2"/>
      <c r="K893" s="1" t="s">
        <v>121</v>
      </c>
      <c r="L893" s="2">
        <v>44156</v>
      </c>
      <c r="M893" s="1" t="s">
        <v>4</v>
      </c>
    </row>
    <row r="894" spans="1:13" ht="12.75" x14ac:dyDescent="0.2">
      <c r="A894" s="5">
        <v>4609869</v>
      </c>
      <c r="B894" s="6">
        <v>44154</v>
      </c>
      <c r="C894" s="6">
        <v>44154</v>
      </c>
      <c r="D894" s="5" t="s">
        <v>0</v>
      </c>
      <c r="E894" s="5" t="s">
        <v>13</v>
      </c>
      <c r="F894" s="5">
        <v>2</v>
      </c>
      <c r="G894" s="5" t="s">
        <v>1</v>
      </c>
      <c r="H894" s="5">
        <v>32</v>
      </c>
      <c r="I894" s="5" t="s">
        <v>2</v>
      </c>
      <c r="J894" s="6"/>
      <c r="K894" s="5" t="s">
        <v>121</v>
      </c>
      <c r="L894" s="6"/>
      <c r="M894" s="5" t="s">
        <v>4</v>
      </c>
    </row>
    <row r="895" spans="1:13" ht="12.75" x14ac:dyDescent="0.2">
      <c r="A895" s="1">
        <v>1872439</v>
      </c>
      <c r="B895" s="2">
        <v>44056</v>
      </c>
      <c r="C895" s="2">
        <v>44058</v>
      </c>
      <c r="D895" s="1" t="s">
        <v>5</v>
      </c>
      <c r="E895" s="1" t="s">
        <v>90</v>
      </c>
      <c r="G895" s="1" t="s">
        <v>1</v>
      </c>
      <c r="H895" s="1">
        <v>48</v>
      </c>
      <c r="I895" s="1" t="s">
        <v>2</v>
      </c>
      <c r="J895" s="2"/>
      <c r="K895" s="1" t="s">
        <v>121</v>
      </c>
      <c r="L895" s="2"/>
      <c r="M895" s="1" t="s">
        <v>4</v>
      </c>
    </row>
    <row r="896" spans="1:13" ht="12.75" x14ac:dyDescent="0.2">
      <c r="A896" s="5">
        <v>1645903</v>
      </c>
      <c r="B896" s="6">
        <v>44045</v>
      </c>
      <c r="C896" s="6">
        <v>44045</v>
      </c>
      <c r="D896" s="5" t="s">
        <v>5</v>
      </c>
      <c r="E896" s="5" t="s">
        <v>97</v>
      </c>
      <c r="F896" s="5"/>
      <c r="G896" s="5" t="s">
        <v>6</v>
      </c>
      <c r="H896" s="5">
        <v>45</v>
      </c>
      <c r="I896" s="5" t="s">
        <v>2</v>
      </c>
      <c r="J896" s="6"/>
      <c r="K896" s="5" t="s">
        <v>121</v>
      </c>
      <c r="L896" s="6"/>
      <c r="M896" s="5" t="s">
        <v>9</v>
      </c>
    </row>
    <row r="897" spans="1:13" ht="12.75" x14ac:dyDescent="0.2">
      <c r="A897" s="1">
        <v>2554971</v>
      </c>
      <c r="B897" s="2">
        <v>44084</v>
      </c>
      <c r="C897" s="2">
        <v>44085</v>
      </c>
      <c r="D897" s="1" t="s">
        <v>5</v>
      </c>
      <c r="E897" s="1" t="s">
        <v>99</v>
      </c>
      <c r="G897" s="1" t="s">
        <v>6</v>
      </c>
      <c r="H897" s="1">
        <v>25</v>
      </c>
      <c r="I897" s="1" t="s">
        <v>2</v>
      </c>
      <c r="J897" s="2"/>
      <c r="K897" s="1" t="s">
        <v>121</v>
      </c>
      <c r="L897" s="2"/>
      <c r="M897" s="1" t="s">
        <v>4</v>
      </c>
    </row>
    <row r="898" spans="1:13" ht="12.75" x14ac:dyDescent="0.2">
      <c r="A898" s="5">
        <v>1698612</v>
      </c>
      <c r="B898" s="6">
        <v>44048</v>
      </c>
      <c r="C898" s="6">
        <v>44048</v>
      </c>
      <c r="D898" s="5" t="s">
        <v>0</v>
      </c>
      <c r="E898" s="5" t="s">
        <v>26</v>
      </c>
      <c r="F898" s="5">
        <v>4</v>
      </c>
      <c r="G898" s="5" t="s">
        <v>6</v>
      </c>
      <c r="H898" s="5">
        <v>24</v>
      </c>
      <c r="I898" s="5" t="s">
        <v>2</v>
      </c>
      <c r="J898" s="6"/>
      <c r="K898" s="5" t="s">
        <v>121</v>
      </c>
      <c r="L898" s="6">
        <v>44055</v>
      </c>
      <c r="M898" s="5" t="s">
        <v>9</v>
      </c>
    </row>
    <row r="899" spans="1:13" ht="12.75" x14ac:dyDescent="0.2">
      <c r="A899" s="1">
        <v>5432773</v>
      </c>
      <c r="B899" s="2">
        <v>44185</v>
      </c>
      <c r="C899" s="2">
        <v>44187</v>
      </c>
      <c r="D899" s="1" t="s">
        <v>0</v>
      </c>
      <c r="E899" s="1" t="s">
        <v>35</v>
      </c>
      <c r="F899" s="1">
        <v>3</v>
      </c>
      <c r="G899" s="1" t="s">
        <v>1</v>
      </c>
      <c r="H899" s="1">
        <v>99</v>
      </c>
      <c r="I899" s="1" t="s">
        <v>2</v>
      </c>
      <c r="J899" s="2"/>
      <c r="K899" s="1" t="s">
        <v>121</v>
      </c>
      <c r="L899" s="2">
        <v>44201</v>
      </c>
      <c r="M899" s="1" t="s">
        <v>4</v>
      </c>
    </row>
    <row r="900" spans="1:13" ht="12.75" x14ac:dyDescent="0.2">
      <c r="A900" s="5">
        <v>1987529</v>
      </c>
      <c r="B900" s="6">
        <v>44062</v>
      </c>
      <c r="C900" s="6">
        <v>44062</v>
      </c>
      <c r="D900" s="5" t="s">
        <v>0</v>
      </c>
      <c r="E900" s="5" t="s">
        <v>38</v>
      </c>
      <c r="F900" s="5">
        <v>12</v>
      </c>
      <c r="G900" s="5" t="s">
        <v>1</v>
      </c>
      <c r="H900" s="5">
        <v>46</v>
      </c>
      <c r="I900" s="5" t="s">
        <v>2</v>
      </c>
      <c r="J900" s="6"/>
      <c r="K900" s="5" t="s">
        <v>121</v>
      </c>
      <c r="L900" s="6"/>
      <c r="M900" s="5" t="s">
        <v>22</v>
      </c>
    </row>
    <row r="901" spans="1:13" ht="12.75" x14ac:dyDescent="0.2">
      <c r="A901" s="1">
        <v>1438364</v>
      </c>
      <c r="B901" s="2">
        <v>44032</v>
      </c>
      <c r="C901" s="2">
        <v>44033</v>
      </c>
      <c r="D901" s="1" t="s">
        <v>5</v>
      </c>
      <c r="E901" s="1" t="s">
        <v>98</v>
      </c>
      <c r="G901" s="1" t="s">
        <v>6</v>
      </c>
      <c r="H901" s="1">
        <v>13</v>
      </c>
      <c r="I901" s="1" t="s">
        <v>15</v>
      </c>
      <c r="J901" s="2"/>
      <c r="K901" s="1" t="s">
        <v>121</v>
      </c>
      <c r="L901" s="2"/>
    </row>
    <row r="902" spans="1:13" ht="12.75" x14ac:dyDescent="0.2">
      <c r="A902" s="5">
        <v>2516373</v>
      </c>
      <c r="B902" s="6">
        <v>44081</v>
      </c>
      <c r="C902" s="6">
        <v>44084</v>
      </c>
      <c r="D902" s="5" t="s">
        <v>5</v>
      </c>
      <c r="E902" s="5" t="s">
        <v>82</v>
      </c>
      <c r="F902" s="5"/>
      <c r="G902" s="5" t="s">
        <v>6</v>
      </c>
      <c r="H902" s="5">
        <v>48</v>
      </c>
      <c r="I902" s="5" t="s">
        <v>2</v>
      </c>
      <c r="J902" s="6"/>
      <c r="K902" s="5" t="s">
        <v>121</v>
      </c>
      <c r="L902" s="6"/>
      <c r="M902" s="5" t="s">
        <v>4</v>
      </c>
    </row>
    <row r="903" spans="1:13" ht="12.75" x14ac:dyDescent="0.2">
      <c r="A903" s="1">
        <v>4804855</v>
      </c>
      <c r="B903" s="2">
        <v>44162</v>
      </c>
      <c r="C903" s="2">
        <v>44163</v>
      </c>
      <c r="D903" s="1" t="s">
        <v>5</v>
      </c>
      <c r="E903" s="1" t="s">
        <v>96</v>
      </c>
      <c r="G903" s="1" t="s">
        <v>6</v>
      </c>
      <c r="H903" s="1">
        <v>8</v>
      </c>
      <c r="I903" s="1" t="s">
        <v>15</v>
      </c>
      <c r="J903" s="2"/>
      <c r="K903" s="1" t="s">
        <v>121</v>
      </c>
      <c r="L903" s="2"/>
    </row>
    <row r="904" spans="1:13" ht="12.75" x14ac:dyDescent="0.2">
      <c r="A904" s="5">
        <v>1133104</v>
      </c>
      <c r="B904" s="6">
        <v>44000</v>
      </c>
      <c r="C904" s="6">
        <v>44000</v>
      </c>
      <c r="D904" s="5" t="s">
        <v>5</v>
      </c>
      <c r="E904" s="5" t="s">
        <v>95</v>
      </c>
      <c r="F904" s="5"/>
      <c r="G904" s="5" t="s">
        <v>6</v>
      </c>
      <c r="H904" s="5">
        <v>62</v>
      </c>
      <c r="I904" s="5" t="s">
        <v>15</v>
      </c>
      <c r="J904" s="6"/>
      <c r="K904" s="5" t="s">
        <v>121</v>
      </c>
      <c r="L904" s="6">
        <v>44004</v>
      </c>
      <c r="M904" s="5"/>
    </row>
    <row r="905" spans="1:13" ht="12.75" x14ac:dyDescent="0.2">
      <c r="A905" s="1">
        <v>1873212</v>
      </c>
      <c r="B905" s="2">
        <v>44056</v>
      </c>
      <c r="C905" s="2">
        <v>44056</v>
      </c>
      <c r="D905" s="1" t="s">
        <v>5</v>
      </c>
      <c r="E905" s="1" t="s">
        <v>91</v>
      </c>
      <c r="G905" s="1" t="s">
        <v>6</v>
      </c>
      <c r="H905" s="1">
        <v>46</v>
      </c>
      <c r="I905" s="1" t="s">
        <v>2</v>
      </c>
      <c r="J905" s="2"/>
      <c r="K905" s="1" t="s">
        <v>121</v>
      </c>
      <c r="L905" s="2"/>
      <c r="M905" s="1" t="s">
        <v>4</v>
      </c>
    </row>
    <row r="906" spans="1:13" ht="12.75" x14ac:dyDescent="0.2">
      <c r="A906" s="5">
        <v>1911754</v>
      </c>
      <c r="B906" s="6">
        <v>44058</v>
      </c>
      <c r="C906" s="6">
        <v>44060</v>
      </c>
      <c r="D906" s="5" t="s">
        <v>0</v>
      </c>
      <c r="E906" s="5" t="s">
        <v>13</v>
      </c>
      <c r="F906" s="5">
        <v>2</v>
      </c>
      <c r="G906" s="5" t="s">
        <v>6</v>
      </c>
      <c r="H906" s="5">
        <v>31</v>
      </c>
      <c r="I906" s="5" t="s">
        <v>2</v>
      </c>
      <c r="J906" s="6"/>
      <c r="K906" s="5" t="s">
        <v>121</v>
      </c>
      <c r="L906" s="6"/>
      <c r="M906" s="5" t="s">
        <v>4</v>
      </c>
    </row>
    <row r="907" spans="1:13" ht="12.75" x14ac:dyDescent="0.2">
      <c r="A907" s="1">
        <v>2673230</v>
      </c>
      <c r="B907" s="2">
        <v>44091</v>
      </c>
      <c r="C907" s="2">
        <v>44091</v>
      </c>
      <c r="D907" s="1" t="s">
        <v>5</v>
      </c>
      <c r="E907" s="1" t="s">
        <v>90</v>
      </c>
      <c r="G907" s="1" t="s">
        <v>1</v>
      </c>
      <c r="H907" s="1">
        <v>12</v>
      </c>
      <c r="I907" s="1" t="s">
        <v>15</v>
      </c>
      <c r="J907" s="2"/>
      <c r="K907" s="1" t="s">
        <v>121</v>
      </c>
      <c r="L907" s="2"/>
    </row>
    <row r="908" spans="1:13" ht="12.75" x14ac:dyDescent="0.2">
      <c r="A908" s="5">
        <v>3683059</v>
      </c>
      <c r="B908" s="6">
        <v>44126</v>
      </c>
      <c r="C908" s="6">
        <v>44126</v>
      </c>
      <c r="D908" s="5" t="s">
        <v>0</v>
      </c>
      <c r="E908" s="5" t="s">
        <v>17</v>
      </c>
      <c r="F908" s="5">
        <v>1</v>
      </c>
      <c r="G908" s="5" t="s">
        <v>6</v>
      </c>
      <c r="H908" s="5">
        <v>31</v>
      </c>
      <c r="I908" s="5" t="s">
        <v>15</v>
      </c>
      <c r="J908" s="6"/>
      <c r="K908" s="5" t="s">
        <v>121</v>
      </c>
      <c r="L908" s="6"/>
      <c r="M908" s="5"/>
    </row>
    <row r="909" spans="1:13" ht="12.75" x14ac:dyDescent="0.2">
      <c r="A909" s="1">
        <v>1958371</v>
      </c>
      <c r="B909" s="2">
        <v>44061</v>
      </c>
      <c r="C909" s="2">
        <v>44061</v>
      </c>
      <c r="D909" s="1" t="s">
        <v>0</v>
      </c>
      <c r="E909" s="1" t="s">
        <v>45</v>
      </c>
      <c r="F909" s="1">
        <v>4</v>
      </c>
      <c r="G909" s="1" t="s">
        <v>1</v>
      </c>
      <c r="H909" s="1">
        <v>33</v>
      </c>
      <c r="I909" s="1" t="s">
        <v>2</v>
      </c>
      <c r="J909" s="2"/>
      <c r="K909" s="1" t="s">
        <v>121</v>
      </c>
      <c r="L909" s="2">
        <v>44068</v>
      </c>
      <c r="M909" s="1" t="s">
        <v>9</v>
      </c>
    </row>
    <row r="910" spans="1:13" ht="12.75" x14ac:dyDescent="0.2">
      <c r="A910" s="5">
        <v>5595790</v>
      </c>
      <c r="B910" s="6">
        <v>44191</v>
      </c>
      <c r="C910" s="6">
        <v>44191</v>
      </c>
      <c r="D910" s="5" t="s">
        <v>5</v>
      </c>
      <c r="E910" s="5" t="s">
        <v>97</v>
      </c>
      <c r="F910" s="5"/>
      <c r="G910" s="5" t="s">
        <v>1</v>
      </c>
      <c r="H910" s="5">
        <v>21</v>
      </c>
      <c r="I910" s="5" t="s">
        <v>15</v>
      </c>
      <c r="J910" s="6"/>
      <c r="K910" s="5" t="s">
        <v>121</v>
      </c>
      <c r="L910" s="6"/>
      <c r="M910" s="5"/>
    </row>
    <row r="911" spans="1:13" ht="12.75" x14ac:dyDescent="0.2">
      <c r="A911" s="1">
        <v>1924162</v>
      </c>
      <c r="B911" s="2">
        <v>44160</v>
      </c>
      <c r="C911" s="2">
        <v>44161</v>
      </c>
      <c r="D911" s="1" t="s">
        <v>0</v>
      </c>
      <c r="E911" s="1" t="s">
        <v>16</v>
      </c>
      <c r="F911" s="1">
        <v>15</v>
      </c>
      <c r="G911" s="1" t="s">
        <v>6</v>
      </c>
      <c r="H911" s="1">
        <v>30</v>
      </c>
      <c r="I911" s="1" t="s">
        <v>2</v>
      </c>
      <c r="J911" s="2"/>
      <c r="K911" s="1" t="s">
        <v>121</v>
      </c>
      <c r="L911" s="2"/>
      <c r="M911" s="1" t="s">
        <v>4</v>
      </c>
    </row>
    <row r="912" spans="1:13" ht="12.75" x14ac:dyDescent="0.2">
      <c r="A912" s="5">
        <v>2257740</v>
      </c>
      <c r="B912" s="6">
        <v>44074</v>
      </c>
      <c r="C912" s="6">
        <v>44075</v>
      </c>
      <c r="D912" s="5" t="s">
        <v>0</v>
      </c>
      <c r="E912" s="5" t="s">
        <v>45</v>
      </c>
      <c r="F912" s="5">
        <v>4</v>
      </c>
      <c r="G912" s="5" t="s">
        <v>1</v>
      </c>
      <c r="H912" s="5">
        <v>33</v>
      </c>
      <c r="I912" s="5" t="s">
        <v>2</v>
      </c>
      <c r="J912" s="6"/>
      <c r="K912" s="5" t="s">
        <v>121</v>
      </c>
      <c r="L912" s="6"/>
      <c r="M912" s="5" t="s">
        <v>20</v>
      </c>
    </row>
    <row r="913" spans="1:13" ht="12.75" x14ac:dyDescent="0.2">
      <c r="A913" s="1">
        <v>1449452</v>
      </c>
      <c r="B913" s="2">
        <v>44014</v>
      </c>
      <c r="C913" s="2">
        <v>44015</v>
      </c>
      <c r="D913" s="1" t="s">
        <v>5</v>
      </c>
      <c r="E913" s="1" t="s">
        <v>92</v>
      </c>
      <c r="G913" s="1" t="s">
        <v>1</v>
      </c>
      <c r="H913" s="1">
        <v>39</v>
      </c>
      <c r="I913" s="1" t="s">
        <v>2</v>
      </c>
      <c r="J913" s="2"/>
      <c r="K913" s="1" t="s">
        <v>121</v>
      </c>
      <c r="L913" s="2"/>
      <c r="M913" s="1" t="s">
        <v>4</v>
      </c>
    </row>
    <row r="914" spans="1:13" ht="12.75" x14ac:dyDescent="0.2">
      <c r="A914" s="5">
        <v>1427643</v>
      </c>
      <c r="B914" s="6">
        <v>44032</v>
      </c>
      <c r="C914" s="6">
        <v>44032</v>
      </c>
      <c r="D914" s="5" t="s">
        <v>0</v>
      </c>
      <c r="E914" s="5" t="s">
        <v>13</v>
      </c>
      <c r="F914" s="5">
        <v>2</v>
      </c>
      <c r="G914" s="5" t="s">
        <v>6</v>
      </c>
      <c r="H914" s="5">
        <v>39</v>
      </c>
      <c r="I914" s="5" t="s">
        <v>2</v>
      </c>
      <c r="J914" s="6"/>
      <c r="K914" s="5" t="s">
        <v>121</v>
      </c>
      <c r="L914" s="6"/>
      <c r="M914" s="5" t="s">
        <v>4</v>
      </c>
    </row>
    <row r="915" spans="1:13" ht="12.75" x14ac:dyDescent="0.2">
      <c r="A915" s="1">
        <v>1743733</v>
      </c>
      <c r="B915" s="2">
        <v>44050</v>
      </c>
      <c r="C915" s="2">
        <v>44051</v>
      </c>
      <c r="D915" s="1" t="s">
        <v>5</v>
      </c>
      <c r="E915" s="1" t="s">
        <v>90</v>
      </c>
      <c r="G915" s="1" t="s">
        <v>1</v>
      </c>
      <c r="H915" s="1">
        <v>54</v>
      </c>
      <c r="I915" s="1" t="s">
        <v>15</v>
      </c>
      <c r="J915" s="2"/>
      <c r="K915" s="1" t="s">
        <v>121</v>
      </c>
      <c r="L915" s="2"/>
    </row>
    <row r="916" spans="1:13" ht="12.75" x14ac:dyDescent="0.2">
      <c r="A916" s="5">
        <v>3528733</v>
      </c>
      <c r="B916" s="6">
        <v>44121</v>
      </c>
      <c r="C916" s="6">
        <v>44122</v>
      </c>
      <c r="D916" s="5" t="s">
        <v>5</v>
      </c>
      <c r="E916" s="5" t="s">
        <v>102</v>
      </c>
      <c r="F916" s="5"/>
      <c r="G916" s="5" t="s">
        <v>1</v>
      </c>
      <c r="H916" s="5">
        <v>30</v>
      </c>
      <c r="I916" s="5" t="s">
        <v>15</v>
      </c>
      <c r="J916" s="6"/>
      <c r="K916" s="5" t="s">
        <v>121</v>
      </c>
      <c r="L916" s="6"/>
      <c r="M916" s="5"/>
    </row>
    <row r="917" spans="1:13" ht="12.75" x14ac:dyDescent="0.2">
      <c r="A917" s="1">
        <v>1960705</v>
      </c>
      <c r="B917" s="2">
        <v>44056</v>
      </c>
      <c r="C917" s="2">
        <v>44056</v>
      </c>
      <c r="D917" s="1" t="s">
        <v>0</v>
      </c>
      <c r="E917" s="1" t="s">
        <v>7</v>
      </c>
      <c r="F917" s="1">
        <v>3</v>
      </c>
      <c r="G917" s="1" t="s">
        <v>1</v>
      </c>
      <c r="H917" s="1">
        <v>40</v>
      </c>
      <c r="I917" s="1" t="s">
        <v>2</v>
      </c>
      <c r="J917" s="2"/>
      <c r="K917" s="1" t="s">
        <v>121</v>
      </c>
      <c r="L917" s="2"/>
      <c r="M917" s="1" t="s">
        <v>20</v>
      </c>
    </row>
    <row r="918" spans="1:13" ht="12.75" x14ac:dyDescent="0.2">
      <c r="A918" s="5">
        <v>2153924</v>
      </c>
      <c r="B918" s="6">
        <v>44062</v>
      </c>
      <c r="C918" s="6">
        <v>44062</v>
      </c>
      <c r="D918" s="5" t="s">
        <v>5</v>
      </c>
      <c r="E918" s="5" t="s">
        <v>76</v>
      </c>
      <c r="F918" s="5"/>
      <c r="G918" s="5" t="s">
        <v>6</v>
      </c>
      <c r="H918" s="5">
        <v>25</v>
      </c>
      <c r="I918" s="5" t="s">
        <v>2</v>
      </c>
      <c r="J918" s="6"/>
      <c r="K918" s="5" t="s">
        <v>121</v>
      </c>
      <c r="L918" s="6"/>
      <c r="M918" s="5" t="s">
        <v>4</v>
      </c>
    </row>
    <row r="919" spans="1:13" ht="12.75" x14ac:dyDescent="0.2">
      <c r="A919" s="1">
        <v>4974694</v>
      </c>
      <c r="B919" s="2">
        <v>44167</v>
      </c>
      <c r="C919" s="2">
        <v>44167</v>
      </c>
      <c r="D919" s="1" t="s">
        <v>5</v>
      </c>
      <c r="E919" s="1" t="s">
        <v>99</v>
      </c>
      <c r="G919" s="1" t="s">
        <v>1</v>
      </c>
      <c r="H919" s="1">
        <v>23</v>
      </c>
      <c r="I919" s="1" t="s">
        <v>15</v>
      </c>
      <c r="J919" s="2"/>
      <c r="K919" s="1" t="s">
        <v>121</v>
      </c>
      <c r="L919" s="2"/>
    </row>
    <row r="920" spans="1:13" ht="12.75" x14ac:dyDescent="0.2">
      <c r="A920" s="5">
        <v>1428084</v>
      </c>
      <c r="B920" s="6">
        <v>44031</v>
      </c>
      <c r="C920" s="6">
        <v>44033</v>
      </c>
      <c r="D920" s="5" t="s">
        <v>0</v>
      </c>
      <c r="E920" s="5" t="s">
        <v>8</v>
      </c>
      <c r="F920" s="5">
        <v>7</v>
      </c>
      <c r="G920" s="5" t="s">
        <v>6</v>
      </c>
      <c r="H920" s="5">
        <v>13</v>
      </c>
      <c r="I920" s="5" t="s">
        <v>2</v>
      </c>
      <c r="J920" s="6"/>
      <c r="K920" s="5" t="s">
        <v>121</v>
      </c>
      <c r="L920" s="6">
        <v>44046</v>
      </c>
      <c r="M920" s="5" t="s">
        <v>4</v>
      </c>
    </row>
    <row r="921" spans="1:13" ht="12.75" x14ac:dyDescent="0.2">
      <c r="A921" s="1">
        <v>4374218</v>
      </c>
      <c r="B921" s="2">
        <v>44147</v>
      </c>
      <c r="C921" s="2">
        <v>44147</v>
      </c>
      <c r="D921" s="1" t="s">
        <v>5</v>
      </c>
      <c r="E921" s="1" t="s">
        <v>91</v>
      </c>
      <c r="G921" s="1" t="s">
        <v>6</v>
      </c>
      <c r="H921" s="1">
        <v>69</v>
      </c>
      <c r="I921" s="1" t="s">
        <v>15</v>
      </c>
      <c r="J921" s="2"/>
      <c r="K921" s="1" t="s">
        <v>121</v>
      </c>
      <c r="L921" s="2"/>
    </row>
    <row r="922" spans="1:13" ht="12.75" x14ac:dyDescent="0.2">
      <c r="A922" s="5">
        <v>3039174</v>
      </c>
      <c r="B922" s="6">
        <v>44103</v>
      </c>
      <c r="C922" s="6">
        <v>44104</v>
      </c>
      <c r="D922" s="5" t="s">
        <v>0</v>
      </c>
      <c r="E922" s="5" t="s">
        <v>32</v>
      </c>
      <c r="F922" s="5">
        <v>10</v>
      </c>
      <c r="G922" s="5" t="s">
        <v>6</v>
      </c>
      <c r="H922" s="5">
        <v>46</v>
      </c>
      <c r="I922" s="5" t="s">
        <v>2</v>
      </c>
      <c r="J922" s="6"/>
      <c r="K922" s="5" t="s">
        <v>121</v>
      </c>
      <c r="L922" s="6"/>
      <c r="M922" s="5" t="s">
        <v>4</v>
      </c>
    </row>
    <row r="923" spans="1:13" ht="12.75" x14ac:dyDescent="0.2">
      <c r="A923" s="1">
        <v>1068823</v>
      </c>
      <c r="B923" s="2">
        <v>43994</v>
      </c>
      <c r="C923" s="2">
        <v>43994</v>
      </c>
      <c r="D923" s="1" t="s">
        <v>5</v>
      </c>
      <c r="E923" s="1" t="s">
        <v>99</v>
      </c>
      <c r="G923" s="1" t="s">
        <v>6</v>
      </c>
      <c r="H923" s="1">
        <v>38</v>
      </c>
      <c r="I923" s="1" t="s">
        <v>15</v>
      </c>
      <c r="J923" s="2"/>
      <c r="K923" s="1" t="s">
        <v>121</v>
      </c>
      <c r="L923" s="2"/>
    </row>
    <row r="924" spans="1:13" ht="12.75" x14ac:dyDescent="0.2">
      <c r="A924" s="5">
        <v>1295817</v>
      </c>
      <c r="B924" s="6">
        <v>44020</v>
      </c>
      <c r="C924" s="6">
        <v>44020</v>
      </c>
      <c r="D924" s="5" t="s">
        <v>0</v>
      </c>
      <c r="E924" s="5" t="s">
        <v>18</v>
      </c>
      <c r="F924" s="5">
        <v>8</v>
      </c>
      <c r="G924" s="5" t="s">
        <v>1</v>
      </c>
      <c r="H924" s="5">
        <v>21</v>
      </c>
      <c r="I924" s="5" t="s">
        <v>15</v>
      </c>
      <c r="J924" s="6"/>
      <c r="K924" s="5" t="s">
        <v>121</v>
      </c>
      <c r="L924" s="6"/>
      <c r="M924" s="5"/>
    </row>
    <row r="925" spans="1:13" ht="12.75" x14ac:dyDescent="0.2">
      <c r="A925" s="1">
        <v>782845</v>
      </c>
      <c r="B925" s="2">
        <v>43921</v>
      </c>
      <c r="C925" s="2">
        <v>43923</v>
      </c>
      <c r="D925" s="1" t="s">
        <v>0</v>
      </c>
      <c r="E925" s="1" t="s">
        <v>33</v>
      </c>
      <c r="F925" s="1">
        <v>13</v>
      </c>
      <c r="G925" s="1" t="s">
        <v>6</v>
      </c>
      <c r="H925" s="1">
        <v>6</v>
      </c>
      <c r="I925" s="1" t="s">
        <v>15</v>
      </c>
      <c r="J925" s="2"/>
      <c r="K925" s="1" t="s">
        <v>121</v>
      </c>
      <c r="L925" s="2"/>
    </row>
    <row r="926" spans="1:13" ht="12.75" x14ac:dyDescent="0.2">
      <c r="A926" s="5">
        <v>3373978</v>
      </c>
      <c r="B926" s="6">
        <v>44118</v>
      </c>
      <c r="C926" s="6">
        <v>44118</v>
      </c>
      <c r="D926" s="5" t="s">
        <v>0</v>
      </c>
      <c r="E926" s="5" t="s">
        <v>39</v>
      </c>
      <c r="F926" s="5">
        <v>8</v>
      </c>
      <c r="G926" s="5" t="s">
        <v>6</v>
      </c>
      <c r="H926" s="5">
        <v>8</v>
      </c>
      <c r="I926" s="5" t="s">
        <v>15</v>
      </c>
      <c r="J926" s="6"/>
      <c r="K926" s="5" t="s">
        <v>121</v>
      </c>
      <c r="L926" s="6"/>
      <c r="M926" s="5"/>
    </row>
    <row r="927" spans="1:13" ht="12.75" x14ac:dyDescent="0.2">
      <c r="A927" s="1">
        <v>1433363</v>
      </c>
      <c r="B927" s="2">
        <v>44032</v>
      </c>
      <c r="C927" s="2">
        <v>44032</v>
      </c>
      <c r="D927" s="1" t="s">
        <v>0</v>
      </c>
      <c r="E927" s="1" t="s">
        <v>8</v>
      </c>
      <c r="F927" s="1">
        <v>7</v>
      </c>
      <c r="G927" s="1" t="s">
        <v>6</v>
      </c>
      <c r="H927" s="1">
        <v>24</v>
      </c>
      <c r="I927" s="1" t="s">
        <v>15</v>
      </c>
      <c r="J927" s="2"/>
      <c r="K927" s="1" t="s">
        <v>121</v>
      </c>
      <c r="L927" s="2"/>
    </row>
    <row r="928" spans="1:13" ht="12.75" x14ac:dyDescent="0.2">
      <c r="A928" s="5">
        <v>3537686</v>
      </c>
      <c r="B928" s="6">
        <v>44122</v>
      </c>
      <c r="C928" s="6">
        <v>44123</v>
      </c>
      <c r="D928" s="5" t="s">
        <v>0</v>
      </c>
      <c r="E928" s="5" t="s">
        <v>37</v>
      </c>
      <c r="F928" s="5">
        <v>13</v>
      </c>
      <c r="G928" s="5" t="s">
        <v>1</v>
      </c>
      <c r="H928" s="5">
        <v>58</v>
      </c>
      <c r="I928" s="5" t="s">
        <v>15</v>
      </c>
      <c r="J928" s="6"/>
      <c r="K928" s="5" t="s">
        <v>121</v>
      </c>
      <c r="L928" s="6"/>
      <c r="M928" s="5"/>
    </row>
    <row r="929" spans="1:13" ht="12.75" x14ac:dyDescent="0.2">
      <c r="A929" s="1">
        <v>897656</v>
      </c>
      <c r="B929" s="2">
        <v>43959</v>
      </c>
      <c r="C929" s="2">
        <v>43983</v>
      </c>
      <c r="D929" s="1" t="s">
        <v>0</v>
      </c>
      <c r="E929" s="1" t="s">
        <v>36</v>
      </c>
      <c r="F929" s="1">
        <v>1</v>
      </c>
      <c r="G929" s="1" t="s">
        <v>6</v>
      </c>
      <c r="H929" s="1">
        <v>31</v>
      </c>
      <c r="I929" s="1" t="s">
        <v>2</v>
      </c>
      <c r="J929" s="2"/>
      <c r="K929" s="1" t="s">
        <v>121</v>
      </c>
      <c r="L929" s="2">
        <v>43970</v>
      </c>
      <c r="M929" s="1" t="s">
        <v>9</v>
      </c>
    </row>
    <row r="930" spans="1:13" ht="12.75" x14ac:dyDescent="0.2">
      <c r="A930" s="5">
        <v>2070006</v>
      </c>
      <c r="B930" s="6">
        <v>44064</v>
      </c>
      <c r="C930" s="6">
        <v>44064</v>
      </c>
      <c r="D930" s="5" t="s">
        <v>0</v>
      </c>
      <c r="E930" s="5" t="s">
        <v>16</v>
      </c>
      <c r="F930" s="5">
        <v>15</v>
      </c>
      <c r="G930" s="5" t="s">
        <v>1</v>
      </c>
      <c r="H930" s="5">
        <v>32</v>
      </c>
      <c r="I930" s="5" t="s">
        <v>2</v>
      </c>
      <c r="J930" s="6"/>
      <c r="K930" s="5" t="s">
        <v>121</v>
      </c>
      <c r="L930" s="6">
        <v>44072</v>
      </c>
      <c r="M930" s="5" t="s">
        <v>22</v>
      </c>
    </row>
    <row r="931" spans="1:13" ht="12.75" x14ac:dyDescent="0.2">
      <c r="A931" s="1">
        <v>3914891</v>
      </c>
      <c r="B931" s="2">
        <v>44133</v>
      </c>
      <c r="C931" s="2">
        <v>44134</v>
      </c>
      <c r="D931" s="1" t="s">
        <v>5</v>
      </c>
      <c r="E931" s="1" t="s">
        <v>89</v>
      </c>
      <c r="G931" s="1" t="s">
        <v>6</v>
      </c>
      <c r="H931" s="1">
        <v>21</v>
      </c>
      <c r="I931" s="1" t="s">
        <v>2</v>
      </c>
      <c r="J931" s="2"/>
      <c r="K931" s="1" t="s">
        <v>121</v>
      </c>
      <c r="L931" s="2"/>
      <c r="M931" s="1" t="s">
        <v>4</v>
      </c>
    </row>
    <row r="932" spans="1:13" ht="12.75" x14ac:dyDescent="0.2">
      <c r="A932" s="5">
        <v>3257376</v>
      </c>
      <c r="B932" s="6">
        <v>44112</v>
      </c>
      <c r="C932" s="6">
        <v>44112</v>
      </c>
      <c r="D932" s="5" t="s">
        <v>5</v>
      </c>
      <c r="E932" s="5" t="s">
        <v>95</v>
      </c>
      <c r="F932" s="5"/>
      <c r="G932" s="5" t="s">
        <v>6</v>
      </c>
      <c r="H932" s="5">
        <v>45</v>
      </c>
      <c r="I932" s="5" t="s">
        <v>21</v>
      </c>
      <c r="J932" s="6"/>
      <c r="K932" s="5" t="s">
        <v>121</v>
      </c>
      <c r="L932" s="6"/>
      <c r="M932" s="5" t="s">
        <v>20</v>
      </c>
    </row>
    <row r="933" spans="1:13" ht="12.75" x14ac:dyDescent="0.2">
      <c r="A933" s="1">
        <v>1068633</v>
      </c>
      <c r="B933" s="2">
        <v>43994</v>
      </c>
      <c r="C933" s="2">
        <v>43995</v>
      </c>
      <c r="D933" s="1" t="s">
        <v>0</v>
      </c>
      <c r="E933" s="1" t="s">
        <v>10</v>
      </c>
      <c r="F933" s="1">
        <v>5</v>
      </c>
      <c r="G933" s="1" t="s">
        <v>1</v>
      </c>
      <c r="H933" s="1">
        <v>78</v>
      </c>
      <c r="I933" s="1" t="s">
        <v>2</v>
      </c>
      <c r="J933" s="2"/>
      <c r="K933" s="1" t="s">
        <v>121</v>
      </c>
      <c r="L933" s="2">
        <v>44007</v>
      </c>
      <c r="M933" s="1" t="s">
        <v>4</v>
      </c>
    </row>
    <row r="934" spans="1:13" ht="12.75" x14ac:dyDescent="0.2">
      <c r="A934" s="5">
        <v>5172954</v>
      </c>
      <c r="B934" s="6">
        <v>44177</v>
      </c>
      <c r="C934" s="6">
        <v>44178</v>
      </c>
      <c r="D934" s="5" t="s">
        <v>0</v>
      </c>
      <c r="E934" s="5" t="s">
        <v>33</v>
      </c>
      <c r="F934" s="5">
        <v>13</v>
      </c>
      <c r="G934" s="5" t="s">
        <v>1</v>
      </c>
      <c r="H934" s="5">
        <v>40</v>
      </c>
      <c r="I934" s="5" t="s">
        <v>2</v>
      </c>
      <c r="J934" s="6"/>
      <c r="K934" s="5" t="s">
        <v>121</v>
      </c>
      <c r="L934" s="6"/>
      <c r="M934" s="5" t="s">
        <v>4</v>
      </c>
    </row>
    <row r="935" spans="1:13" ht="12.75" x14ac:dyDescent="0.2">
      <c r="A935" s="1">
        <v>3065606</v>
      </c>
      <c r="B935" s="2">
        <v>44105</v>
      </c>
      <c r="C935" s="2">
        <v>44106</v>
      </c>
      <c r="D935" s="1" t="s">
        <v>5</v>
      </c>
      <c r="E935" s="1" t="s">
        <v>97</v>
      </c>
      <c r="G935" s="1" t="s">
        <v>1</v>
      </c>
      <c r="H935" s="1">
        <v>30</v>
      </c>
      <c r="I935" s="1" t="s">
        <v>15</v>
      </c>
      <c r="J935" s="2"/>
      <c r="K935" s="1" t="s">
        <v>121</v>
      </c>
      <c r="L935" s="2"/>
    </row>
    <row r="936" spans="1:13" ht="12.75" x14ac:dyDescent="0.2">
      <c r="A936" s="5">
        <v>1911004</v>
      </c>
      <c r="B936" s="6">
        <v>44059</v>
      </c>
      <c r="C936" s="6">
        <v>44079</v>
      </c>
      <c r="D936" s="5" t="s">
        <v>0</v>
      </c>
      <c r="E936" s="5" t="s">
        <v>46</v>
      </c>
      <c r="F936" s="5">
        <v>5</v>
      </c>
      <c r="G936" s="5" t="s">
        <v>6</v>
      </c>
      <c r="H936" s="5">
        <v>49</v>
      </c>
      <c r="I936" s="5" t="s">
        <v>2</v>
      </c>
      <c r="J936" s="6"/>
      <c r="K936" s="5" t="s">
        <v>121</v>
      </c>
      <c r="L936" s="6"/>
      <c r="M936" s="5" t="s">
        <v>4</v>
      </c>
    </row>
    <row r="937" spans="1:13" ht="12.75" x14ac:dyDescent="0.2">
      <c r="A937" s="1">
        <v>1471952</v>
      </c>
      <c r="B937" s="2">
        <v>44034</v>
      </c>
      <c r="C937" s="2">
        <v>44034</v>
      </c>
      <c r="D937" s="1" t="s">
        <v>0</v>
      </c>
      <c r="E937" s="1" t="s">
        <v>13</v>
      </c>
      <c r="F937" s="1">
        <v>2</v>
      </c>
      <c r="G937" s="1" t="s">
        <v>6</v>
      </c>
      <c r="H937" s="1">
        <v>25</v>
      </c>
      <c r="I937" s="1" t="s">
        <v>2</v>
      </c>
      <c r="J937" s="2"/>
      <c r="K937" s="1" t="s">
        <v>121</v>
      </c>
      <c r="L937" s="2"/>
      <c r="M937" s="1" t="s">
        <v>20</v>
      </c>
    </row>
    <row r="938" spans="1:13" ht="12.75" x14ac:dyDescent="0.2">
      <c r="A938" s="5">
        <v>1224742</v>
      </c>
      <c r="B938" s="6">
        <v>44013</v>
      </c>
      <c r="C938" s="6">
        <v>44014</v>
      </c>
      <c r="D938" s="5" t="s">
        <v>0</v>
      </c>
      <c r="E938" s="5" t="s">
        <v>8</v>
      </c>
      <c r="F938" s="5">
        <v>7</v>
      </c>
      <c r="G938" s="5" t="s">
        <v>1</v>
      </c>
      <c r="H938" s="5">
        <v>53</v>
      </c>
      <c r="I938" s="5" t="s">
        <v>2</v>
      </c>
      <c r="J938" s="6"/>
      <c r="K938" s="5" t="s">
        <v>121</v>
      </c>
      <c r="L938" s="6">
        <v>44023</v>
      </c>
      <c r="M938" s="5" t="s">
        <v>9</v>
      </c>
    </row>
    <row r="939" spans="1:13" ht="12.75" x14ac:dyDescent="0.2">
      <c r="A939" s="1">
        <v>755713</v>
      </c>
      <c r="B939" s="2">
        <v>43903</v>
      </c>
      <c r="C939" s="2">
        <v>43903</v>
      </c>
      <c r="D939" s="1" t="s">
        <v>0</v>
      </c>
      <c r="E939" s="1" t="s">
        <v>14</v>
      </c>
      <c r="F939" s="1">
        <v>14</v>
      </c>
      <c r="G939" s="1" t="s">
        <v>1</v>
      </c>
      <c r="H939" s="1">
        <v>22</v>
      </c>
      <c r="I939" s="1" t="s">
        <v>15</v>
      </c>
      <c r="J939" s="2"/>
      <c r="K939" s="1" t="s">
        <v>121</v>
      </c>
      <c r="L939" s="2"/>
    </row>
    <row r="940" spans="1:13" ht="12.75" x14ac:dyDescent="0.2">
      <c r="A940" s="5">
        <v>3262287</v>
      </c>
      <c r="B940" s="6">
        <v>44111</v>
      </c>
      <c r="C940" s="6">
        <v>44111</v>
      </c>
      <c r="D940" s="5" t="s">
        <v>0</v>
      </c>
      <c r="E940" s="5" t="s">
        <v>36</v>
      </c>
      <c r="F940" s="5">
        <v>1</v>
      </c>
      <c r="G940" s="5" t="s">
        <v>6</v>
      </c>
      <c r="H940" s="5">
        <v>2</v>
      </c>
      <c r="I940" s="5" t="s">
        <v>15</v>
      </c>
      <c r="J940" s="6"/>
      <c r="K940" s="5" t="s">
        <v>121</v>
      </c>
      <c r="L940" s="6"/>
      <c r="M940" s="5"/>
    </row>
    <row r="941" spans="1:13" ht="12.75" x14ac:dyDescent="0.2">
      <c r="A941" s="1">
        <v>4390483</v>
      </c>
      <c r="B941" s="2">
        <v>44148</v>
      </c>
      <c r="C941" s="2">
        <v>44148</v>
      </c>
      <c r="D941" s="1" t="s">
        <v>0</v>
      </c>
      <c r="E941" s="1" t="s">
        <v>40</v>
      </c>
      <c r="F941" s="1">
        <v>1</v>
      </c>
      <c r="G941" s="1" t="s">
        <v>1</v>
      </c>
      <c r="H941" s="1">
        <v>32</v>
      </c>
      <c r="I941" s="1" t="s">
        <v>2</v>
      </c>
      <c r="J941" s="2"/>
      <c r="K941" s="1" t="s">
        <v>121</v>
      </c>
      <c r="L941" s="2"/>
      <c r="M941" s="1" t="s">
        <v>20</v>
      </c>
    </row>
    <row r="942" spans="1:13" ht="12.75" x14ac:dyDescent="0.2">
      <c r="A942" s="5">
        <v>2431120</v>
      </c>
      <c r="B942" s="6">
        <v>44081</v>
      </c>
      <c r="C942" s="6">
        <v>44082</v>
      </c>
      <c r="D942" s="5" t="s">
        <v>0</v>
      </c>
      <c r="E942" s="5" t="s">
        <v>69</v>
      </c>
      <c r="F942" s="5">
        <v>1</v>
      </c>
      <c r="G942" s="5" t="s">
        <v>1</v>
      </c>
      <c r="H942" s="5">
        <v>47</v>
      </c>
      <c r="I942" s="5" t="s">
        <v>2</v>
      </c>
      <c r="J942" s="6"/>
      <c r="K942" s="5" t="s">
        <v>121</v>
      </c>
      <c r="L942" s="6"/>
      <c r="M942" s="5" t="s">
        <v>4</v>
      </c>
    </row>
    <row r="943" spans="1:13" ht="12.75" x14ac:dyDescent="0.2">
      <c r="A943" s="1">
        <v>4758307</v>
      </c>
      <c r="B943" s="2">
        <v>44160</v>
      </c>
      <c r="C943" s="2">
        <v>44161</v>
      </c>
      <c r="D943" s="1" t="s">
        <v>0</v>
      </c>
      <c r="E943" s="1" t="s">
        <v>27</v>
      </c>
      <c r="F943" s="1">
        <v>4</v>
      </c>
      <c r="G943" s="1" t="s">
        <v>6</v>
      </c>
      <c r="H943" s="1">
        <v>17</v>
      </c>
      <c r="I943" s="1" t="s">
        <v>15</v>
      </c>
      <c r="J943" s="2"/>
      <c r="K943" s="1" t="s">
        <v>121</v>
      </c>
      <c r="L943" s="2"/>
    </row>
    <row r="944" spans="1:13" ht="12.75" x14ac:dyDescent="0.2">
      <c r="A944" s="5">
        <v>4822846</v>
      </c>
      <c r="B944" s="6">
        <v>44159</v>
      </c>
      <c r="C944" s="6">
        <v>44159</v>
      </c>
      <c r="D944" s="5" t="s">
        <v>0</v>
      </c>
      <c r="E944" s="5" t="s">
        <v>8</v>
      </c>
      <c r="F944" s="5">
        <v>7</v>
      </c>
      <c r="G944" s="5" t="s">
        <v>1</v>
      </c>
      <c r="H944" s="5">
        <v>25</v>
      </c>
      <c r="I944" s="5" t="s">
        <v>15</v>
      </c>
      <c r="J944" s="6"/>
      <c r="K944" s="5" t="s">
        <v>121</v>
      </c>
      <c r="L944" s="6"/>
      <c r="M944" s="5"/>
    </row>
    <row r="945" spans="1:13" ht="12.75" x14ac:dyDescent="0.2">
      <c r="A945" s="1">
        <v>1442403</v>
      </c>
      <c r="B945" s="2">
        <v>44032</v>
      </c>
      <c r="C945" s="2">
        <v>44032</v>
      </c>
      <c r="D945" s="1" t="s">
        <v>0</v>
      </c>
      <c r="E945" s="1" t="s">
        <v>39</v>
      </c>
      <c r="F945" s="1">
        <v>8</v>
      </c>
      <c r="G945" s="1" t="s">
        <v>6</v>
      </c>
      <c r="H945" s="1">
        <v>60</v>
      </c>
      <c r="I945" s="1" t="s">
        <v>15</v>
      </c>
      <c r="J945" s="2"/>
      <c r="K945" s="1" t="s">
        <v>121</v>
      </c>
      <c r="L945" s="2"/>
    </row>
    <row r="946" spans="1:13" ht="12.75" x14ac:dyDescent="0.2">
      <c r="A946" s="5">
        <v>2582398</v>
      </c>
      <c r="B946" s="6">
        <v>44087</v>
      </c>
      <c r="C946" s="6">
        <v>44087</v>
      </c>
      <c r="D946" s="5" t="s">
        <v>0</v>
      </c>
      <c r="E946" s="5" t="s">
        <v>18</v>
      </c>
      <c r="F946" s="5">
        <v>8</v>
      </c>
      <c r="G946" s="5" t="s">
        <v>6</v>
      </c>
      <c r="H946" s="5">
        <v>69</v>
      </c>
      <c r="I946" s="5" t="s">
        <v>2</v>
      </c>
      <c r="J946" s="6"/>
      <c r="K946" s="5" t="s">
        <v>121</v>
      </c>
      <c r="L946" s="6"/>
      <c r="M946" s="5" t="s">
        <v>4</v>
      </c>
    </row>
    <row r="947" spans="1:13" ht="12.75" x14ac:dyDescent="0.2">
      <c r="A947" s="1">
        <v>1229128</v>
      </c>
      <c r="B947" s="2">
        <v>44007</v>
      </c>
      <c r="C947" s="2">
        <v>44007</v>
      </c>
      <c r="D947" s="1" t="s">
        <v>5</v>
      </c>
      <c r="E947" s="1" t="s">
        <v>91</v>
      </c>
      <c r="G947" s="1" t="s">
        <v>6</v>
      </c>
      <c r="H947" s="1">
        <v>28</v>
      </c>
      <c r="I947" s="1" t="s">
        <v>2</v>
      </c>
      <c r="J947" s="2"/>
      <c r="K947" s="1" t="s">
        <v>121</v>
      </c>
      <c r="L947" s="2">
        <v>44020</v>
      </c>
      <c r="M947" s="1" t="s">
        <v>4</v>
      </c>
    </row>
    <row r="948" spans="1:13" ht="12.75" x14ac:dyDescent="0.2">
      <c r="A948" s="5">
        <v>871834</v>
      </c>
      <c r="B948" s="6">
        <v>43950</v>
      </c>
      <c r="C948" s="6">
        <v>43951</v>
      </c>
      <c r="D948" s="5" t="s">
        <v>0</v>
      </c>
      <c r="E948" s="5" t="s">
        <v>11</v>
      </c>
      <c r="F948" s="5">
        <v>6</v>
      </c>
      <c r="G948" s="5" t="s">
        <v>6</v>
      </c>
      <c r="H948" s="5">
        <v>78</v>
      </c>
      <c r="I948" s="5" t="s">
        <v>15</v>
      </c>
      <c r="J948" s="6"/>
      <c r="K948" s="5" t="s">
        <v>121</v>
      </c>
      <c r="L948" s="6"/>
      <c r="M948" s="5"/>
    </row>
    <row r="949" spans="1:13" ht="12.75" x14ac:dyDescent="0.2">
      <c r="A949" s="1">
        <v>2121284</v>
      </c>
      <c r="B949" s="2">
        <v>44069</v>
      </c>
      <c r="C949" s="2">
        <v>44069</v>
      </c>
      <c r="D949" s="1" t="s">
        <v>0</v>
      </c>
      <c r="E949" s="1" t="s">
        <v>37</v>
      </c>
      <c r="F949" s="1">
        <v>13</v>
      </c>
      <c r="G949" s="1" t="s">
        <v>1</v>
      </c>
      <c r="H949" s="1">
        <v>35</v>
      </c>
      <c r="I949" s="1" t="s">
        <v>2</v>
      </c>
      <c r="J949" s="2"/>
      <c r="K949" s="1" t="s">
        <v>121</v>
      </c>
      <c r="L949" s="2"/>
      <c r="M949" s="1" t="s">
        <v>4</v>
      </c>
    </row>
    <row r="950" spans="1:13" ht="12.75" x14ac:dyDescent="0.2">
      <c r="A950" s="5">
        <v>2091844</v>
      </c>
      <c r="B950" s="6">
        <v>44062</v>
      </c>
      <c r="C950" s="6">
        <v>44063</v>
      </c>
      <c r="D950" s="5" t="s">
        <v>0</v>
      </c>
      <c r="E950" s="5" t="s">
        <v>7</v>
      </c>
      <c r="F950" s="5">
        <v>3</v>
      </c>
      <c r="G950" s="5" t="s">
        <v>6</v>
      </c>
      <c r="H950" s="5">
        <v>29</v>
      </c>
      <c r="I950" s="5" t="s">
        <v>2</v>
      </c>
      <c r="J950" s="6"/>
      <c r="K950" s="5" t="s">
        <v>121</v>
      </c>
      <c r="L950" s="6"/>
      <c r="M950" s="5" t="s">
        <v>4</v>
      </c>
    </row>
    <row r="951" spans="1:13" ht="12.75" x14ac:dyDescent="0.2">
      <c r="A951" s="1">
        <v>1285738</v>
      </c>
      <c r="B951" s="2">
        <v>44019</v>
      </c>
      <c r="C951" s="2">
        <v>44021</v>
      </c>
      <c r="D951" s="1" t="s">
        <v>0</v>
      </c>
      <c r="E951" s="1" t="s">
        <v>24</v>
      </c>
      <c r="F951" s="1">
        <v>9</v>
      </c>
      <c r="G951" s="1" t="s">
        <v>6</v>
      </c>
      <c r="H951" s="1">
        <v>29</v>
      </c>
      <c r="I951" s="1" t="s">
        <v>2</v>
      </c>
      <c r="J951" s="2"/>
      <c r="K951" s="1" t="s">
        <v>121</v>
      </c>
      <c r="L951" s="2">
        <v>44026</v>
      </c>
      <c r="M951" s="1" t="s">
        <v>9</v>
      </c>
    </row>
    <row r="952" spans="1:13" ht="12.75" x14ac:dyDescent="0.2">
      <c r="A952" s="5">
        <v>2409315</v>
      </c>
      <c r="B952" s="6">
        <v>44078</v>
      </c>
      <c r="C952" s="6">
        <v>44080</v>
      </c>
      <c r="D952" s="5" t="s">
        <v>5</v>
      </c>
      <c r="E952" s="5" t="s">
        <v>92</v>
      </c>
      <c r="F952" s="5"/>
      <c r="G952" s="5" t="s">
        <v>1</v>
      </c>
      <c r="H952" s="5">
        <v>39</v>
      </c>
      <c r="I952" s="5" t="s">
        <v>15</v>
      </c>
      <c r="J952" s="6"/>
      <c r="K952" s="5" t="s">
        <v>121</v>
      </c>
      <c r="L952" s="6"/>
      <c r="M952" s="5"/>
    </row>
    <row r="953" spans="1:13" ht="12.75" x14ac:dyDescent="0.2">
      <c r="A953" s="1">
        <v>2294629</v>
      </c>
      <c r="B953" s="2">
        <v>44076</v>
      </c>
      <c r="C953" s="2">
        <v>44076</v>
      </c>
      <c r="D953" s="1" t="s">
        <v>0</v>
      </c>
      <c r="E953" s="1" t="s">
        <v>7</v>
      </c>
      <c r="F953" s="1">
        <v>3</v>
      </c>
      <c r="G953" s="1" t="s">
        <v>1</v>
      </c>
      <c r="H953" s="1">
        <v>28</v>
      </c>
      <c r="I953" s="1" t="s">
        <v>15</v>
      </c>
      <c r="J953" s="2"/>
      <c r="K953" s="1" t="s">
        <v>121</v>
      </c>
      <c r="L953" s="2"/>
    </row>
    <row r="954" spans="1:13" ht="12.75" x14ac:dyDescent="0.2">
      <c r="A954" s="5">
        <v>5460885</v>
      </c>
      <c r="B954" s="6">
        <v>44184</v>
      </c>
      <c r="C954" s="6">
        <v>44184</v>
      </c>
      <c r="D954" s="5" t="s">
        <v>0</v>
      </c>
      <c r="E954" s="5" t="s">
        <v>54</v>
      </c>
      <c r="F954" s="5">
        <v>7</v>
      </c>
      <c r="G954" s="5" t="s">
        <v>1</v>
      </c>
      <c r="H954" s="5">
        <v>81</v>
      </c>
      <c r="I954" s="5" t="s">
        <v>15</v>
      </c>
      <c r="J954" s="6"/>
      <c r="K954" s="5" t="s">
        <v>121</v>
      </c>
      <c r="L954" s="6"/>
      <c r="M954" s="5"/>
    </row>
    <row r="955" spans="1:13" ht="12.75" x14ac:dyDescent="0.2">
      <c r="A955" s="1">
        <v>5270324</v>
      </c>
      <c r="B955" s="2">
        <v>44179</v>
      </c>
      <c r="C955" s="2">
        <v>44179</v>
      </c>
      <c r="D955" s="1" t="s">
        <v>5</v>
      </c>
      <c r="E955" s="1" t="s">
        <v>76</v>
      </c>
      <c r="G955" s="1" t="s">
        <v>6</v>
      </c>
      <c r="H955" s="1">
        <v>25</v>
      </c>
      <c r="I955" s="1" t="s">
        <v>2</v>
      </c>
      <c r="J955" s="2"/>
      <c r="K955" s="1" t="s">
        <v>121</v>
      </c>
      <c r="L955" s="2"/>
      <c r="M955" s="1" t="s">
        <v>4</v>
      </c>
    </row>
    <row r="956" spans="1:13" ht="12.75" x14ac:dyDescent="0.2">
      <c r="A956" s="5">
        <v>2050464</v>
      </c>
      <c r="B956" s="6">
        <v>44063</v>
      </c>
      <c r="C956" s="6">
        <v>44064</v>
      </c>
      <c r="D956" s="5" t="s">
        <v>5</v>
      </c>
      <c r="E956" s="5" t="s">
        <v>99</v>
      </c>
      <c r="F956" s="5"/>
      <c r="G956" s="5" t="s">
        <v>6</v>
      </c>
      <c r="H956" s="5">
        <v>48</v>
      </c>
      <c r="I956" s="5" t="s">
        <v>2</v>
      </c>
      <c r="J956" s="6"/>
      <c r="K956" s="5" t="s">
        <v>121</v>
      </c>
      <c r="L956" s="6"/>
      <c r="M956" s="5" t="s">
        <v>4</v>
      </c>
    </row>
    <row r="957" spans="1:13" ht="12.75" x14ac:dyDescent="0.2">
      <c r="A957" s="1">
        <v>4653695</v>
      </c>
      <c r="B957" s="2">
        <v>44156</v>
      </c>
      <c r="C957" s="2">
        <v>44157</v>
      </c>
      <c r="D957" s="1" t="s">
        <v>5</v>
      </c>
      <c r="E957" s="1" t="s">
        <v>98</v>
      </c>
      <c r="G957" s="1" t="s">
        <v>1</v>
      </c>
      <c r="H957" s="1">
        <v>51</v>
      </c>
      <c r="I957" s="1" t="s">
        <v>15</v>
      </c>
      <c r="J957" s="2"/>
      <c r="K957" s="1" t="s">
        <v>121</v>
      </c>
      <c r="L957" s="2"/>
    </row>
    <row r="958" spans="1:13" ht="12.75" x14ac:dyDescent="0.2">
      <c r="A958" s="5">
        <v>1132111</v>
      </c>
      <c r="B958" s="6">
        <v>44002</v>
      </c>
      <c r="C958" s="6">
        <v>44004</v>
      </c>
      <c r="D958" s="5" t="s">
        <v>0</v>
      </c>
      <c r="E958" s="5" t="s">
        <v>18</v>
      </c>
      <c r="F958" s="5">
        <v>8</v>
      </c>
      <c r="G958" s="5" t="s">
        <v>6</v>
      </c>
      <c r="H958" s="5">
        <v>46</v>
      </c>
      <c r="I958" s="5" t="s">
        <v>2</v>
      </c>
      <c r="J958" s="6"/>
      <c r="K958" s="5" t="s">
        <v>121</v>
      </c>
      <c r="L958" s="6">
        <v>44013</v>
      </c>
      <c r="M958" s="5" t="s">
        <v>9</v>
      </c>
    </row>
    <row r="959" spans="1:13" ht="12.75" x14ac:dyDescent="0.2">
      <c r="A959" s="1">
        <v>3726912</v>
      </c>
      <c r="B959" s="2">
        <v>44127</v>
      </c>
      <c r="C959" s="2">
        <v>44127</v>
      </c>
      <c r="D959" s="1" t="s">
        <v>0</v>
      </c>
      <c r="E959" s="1" t="s">
        <v>24</v>
      </c>
      <c r="F959" s="1">
        <v>9</v>
      </c>
      <c r="G959" s="1" t="s">
        <v>1</v>
      </c>
      <c r="H959" s="1">
        <v>47</v>
      </c>
      <c r="I959" s="1" t="s">
        <v>15</v>
      </c>
      <c r="J959" s="2"/>
      <c r="K959" s="1" t="s">
        <v>121</v>
      </c>
      <c r="L959" s="2"/>
    </row>
    <row r="960" spans="1:13" ht="12.75" x14ac:dyDescent="0.2">
      <c r="A960" s="5">
        <v>2918348</v>
      </c>
      <c r="B960" s="6">
        <v>44100</v>
      </c>
      <c r="C960" s="6">
        <v>44108</v>
      </c>
      <c r="D960" s="5" t="s">
        <v>5</v>
      </c>
      <c r="E960" s="5" t="s">
        <v>96</v>
      </c>
      <c r="F960" s="5"/>
      <c r="G960" s="5" t="s">
        <v>1</v>
      </c>
      <c r="H960" s="5">
        <v>9</v>
      </c>
      <c r="I960" s="5" t="s">
        <v>2</v>
      </c>
      <c r="J960" s="6"/>
      <c r="K960" s="5" t="s">
        <v>121</v>
      </c>
      <c r="L960" s="6"/>
      <c r="M960" s="5" t="s">
        <v>9</v>
      </c>
    </row>
    <row r="961" spans="1:13" ht="12.75" x14ac:dyDescent="0.2">
      <c r="A961" s="1">
        <v>5607112</v>
      </c>
      <c r="B961" s="2">
        <v>44191</v>
      </c>
      <c r="C961" s="2">
        <v>44191</v>
      </c>
      <c r="D961" s="1" t="s">
        <v>0</v>
      </c>
      <c r="E961" s="1" t="s">
        <v>13</v>
      </c>
      <c r="F961" s="1">
        <v>2</v>
      </c>
      <c r="G961" s="1" t="s">
        <v>1</v>
      </c>
      <c r="H961" s="1">
        <v>69</v>
      </c>
      <c r="I961" s="1" t="s">
        <v>15</v>
      </c>
      <c r="J961" s="2"/>
      <c r="K961" s="1" t="s">
        <v>121</v>
      </c>
      <c r="L961" s="2"/>
    </row>
    <row r="962" spans="1:13" ht="12.75" x14ac:dyDescent="0.2">
      <c r="A962" s="5">
        <v>3075090</v>
      </c>
      <c r="B962" s="6">
        <v>44105</v>
      </c>
      <c r="C962" s="6">
        <v>44106</v>
      </c>
      <c r="D962" s="5" t="s">
        <v>5</v>
      </c>
      <c r="E962" s="5" t="s">
        <v>90</v>
      </c>
      <c r="F962" s="5"/>
      <c r="G962" s="5" t="s">
        <v>1</v>
      </c>
      <c r="H962" s="5">
        <v>49</v>
      </c>
      <c r="I962" s="5" t="s">
        <v>15</v>
      </c>
      <c r="J962" s="6"/>
      <c r="K962" s="5" t="s">
        <v>121</v>
      </c>
      <c r="L962" s="6"/>
      <c r="M962" s="5"/>
    </row>
    <row r="963" spans="1:13" ht="12.75" x14ac:dyDescent="0.2">
      <c r="A963" s="1">
        <v>4882261</v>
      </c>
      <c r="B963" s="2">
        <v>44018</v>
      </c>
      <c r="C963" s="2">
        <v>44018</v>
      </c>
      <c r="D963" s="1" t="s">
        <v>5</v>
      </c>
      <c r="E963" s="1" t="s">
        <v>82</v>
      </c>
      <c r="G963" s="1" t="s">
        <v>6</v>
      </c>
      <c r="H963" s="1">
        <v>54</v>
      </c>
      <c r="I963" s="1" t="s">
        <v>15</v>
      </c>
      <c r="J963" s="2"/>
      <c r="K963" s="1" t="s">
        <v>121</v>
      </c>
      <c r="L963" s="2"/>
    </row>
    <row r="964" spans="1:13" ht="12.75" x14ac:dyDescent="0.2">
      <c r="A964" s="5">
        <v>5013907</v>
      </c>
      <c r="B964" s="6">
        <v>44169</v>
      </c>
      <c r="C964" s="6">
        <v>44169</v>
      </c>
      <c r="D964" s="5" t="s">
        <v>5</v>
      </c>
      <c r="E964" s="5" t="s">
        <v>98</v>
      </c>
      <c r="F964" s="5"/>
      <c r="G964" s="5" t="s">
        <v>6</v>
      </c>
      <c r="H964" s="5">
        <v>81</v>
      </c>
      <c r="I964" s="5" t="s">
        <v>15</v>
      </c>
      <c r="J964" s="6"/>
      <c r="K964" s="5" t="s">
        <v>121</v>
      </c>
      <c r="L964" s="6">
        <v>44170</v>
      </c>
      <c r="M964" s="5"/>
    </row>
    <row r="965" spans="1:13" ht="12.75" x14ac:dyDescent="0.2">
      <c r="A965" s="1">
        <v>1179089</v>
      </c>
      <c r="B965" s="2">
        <v>44053</v>
      </c>
      <c r="C965" s="2">
        <v>44055</v>
      </c>
      <c r="D965" s="1" t="s">
        <v>5</v>
      </c>
      <c r="E965" s="1" t="s">
        <v>91</v>
      </c>
      <c r="G965" s="1" t="s">
        <v>6</v>
      </c>
      <c r="H965" s="1">
        <v>43</v>
      </c>
      <c r="I965" s="1" t="s">
        <v>2</v>
      </c>
      <c r="J965" s="2"/>
      <c r="K965" s="1" t="s">
        <v>121</v>
      </c>
      <c r="L965" s="2"/>
      <c r="M965" s="1" t="s">
        <v>22</v>
      </c>
    </row>
    <row r="966" spans="1:13" ht="12.75" x14ac:dyDescent="0.2">
      <c r="A966" s="5">
        <v>3249689</v>
      </c>
      <c r="B966" s="6">
        <v>44112</v>
      </c>
      <c r="C966" s="6">
        <v>44112</v>
      </c>
      <c r="D966" s="5" t="s">
        <v>0</v>
      </c>
      <c r="E966" s="5" t="s">
        <v>33</v>
      </c>
      <c r="F966" s="5">
        <v>13</v>
      </c>
      <c r="G966" s="5" t="s">
        <v>6</v>
      </c>
      <c r="H966" s="5">
        <v>48</v>
      </c>
      <c r="I966" s="5" t="s">
        <v>2</v>
      </c>
      <c r="J966" s="6"/>
      <c r="K966" s="5" t="s">
        <v>121</v>
      </c>
      <c r="L966" s="6"/>
      <c r="M966" s="5" t="s">
        <v>4</v>
      </c>
    </row>
    <row r="967" spans="1:13" ht="12.75" x14ac:dyDescent="0.2">
      <c r="A967" s="1">
        <v>3653742</v>
      </c>
      <c r="B967" s="2">
        <v>44125</v>
      </c>
      <c r="C967" s="2">
        <v>44125</v>
      </c>
      <c r="D967" s="1" t="s">
        <v>5</v>
      </c>
      <c r="E967" s="1" t="s">
        <v>99</v>
      </c>
      <c r="G967" s="1" t="s">
        <v>1</v>
      </c>
      <c r="H967" s="1">
        <v>70</v>
      </c>
      <c r="I967" s="1" t="s">
        <v>21</v>
      </c>
      <c r="J967" s="2"/>
      <c r="K967" s="1" t="s">
        <v>121</v>
      </c>
      <c r="L967" s="2"/>
      <c r="M967" s="5" t="s">
        <v>20</v>
      </c>
    </row>
    <row r="968" spans="1:13" ht="12.75" x14ac:dyDescent="0.2">
      <c r="A968" s="5">
        <v>2664624</v>
      </c>
      <c r="B968" s="6">
        <v>44090</v>
      </c>
      <c r="C968" s="6">
        <v>44090</v>
      </c>
      <c r="D968" s="5" t="s">
        <v>0</v>
      </c>
      <c r="E968" s="5" t="s">
        <v>7</v>
      </c>
      <c r="F968" s="5">
        <v>3</v>
      </c>
      <c r="G968" s="5" t="s">
        <v>6</v>
      </c>
      <c r="H968" s="5">
        <v>51</v>
      </c>
      <c r="I968" s="5" t="s">
        <v>21</v>
      </c>
      <c r="J968" s="6"/>
      <c r="K968" s="5" t="s">
        <v>121</v>
      </c>
      <c r="L968" s="6"/>
      <c r="M968" s="5" t="s">
        <v>20</v>
      </c>
    </row>
    <row r="969" spans="1:13" ht="12.75" x14ac:dyDescent="0.2">
      <c r="A969" s="1">
        <v>5532989</v>
      </c>
      <c r="B969" s="2">
        <v>44187</v>
      </c>
      <c r="C969" s="2">
        <v>44187</v>
      </c>
      <c r="D969" s="1" t="s">
        <v>0</v>
      </c>
      <c r="E969" s="1" t="s">
        <v>13</v>
      </c>
      <c r="F969" s="1">
        <v>2</v>
      </c>
      <c r="G969" s="1" t="s">
        <v>6</v>
      </c>
      <c r="H969" s="1">
        <v>50</v>
      </c>
      <c r="I969" s="1" t="s">
        <v>15</v>
      </c>
      <c r="J969" s="2"/>
      <c r="K969" s="1" t="s">
        <v>121</v>
      </c>
      <c r="L969" s="2"/>
    </row>
    <row r="970" spans="1:13" ht="12.75" x14ac:dyDescent="0.2">
      <c r="A970" s="5">
        <v>3285954</v>
      </c>
      <c r="B970" s="6">
        <v>44111</v>
      </c>
      <c r="C970" s="6">
        <v>44111</v>
      </c>
      <c r="D970" s="5" t="s">
        <v>5</v>
      </c>
      <c r="E970" s="5" t="s">
        <v>90</v>
      </c>
      <c r="F970" s="5"/>
      <c r="G970" s="5" t="s">
        <v>6</v>
      </c>
      <c r="H970" s="5">
        <v>36</v>
      </c>
      <c r="I970" s="5" t="s">
        <v>2</v>
      </c>
      <c r="J970" s="6"/>
      <c r="K970" s="5" t="s">
        <v>121</v>
      </c>
      <c r="L970" s="6"/>
      <c r="M970" s="5" t="s">
        <v>4</v>
      </c>
    </row>
    <row r="971" spans="1:13" ht="12.75" x14ac:dyDescent="0.2">
      <c r="A971" s="1">
        <v>4483478</v>
      </c>
      <c r="B971" s="2">
        <v>44151</v>
      </c>
      <c r="C971" s="2">
        <v>44152</v>
      </c>
      <c r="D971" s="1" t="s">
        <v>0</v>
      </c>
      <c r="E971" s="1" t="s">
        <v>8</v>
      </c>
      <c r="F971" s="1">
        <v>7</v>
      </c>
      <c r="G971" s="1" t="s">
        <v>1</v>
      </c>
      <c r="H971" s="1">
        <v>96</v>
      </c>
      <c r="I971" s="1" t="s">
        <v>15</v>
      </c>
      <c r="J971" s="2"/>
      <c r="K971" s="1" t="s">
        <v>121</v>
      </c>
      <c r="L971" s="2"/>
    </row>
    <row r="972" spans="1:13" ht="12.75" x14ac:dyDescent="0.2">
      <c r="A972" s="5">
        <v>1919843</v>
      </c>
      <c r="B972" s="6">
        <v>43971</v>
      </c>
      <c r="C972" s="6">
        <v>43971</v>
      </c>
      <c r="D972" s="5" t="s">
        <v>0</v>
      </c>
      <c r="E972" s="5" t="s">
        <v>69</v>
      </c>
      <c r="F972" s="5">
        <v>1</v>
      </c>
      <c r="G972" s="5" t="s">
        <v>6</v>
      </c>
      <c r="H972" s="5">
        <v>38</v>
      </c>
      <c r="I972" s="5" t="s">
        <v>15</v>
      </c>
      <c r="J972" s="6"/>
      <c r="K972" s="5" t="s">
        <v>121</v>
      </c>
      <c r="L972" s="6"/>
      <c r="M972" s="5"/>
    </row>
    <row r="973" spans="1:13" ht="12.75" x14ac:dyDescent="0.2">
      <c r="A973" s="1">
        <v>1508549</v>
      </c>
      <c r="B973" s="2">
        <v>44036</v>
      </c>
      <c r="C973" s="2">
        <v>44038</v>
      </c>
      <c r="D973" s="1" t="s">
        <v>0</v>
      </c>
      <c r="E973" s="1" t="s">
        <v>16</v>
      </c>
      <c r="F973" s="1">
        <v>15</v>
      </c>
      <c r="G973" s="1" t="s">
        <v>6</v>
      </c>
      <c r="H973" s="1">
        <v>53</v>
      </c>
      <c r="I973" s="1" t="s">
        <v>2</v>
      </c>
      <c r="J973" s="2"/>
      <c r="K973" s="1" t="s">
        <v>121</v>
      </c>
      <c r="L973" s="2"/>
      <c r="M973" s="1" t="s">
        <v>4</v>
      </c>
    </row>
    <row r="974" spans="1:13" ht="12.75" x14ac:dyDescent="0.2">
      <c r="A974" s="5">
        <v>2534387</v>
      </c>
      <c r="B974" s="6">
        <v>44085</v>
      </c>
      <c r="C974" s="6">
        <v>44096</v>
      </c>
      <c r="D974" s="5" t="s">
        <v>0</v>
      </c>
      <c r="E974" s="5" t="s">
        <v>38</v>
      </c>
      <c r="F974" s="5">
        <v>12</v>
      </c>
      <c r="G974" s="5" t="s">
        <v>1</v>
      </c>
      <c r="H974" s="5">
        <v>42</v>
      </c>
      <c r="I974" s="5" t="s">
        <v>2</v>
      </c>
      <c r="J974" s="6"/>
      <c r="K974" s="5" t="s">
        <v>121</v>
      </c>
      <c r="L974" s="6"/>
      <c r="M974" s="5" t="s">
        <v>4</v>
      </c>
    </row>
    <row r="975" spans="1:13" ht="12.75" x14ac:dyDescent="0.2">
      <c r="A975" s="1">
        <v>3612652</v>
      </c>
      <c r="B975" s="2">
        <v>44123</v>
      </c>
      <c r="C975" s="2">
        <v>44124</v>
      </c>
      <c r="D975" s="1" t="s">
        <v>0</v>
      </c>
      <c r="E975" s="1" t="s">
        <v>24</v>
      </c>
      <c r="F975" s="1">
        <v>9</v>
      </c>
      <c r="G975" s="1" t="s">
        <v>6</v>
      </c>
      <c r="H975" s="1">
        <v>22</v>
      </c>
      <c r="I975" s="1" t="s">
        <v>15</v>
      </c>
      <c r="J975" s="2"/>
      <c r="K975" s="1" t="s">
        <v>121</v>
      </c>
      <c r="L975" s="2"/>
    </row>
    <row r="976" spans="1:13" ht="12.75" x14ac:dyDescent="0.2">
      <c r="A976" s="5">
        <v>2188645</v>
      </c>
      <c r="B976" s="6">
        <v>44070</v>
      </c>
      <c r="C976" s="6">
        <v>44071</v>
      </c>
      <c r="D976" s="5" t="s">
        <v>5</v>
      </c>
      <c r="E976" s="5" t="s">
        <v>97</v>
      </c>
      <c r="F976" s="5"/>
      <c r="G976" s="5" t="s">
        <v>1</v>
      </c>
      <c r="H976" s="5">
        <v>42</v>
      </c>
      <c r="I976" s="5" t="s">
        <v>2</v>
      </c>
      <c r="J976" s="6"/>
      <c r="K976" s="5" t="s">
        <v>121</v>
      </c>
      <c r="L976" s="6"/>
      <c r="M976" s="5" t="s">
        <v>4</v>
      </c>
    </row>
    <row r="977" spans="1:13" ht="12.75" x14ac:dyDescent="0.2">
      <c r="A977" s="1">
        <v>2925637</v>
      </c>
      <c r="B977" s="2">
        <v>44099</v>
      </c>
      <c r="C977" s="2">
        <v>44100</v>
      </c>
      <c r="D977" s="1" t="s">
        <v>5</v>
      </c>
      <c r="E977" s="1" t="s">
        <v>90</v>
      </c>
      <c r="G977" s="1" t="s">
        <v>6</v>
      </c>
      <c r="H977" s="1">
        <v>64</v>
      </c>
      <c r="I977" s="1" t="s">
        <v>2</v>
      </c>
      <c r="J977" s="2"/>
      <c r="K977" s="1" t="s">
        <v>121</v>
      </c>
      <c r="L977" s="2"/>
      <c r="M977" s="1" t="s">
        <v>4</v>
      </c>
    </row>
    <row r="978" spans="1:13" ht="12.75" x14ac:dyDescent="0.2">
      <c r="A978" s="5">
        <v>1373565</v>
      </c>
      <c r="B978" s="6">
        <v>44027</v>
      </c>
      <c r="C978" s="6">
        <v>44027</v>
      </c>
      <c r="D978" s="5" t="s">
        <v>0</v>
      </c>
      <c r="E978" s="5" t="s">
        <v>10</v>
      </c>
      <c r="F978" s="5">
        <v>5</v>
      </c>
      <c r="G978" s="5" t="s">
        <v>6</v>
      </c>
      <c r="H978" s="5">
        <v>14</v>
      </c>
      <c r="I978" s="5" t="s">
        <v>15</v>
      </c>
      <c r="J978" s="6"/>
      <c r="K978" s="5" t="s">
        <v>121</v>
      </c>
      <c r="L978" s="6"/>
      <c r="M978" s="5"/>
    </row>
    <row r="979" spans="1:13" ht="12.75" x14ac:dyDescent="0.2">
      <c r="A979" s="1">
        <v>983487</v>
      </c>
      <c r="B979" s="2">
        <v>43977</v>
      </c>
      <c r="C979" s="2">
        <v>43979</v>
      </c>
      <c r="D979" s="1" t="s">
        <v>5</v>
      </c>
      <c r="E979" s="1" t="s">
        <v>91</v>
      </c>
      <c r="G979" s="1" t="s">
        <v>1</v>
      </c>
      <c r="H979" s="1">
        <v>39</v>
      </c>
      <c r="I979" s="1" t="s">
        <v>15</v>
      </c>
      <c r="J979" s="2"/>
      <c r="K979" s="1" t="s">
        <v>121</v>
      </c>
      <c r="L979" s="2"/>
    </row>
    <row r="980" spans="1:13" ht="12.75" x14ac:dyDescent="0.2">
      <c r="A980" s="5">
        <v>1637731</v>
      </c>
      <c r="B980" s="6">
        <v>44044</v>
      </c>
      <c r="C980" s="6">
        <v>44044</v>
      </c>
      <c r="D980" s="5" t="s">
        <v>5</v>
      </c>
      <c r="E980" s="5" t="s">
        <v>95</v>
      </c>
      <c r="F980" s="5"/>
      <c r="G980" s="5" t="s">
        <v>1</v>
      </c>
      <c r="H980" s="5">
        <v>41</v>
      </c>
      <c r="I980" s="5" t="s">
        <v>2</v>
      </c>
      <c r="J980" s="6"/>
      <c r="K980" s="5" t="s">
        <v>121</v>
      </c>
      <c r="L980" s="6">
        <v>44044</v>
      </c>
      <c r="M980" s="5" t="s">
        <v>22</v>
      </c>
    </row>
    <row r="981" spans="1:13" ht="12.75" x14ac:dyDescent="0.2">
      <c r="A981" s="1">
        <v>2680341</v>
      </c>
      <c r="B981" s="2">
        <v>44090</v>
      </c>
      <c r="C981" s="2">
        <v>44091</v>
      </c>
      <c r="D981" s="1" t="s">
        <v>0</v>
      </c>
      <c r="E981" s="1" t="s">
        <v>7</v>
      </c>
      <c r="F981" s="1">
        <v>3</v>
      </c>
      <c r="G981" s="1" t="s">
        <v>6</v>
      </c>
      <c r="H981" s="1">
        <v>35</v>
      </c>
      <c r="I981" s="1" t="s">
        <v>15</v>
      </c>
      <c r="J981" s="2"/>
      <c r="K981" s="1" t="s">
        <v>121</v>
      </c>
      <c r="L981" s="2"/>
    </row>
    <row r="982" spans="1:13" ht="12.75" x14ac:dyDescent="0.2">
      <c r="A982" s="5">
        <v>3539021</v>
      </c>
      <c r="B982" s="6">
        <v>44118</v>
      </c>
      <c r="C982" s="6">
        <v>44118</v>
      </c>
      <c r="D982" s="5" t="s">
        <v>5</v>
      </c>
      <c r="E982" s="5" t="s">
        <v>95</v>
      </c>
      <c r="F982" s="5"/>
      <c r="G982" s="5" t="s">
        <v>1</v>
      </c>
      <c r="H982" s="5">
        <v>27</v>
      </c>
      <c r="I982" s="5" t="s">
        <v>15</v>
      </c>
      <c r="J982" s="6"/>
      <c r="K982" s="5" t="s">
        <v>121</v>
      </c>
      <c r="L982" s="6"/>
      <c r="M982" s="5"/>
    </row>
    <row r="983" spans="1:13" ht="12.75" x14ac:dyDescent="0.2">
      <c r="A983" s="1">
        <v>1452590</v>
      </c>
      <c r="B983" s="2">
        <v>44033</v>
      </c>
      <c r="C983" s="2">
        <v>44033</v>
      </c>
      <c r="D983" s="1" t="s">
        <v>5</v>
      </c>
      <c r="E983" s="1" t="s">
        <v>92</v>
      </c>
      <c r="G983" s="1" t="s">
        <v>1</v>
      </c>
      <c r="H983" s="1">
        <v>50</v>
      </c>
      <c r="I983" s="1" t="s">
        <v>21</v>
      </c>
      <c r="J983" s="2"/>
      <c r="K983" s="1" t="s">
        <v>121</v>
      </c>
      <c r="L983" s="2"/>
      <c r="M983" s="5" t="s">
        <v>20</v>
      </c>
    </row>
    <row r="984" spans="1:13" ht="12.75" x14ac:dyDescent="0.2">
      <c r="A984" s="5">
        <v>1119507</v>
      </c>
      <c r="B984" s="6">
        <v>44001</v>
      </c>
      <c r="C984" s="6">
        <v>44001</v>
      </c>
      <c r="D984" s="5" t="s">
        <v>0</v>
      </c>
      <c r="E984" s="5" t="s">
        <v>13</v>
      </c>
      <c r="F984" s="5">
        <v>2</v>
      </c>
      <c r="G984" s="5" t="s">
        <v>6</v>
      </c>
      <c r="H984" s="5">
        <v>32</v>
      </c>
      <c r="I984" s="5" t="s">
        <v>2</v>
      </c>
      <c r="J984" s="6"/>
      <c r="K984" s="5" t="s">
        <v>121</v>
      </c>
      <c r="L984" s="6"/>
      <c r="M984" s="5" t="s">
        <v>20</v>
      </c>
    </row>
    <row r="985" spans="1:13" ht="12.75" x14ac:dyDescent="0.2">
      <c r="A985" s="1">
        <v>1538615</v>
      </c>
      <c r="B985" s="2">
        <v>44039</v>
      </c>
      <c r="C985" s="2">
        <v>44039</v>
      </c>
      <c r="D985" s="1" t="s">
        <v>5</v>
      </c>
      <c r="E985" s="1" t="s">
        <v>102</v>
      </c>
      <c r="G985" s="1" t="s">
        <v>1</v>
      </c>
      <c r="H985" s="1">
        <v>19</v>
      </c>
      <c r="I985" s="1" t="s">
        <v>15</v>
      </c>
      <c r="J985" s="2"/>
      <c r="K985" s="1" t="s">
        <v>121</v>
      </c>
      <c r="L985" s="2"/>
    </row>
    <row r="986" spans="1:13" ht="12.75" x14ac:dyDescent="0.2">
      <c r="A986" s="5">
        <v>1863629</v>
      </c>
      <c r="B986" s="6">
        <v>44054</v>
      </c>
      <c r="C986" s="6">
        <v>44056</v>
      </c>
      <c r="D986" s="5" t="s">
        <v>5</v>
      </c>
      <c r="E986" s="5" t="s">
        <v>76</v>
      </c>
      <c r="F986" s="5"/>
      <c r="G986" s="5" t="s">
        <v>6</v>
      </c>
      <c r="H986" s="5">
        <v>66</v>
      </c>
      <c r="I986" s="5" t="s">
        <v>2</v>
      </c>
      <c r="J986" s="6"/>
      <c r="K986" s="5" t="s">
        <v>121</v>
      </c>
      <c r="L986" s="6"/>
      <c r="M986" s="5" t="s">
        <v>4</v>
      </c>
    </row>
    <row r="987" spans="1:13" ht="12.75" x14ac:dyDescent="0.2">
      <c r="A987" s="1">
        <v>5253377</v>
      </c>
      <c r="B987" s="2">
        <v>44175</v>
      </c>
      <c r="C987" s="2">
        <v>44175</v>
      </c>
      <c r="D987" s="1" t="s">
        <v>0</v>
      </c>
      <c r="E987" s="1" t="s">
        <v>53</v>
      </c>
      <c r="F987" s="1">
        <v>11</v>
      </c>
      <c r="G987" s="1" t="s">
        <v>1</v>
      </c>
      <c r="H987" s="1">
        <v>61</v>
      </c>
      <c r="I987" s="1" t="s">
        <v>15</v>
      </c>
      <c r="J987" s="2"/>
      <c r="K987" s="1" t="s">
        <v>121</v>
      </c>
      <c r="L987" s="2"/>
    </row>
    <row r="988" spans="1:13" ht="12.75" x14ac:dyDescent="0.2">
      <c r="A988" s="5">
        <v>2229069</v>
      </c>
      <c r="B988" s="6">
        <v>44073</v>
      </c>
      <c r="C988" s="6">
        <v>44073</v>
      </c>
      <c r="D988" s="5" t="s">
        <v>0</v>
      </c>
      <c r="E988" s="5" t="s">
        <v>18</v>
      </c>
      <c r="F988" s="5">
        <v>8</v>
      </c>
      <c r="G988" s="5" t="s">
        <v>6</v>
      </c>
      <c r="H988" s="5">
        <v>57</v>
      </c>
      <c r="I988" s="5" t="s">
        <v>15</v>
      </c>
      <c r="J988" s="6"/>
      <c r="K988" s="5" t="s">
        <v>121</v>
      </c>
      <c r="L988" s="6"/>
      <c r="M988" s="5"/>
    </row>
    <row r="989" spans="1:13" ht="12.75" x14ac:dyDescent="0.2">
      <c r="A989" s="1">
        <v>1225620</v>
      </c>
      <c r="B989" s="2">
        <v>44013</v>
      </c>
      <c r="C989" s="2">
        <v>44013</v>
      </c>
      <c r="D989" s="1" t="s">
        <v>0</v>
      </c>
      <c r="E989" s="1" t="s">
        <v>24</v>
      </c>
      <c r="F989" s="1">
        <v>9</v>
      </c>
      <c r="G989" s="1" t="s">
        <v>1</v>
      </c>
      <c r="H989" s="1">
        <v>74</v>
      </c>
      <c r="I989" s="1" t="s">
        <v>2</v>
      </c>
      <c r="J989" s="2"/>
      <c r="K989" s="1" t="s">
        <v>121</v>
      </c>
      <c r="L989" s="2">
        <v>44020</v>
      </c>
      <c r="M989" s="1" t="s">
        <v>9</v>
      </c>
    </row>
    <row r="990" spans="1:13" ht="12.75" x14ac:dyDescent="0.2">
      <c r="A990" s="5">
        <v>5069066</v>
      </c>
      <c r="B990" s="6">
        <v>44173</v>
      </c>
      <c r="C990" s="6">
        <v>44174</v>
      </c>
      <c r="D990" s="5" t="s">
        <v>5</v>
      </c>
      <c r="E990" s="5" t="s">
        <v>92</v>
      </c>
      <c r="F990" s="5"/>
      <c r="G990" s="5" t="s">
        <v>1</v>
      </c>
      <c r="H990" s="5">
        <v>31</v>
      </c>
      <c r="I990" s="5" t="s">
        <v>15</v>
      </c>
      <c r="J990" s="6"/>
      <c r="K990" s="5" t="s">
        <v>121</v>
      </c>
      <c r="L990" s="6"/>
      <c r="M990" s="5"/>
    </row>
    <row r="991" spans="1:13" ht="12.75" x14ac:dyDescent="0.2">
      <c r="A991" s="1">
        <v>5369289</v>
      </c>
      <c r="B991" s="2">
        <v>44182</v>
      </c>
      <c r="C991" s="2">
        <v>44182</v>
      </c>
      <c r="D991" s="1" t="s">
        <v>0</v>
      </c>
      <c r="E991" s="1" t="s">
        <v>10</v>
      </c>
      <c r="F991" s="1">
        <v>5</v>
      </c>
      <c r="G991" s="1" t="s">
        <v>6</v>
      </c>
      <c r="H991" s="1">
        <v>43</v>
      </c>
      <c r="I991" s="1" t="s">
        <v>2</v>
      </c>
      <c r="J991" s="2"/>
      <c r="K991" s="1" t="s">
        <v>121</v>
      </c>
      <c r="L991" s="2">
        <v>44185</v>
      </c>
      <c r="M991" s="1" t="s">
        <v>4</v>
      </c>
    </row>
    <row r="992" spans="1:13" ht="12.75" x14ac:dyDescent="0.2">
      <c r="A992" s="5">
        <v>1227276</v>
      </c>
      <c r="B992" s="6">
        <v>44012</v>
      </c>
      <c r="C992" s="6">
        <v>44017</v>
      </c>
      <c r="D992" s="5" t="s">
        <v>5</v>
      </c>
      <c r="E992" s="5" t="s">
        <v>74</v>
      </c>
      <c r="F992" s="5"/>
      <c r="G992" s="5" t="s">
        <v>6</v>
      </c>
      <c r="H992" s="5">
        <v>36</v>
      </c>
      <c r="I992" s="5" t="s">
        <v>2</v>
      </c>
      <c r="J992" s="6"/>
      <c r="K992" s="5" t="s">
        <v>121</v>
      </c>
      <c r="L992" s="6"/>
      <c r="M992" s="5" t="s">
        <v>22</v>
      </c>
    </row>
    <row r="993" spans="1:13" ht="12.75" x14ac:dyDescent="0.2">
      <c r="A993" s="1">
        <v>1461279</v>
      </c>
      <c r="B993" s="2">
        <v>44033</v>
      </c>
      <c r="C993" s="2">
        <v>44034</v>
      </c>
      <c r="D993" s="1" t="s">
        <v>5</v>
      </c>
      <c r="E993" s="1" t="s">
        <v>76</v>
      </c>
      <c r="G993" s="1" t="s">
        <v>1</v>
      </c>
      <c r="H993" s="1">
        <v>44</v>
      </c>
      <c r="I993" s="1" t="s">
        <v>2</v>
      </c>
      <c r="J993" s="2"/>
      <c r="K993" s="1" t="s">
        <v>121</v>
      </c>
      <c r="L993" s="2">
        <v>44040</v>
      </c>
      <c r="M993" s="1" t="s">
        <v>4</v>
      </c>
    </row>
    <row r="994" spans="1:13" ht="12.75" x14ac:dyDescent="0.2">
      <c r="A994" s="5">
        <v>5497891</v>
      </c>
      <c r="B994" s="6">
        <v>44183</v>
      </c>
      <c r="C994" s="6">
        <v>44183</v>
      </c>
      <c r="D994" s="5" t="s">
        <v>0</v>
      </c>
      <c r="E994" s="5" t="s">
        <v>13</v>
      </c>
      <c r="F994" s="5">
        <v>2</v>
      </c>
      <c r="G994" s="5" t="s">
        <v>1</v>
      </c>
      <c r="H994" s="5">
        <v>37</v>
      </c>
      <c r="I994" s="5" t="s">
        <v>15</v>
      </c>
      <c r="J994" s="6"/>
      <c r="K994" s="5" t="s">
        <v>121</v>
      </c>
      <c r="L994" s="6"/>
      <c r="M994" s="5"/>
    </row>
    <row r="995" spans="1:13" ht="12.75" x14ac:dyDescent="0.2">
      <c r="A995" s="1">
        <v>1187943</v>
      </c>
      <c r="B995" s="2">
        <v>44008</v>
      </c>
      <c r="C995" s="2">
        <v>44008</v>
      </c>
      <c r="D995" s="1" t="s">
        <v>0</v>
      </c>
      <c r="E995" s="1" t="s">
        <v>41</v>
      </c>
      <c r="F995" s="1">
        <v>4</v>
      </c>
      <c r="G995" s="1" t="s">
        <v>1</v>
      </c>
      <c r="H995" s="1">
        <v>27</v>
      </c>
      <c r="I995" s="1" t="s">
        <v>2</v>
      </c>
      <c r="J995" s="2"/>
      <c r="K995" s="1" t="s">
        <v>121</v>
      </c>
      <c r="L995" s="2">
        <v>44018</v>
      </c>
      <c r="M995" s="1" t="s">
        <v>9</v>
      </c>
    </row>
    <row r="996" spans="1:13" ht="12.75" x14ac:dyDescent="0.2">
      <c r="A996" s="5">
        <v>1438346</v>
      </c>
      <c r="B996" s="6">
        <v>44032</v>
      </c>
      <c r="C996" s="6">
        <v>44032</v>
      </c>
      <c r="D996" s="5" t="s">
        <v>0</v>
      </c>
      <c r="E996" s="5" t="s">
        <v>50</v>
      </c>
      <c r="F996" s="5">
        <v>1</v>
      </c>
      <c r="G996" s="5" t="s">
        <v>6</v>
      </c>
      <c r="H996" s="5">
        <v>7</v>
      </c>
      <c r="I996" s="5" t="s">
        <v>15</v>
      </c>
      <c r="J996" s="6"/>
      <c r="K996" s="5" t="s">
        <v>121</v>
      </c>
      <c r="L996" s="6"/>
      <c r="M996" s="5"/>
    </row>
    <row r="997" spans="1:13" ht="12.75" x14ac:dyDescent="0.2">
      <c r="A997" s="1">
        <v>3955031</v>
      </c>
      <c r="B997" s="2">
        <v>44134</v>
      </c>
      <c r="C997" s="2">
        <v>44135</v>
      </c>
      <c r="D997" s="1" t="s">
        <v>0</v>
      </c>
      <c r="E997" s="1" t="s">
        <v>56</v>
      </c>
      <c r="F997" s="1">
        <v>10</v>
      </c>
      <c r="G997" s="1" t="s">
        <v>1</v>
      </c>
      <c r="H997" s="1">
        <v>88</v>
      </c>
      <c r="I997" s="1" t="s">
        <v>15</v>
      </c>
      <c r="J997" s="2"/>
      <c r="K997" s="1" t="s">
        <v>121</v>
      </c>
      <c r="L997" s="2"/>
    </row>
    <row r="998" spans="1:13" ht="12.75" x14ac:dyDescent="0.2">
      <c r="A998" s="5">
        <v>5182531</v>
      </c>
      <c r="B998" s="6">
        <v>44174</v>
      </c>
      <c r="C998" s="6">
        <v>44174</v>
      </c>
      <c r="D998" s="5" t="s">
        <v>0</v>
      </c>
      <c r="E998" s="5" t="s">
        <v>28</v>
      </c>
      <c r="F998" s="5">
        <v>11</v>
      </c>
      <c r="G998" s="5" t="s">
        <v>6</v>
      </c>
      <c r="H998" s="5">
        <v>26</v>
      </c>
      <c r="I998" s="5" t="s">
        <v>2</v>
      </c>
      <c r="J998" s="6"/>
      <c r="K998" s="5" t="s">
        <v>121</v>
      </c>
      <c r="L998" s="6"/>
      <c r="M998" s="5" t="s">
        <v>4</v>
      </c>
    </row>
    <row r="999" spans="1:13" ht="12.75" x14ac:dyDescent="0.2">
      <c r="A999" s="1">
        <v>5473247</v>
      </c>
      <c r="B999" s="2">
        <v>44186</v>
      </c>
      <c r="C999" s="2">
        <v>44186</v>
      </c>
      <c r="D999" s="1" t="s">
        <v>67</v>
      </c>
      <c r="E999" s="1" t="s">
        <v>114</v>
      </c>
      <c r="G999" s="1" t="s">
        <v>6</v>
      </c>
      <c r="H999" s="1">
        <v>13</v>
      </c>
      <c r="I999" s="1" t="s">
        <v>15</v>
      </c>
      <c r="J999" s="2"/>
      <c r="K999" s="1" t="s">
        <v>121</v>
      </c>
      <c r="L999" s="2"/>
    </row>
    <row r="1000" spans="1:13" ht="12.75" x14ac:dyDescent="0.2">
      <c r="A1000" s="5">
        <v>1957864</v>
      </c>
      <c r="B1000" s="6">
        <v>44061</v>
      </c>
      <c r="C1000" s="6">
        <v>44061</v>
      </c>
      <c r="D1000" s="5" t="s">
        <v>0</v>
      </c>
      <c r="E1000" s="5" t="s">
        <v>45</v>
      </c>
      <c r="F1000" s="5">
        <v>4</v>
      </c>
      <c r="G1000" s="5" t="s">
        <v>1</v>
      </c>
      <c r="H1000" s="5">
        <v>30</v>
      </c>
      <c r="I1000" s="5" t="s">
        <v>2</v>
      </c>
      <c r="J1000" s="6"/>
      <c r="K1000" s="5" t="s">
        <v>121</v>
      </c>
      <c r="L1000" s="6">
        <v>44062</v>
      </c>
      <c r="M1000" s="5" t="s">
        <v>4</v>
      </c>
    </row>
    <row r="1001" spans="1:13" ht="12.75" x14ac:dyDescent="0.2">
      <c r="A1001" s="7">
        <v>1237215</v>
      </c>
      <c r="B1001" s="8">
        <v>44014</v>
      </c>
      <c r="C1001" s="8">
        <v>44014</v>
      </c>
      <c r="D1001" s="7" t="s">
        <v>0</v>
      </c>
      <c r="E1001" s="7" t="s">
        <v>27</v>
      </c>
      <c r="F1001" s="7">
        <v>4</v>
      </c>
      <c r="G1001" s="7" t="s">
        <v>1</v>
      </c>
      <c r="H1001" s="7">
        <v>44</v>
      </c>
      <c r="I1001" s="7" t="s">
        <v>2</v>
      </c>
      <c r="J1001" s="7"/>
      <c r="K1001" s="7" t="s">
        <v>121</v>
      </c>
      <c r="L1001" s="8"/>
      <c r="M1001" s="7" t="s">
        <v>9</v>
      </c>
    </row>
    <row r="1002" spans="1:13" ht="15.75" customHeight="1" x14ac:dyDescent="0.2">
      <c r="A1002">
        <v>1472503</v>
      </c>
      <c r="B1002" s="9">
        <v>44034</v>
      </c>
      <c r="C1002" s="9">
        <v>44034</v>
      </c>
      <c r="D1002" t="s">
        <v>0</v>
      </c>
      <c r="E1002" t="s">
        <v>26</v>
      </c>
      <c r="F1002">
        <v>4</v>
      </c>
      <c r="G1002" t="s">
        <v>6</v>
      </c>
      <c r="H1002">
        <v>13</v>
      </c>
      <c r="I1002" t="s">
        <v>2</v>
      </c>
      <c r="K1002" s="1" t="s">
        <v>121</v>
      </c>
      <c r="M1002" t="s">
        <v>9</v>
      </c>
    </row>
    <row r="1003" spans="1:13" ht="15.75" customHeight="1" x14ac:dyDescent="0.2">
      <c r="A1003">
        <v>1472893</v>
      </c>
      <c r="B1003" s="9">
        <v>44034</v>
      </c>
      <c r="C1003" s="9">
        <v>44034</v>
      </c>
      <c r="D1003" t="s">
        <v>0</v>
      </c>
      <c r="E1003" t="s">
        <v>45</v>
      </c>
      <c r="F1003">
        <v>4</v>
      </c>
      <c r="G1003" t="s">
        <v>1</v>
      </c>
      <c r="H1003">
        <v>9</v>
      </c>
      <c r="I1003" t="s">
        <v>2</v>
      </c>
      <c r="K1003" s="1" t="s">
        <v>121</v>
      </c>
      <c r="M1003" t="s">
        <v>9</v>
      </c>
    </row>
    <row r="1004" spans="1:13" ht="15.75" customHeight="1" x14ac:dyDescent="0.2">
      <c r="A1004">
        <v>1472985</v>
      </c>
      <c r="B1004" s="9">
        <v>44034</v>
      </c>
      <c r="C1004" s="9">
        <v>44034</v>
      </c>
      <c r="D1004" t="s">
        <v>0</v>
      </c>
      <c r="E1004" t="s">
        <v>45</v>
      </c>
      <c r="F1004">
        <v>4</v>
      </c>
      <c r="G1004" t="s">
        <v>1</v>
      </c>
      <c r="H1004">
        <v>13</v>
      </c>
      <c r="I1004" t="s">
        <v>2</v>
      </c>
      <c r="K1004" s="1" t="s">
        <v>121</v>
      </c>
      <c r="M1004" t="s">
        <v>20</v>
      </c>
    </row>
    <row r="1005" spans="1:13" ht="15.75" customHeight="1" x14ac:dyDescent="0.2">
      <c r="A1005">
        <v>1473117</v>
      </c>
      <c r="B1005" s="9">
        <v>44034</v>
      </c>
      <c r="C1005" s="9">
        <v>44034</v>
      </c>
      <c r="D1005" t="s">
        <v>0</v>
      </c>
      <c r="E1005" t="s">
        <v>18</v>
      </c>
      <c r="F1005">
        <v>8</v>
      </c>
      <c r="G1005" t="s">
        <v>1</v>
      </c>
      <c r="H1005">
        <v>22</v>
      </c>
      <c r="I1005" t="s">
        <v>2</v>
      </c>
      <c r="K1005" s="1" t="s">
        <v>121</v>
      </c>
      <c r="M1005" t="s">
        <v>9</v>
      </c>
    </row>
    <row r="1006" spans="1:13" ht="15.75" customHeight="1" x14ac:dyDescent="0.2">
      <c r="A1006">
        <v>1473119</v>
      </c>
      <c r="B1006" s="9">
        <v>44034</v>
      </c>
      <c r="C1006" s="9">
        <v>44034</v>
      </c>
      <c r="D1006" t="s">
        <v>0</v>
      </c>
      <c r="E1006" t="s">
        <v>18</v>
      </c>
      <c r="F1006">
        <v>8</v>
      </c>
      <c r="G1006" t="s">
        <v>1</v>
      </c>
      <c r="H1006">
        <v>43</v>
      </c>
      <c r="I1006" t="s">
        <v>2</v>
      </c>
      <c r="K1006" s="1" t="s">
        <v>121</v>
      </c>
      <c r="M1006" t="s">
        <v>9</v>
      </c>
    </row>
    <row r="1007" spans="1:13" ht="15.75" customHeight="1" x14ac:dyDescent="0.2">
      <c r="A1007">
        <v>1473177</v>
      </c>
      <c r="B1007" s="9">
        <v>44034</v>
      </c>
      <c r="C1007" s="9">
        <v>44034</v>
      </c>
      <c r="D1007" t="s">
        <v>0</v>
      </c>
      <c r="E1007" t="s">
        <v>24</v>
      </c>
      <c r="F1007">
        <v>9</v>
      </c>
      <c r="G1007" t="s">
        <v>1</v>
      </c>
      <c r="H1007">
        <v>44</v>
      </c>
      <c r="I1007" t="s">
        <v>2</v>
      </c>
      <c r="K1007" s="1" t="s">
        <v>121</v>
      </c>
      <c r="M1007" t="s">
        <v>9</v>
      </c>
    </row>
    <row r="1008" spans="1:13" ht="15.75" customHeight="1" x14ac:dyDescent="0.2">
      <c r="A1008">
        <v>1473249</v>
      </c>
      <c r="B1008" s="9">
        <v>44034</v>
      </c>
      <c r="C1008" s="9">
        <v>44034</v>
      </c>
      <c r="D1008" t="s">
        <v>0</v>
      </c>
      <c r="E1008" t="s">
        <v>45</v>
      </c>
      <c r="F1008">
        <v>4</v>
      </c>
      <c r="G1008" t="s">
        <v>1</v>
      </c>
      <c r="H1008">
        <v>40</v>
      </c>
      <c r="I1008" t="s">
        <v>2</v>
      </c>
      <c r="K1008" s="1" t="s">
        <v>121</v>
      </c>
      <c r="M1008" t="s">
        <v>9</v>
      </c>
    </row>
    <row r="1009" spans="1:13" ht="15.75" customHeight="1" x14ac:dyDescent="0.2">
      <c r="A1009">
        <v>1473418</v>
      </c>
      <c r="B1009" s="9">
        <v>44034</v>
      </c>
      <c r="C1009" s="9">
        <v>44034</v>
      </c>
      <c r="D1009" t="s">
        <v>0</v>
      </c>
      <c r="E1009" t="s">
        <v>24</v>
      </c>
      <c r="F1009">
        <v>9</v>
      </c>
      <c r="G1009" t="s">
        <v>6</v>
      </c>
      <c r="H1009">
        <v>21</v>
      </c>
      <c r="I1009" t="s">
        <v>2</v>
      </c>
      <c r="K1009" s="1" t="s">
        <v>121</v>
      </c>
      <c r="M1009" t="s">
        <v>9</v>
      </c>
    </row>
    <row r="1010" spans="1:13" ht="15.75" customHeight="1" x14ac:dyDescent="0.2">
      <c r="A1010">
        <v>1473496</v>
      </c>
      <c r="B1010" s="9">
        <v>44034</v>
      </c>
      <c r="C1010" s="9">
        <v>44034</v>
      </c>
      <c r="D1010" t="s">
        <v>0</v>
      </c>
      <c r="E1010" t="s">
        <v>36</v>
      </c>
      <c r="F1010">
        <v>1</v>
      </c>
      <c r="G1010" t="s">
        <v>1</v>
      </c>
      <c r="H1010">
        <v>45</v>
      </c>
      <c r="I1010" t="s">
        <v>2</v>
      </c>
      <c r="K1010" s="1" t="s">
        <v>121</v>
      </c>
      <c r="M1010" t="s">
        <v>9</v>
      </c>
    </row>
    <row r="1011" spans="1:13" ht="15.75" customHeight="1" x14ac:dyDescent="0.2">
      <c r="A1011">
        <v>1473561</v>
      </c>
      <c r="B1011" s="9">
        <v>44034</v>
      </c>
      <c r="C1011" s="9">
        <v>44034</v>
      </c>
      <c r="D1011" t="s">
        <v>0</v>
      </c>
      <c r="E1011" t="s">
        <v>24</v>
      </c>
      <c r="F1011">
        <v>9</v>
      </c>
      <c r="G1011" t="s">
        <v>1</v>
      </c>
      <c r="H1011">
        <v>19</v>
      </c>
      <c r="I1011" t="s">
        <v>2</v>
      </c>
      <c r="K1011" s="1" t="s">
        <v>121</v>
      </c>
      <c r="M1011" t="s">
        <v>9</v>
      </c>
    </row>
    <row r="1012" spans="1:13" ht="15.75" customHeight="1" x14ac:dyDescent="0.2">
      <c r="A1012">
        <v>1473572</v>
      </c>
      <c r="B1012" s="9">
        <v>44034</v>
      </c>
      <c r="C1012" s="9">
        <v>44035</v>
      </c>
      <c r="D1012" t="s">
        <v>0</v>
      </c>
      <c r="E1012" t="s">
        <v>14</v>
      </c>
      <c r="F1012">
        <v>14</v>
      </c>
      <c r="G1012" t="s">
        <v>6</v>
      </c>
      <c r="H1012">
        <v>32</v>
      </c>
      <c r="I1012" t="s">
        <v>2</v>
      </c>
      <c r="K1012" s="1" t="s">
        <v>121</v>
      </c>
      <c r="M1012" t="s">
        <v>9</v>
      </c>
    </row>
    <row r="1013" spans="1:13" ht="15.75" customHeight="1" x14ac:dyDescent="0.2">
      <c r="A1013">
        <v>1473587</v>
      </c>
      <c r="B1013" s="9">
        <v>44034</v>
      </c>
      <c r="C1013" s="9">
        <v>44034</v>
      </c>
      <c r="D1013" t="s">
        <v>0</v>
      </c>
      <c r="E1013" t="s">
        <v>14</v>
      </c>
      <c r="F1013">
        <v>14</v>
      </c>
      <c r="G1013" t="s">
        <v>1</v>
      </c>
      <c r="H1013">
        <v>67</v>
      </c>
      <c r="I1013" t="s">
        <v>2</v>
      </c>
      <c r="K1013" s="1" t="s">
        <v>121</v>
      </c>
      <c r="M1013" t="s">
        <v>9</v>
      </c>
    </row>
    <row r="1014" spans="1:13" ht="15.75" customHeight="1" x14ac:dyDescent="0.2">
      <c r="A1014">
        <v>1473626</v>
      </c>
      <c r="B1014" s="9">
        <v>44034</v>
      </c>
      <c r="C1014" s="9">
        <v>44035</v>
      </c>
      <c r="D1014" t="s">
        <v>0</v>
      </c>
      <c r="E1014" t="s">
        <v>41</v>
      </c>
      <c r="F1014">
        <v>4</v>
      </c>
      <c r="G1014" t="s">
        <v>6</v>
      </c>
      <c r="H1014">
        <v>22</v>
      </c>
      <c r="I1014" t="s">
        <v>2</v>
      </c>
      <c r="K1014" s="1" t="s">
        <v>121</v>
      </c>
      <c r="M1014" t="s">
        <v>4</v>
      </c>
    </row>
    <row r="1015" spans="1:13" ht="15.75" customHeight="1" x14ac:dyDescent="0.2">
      <c r="A1015">
        <v>1473687</v>
      </c>
      <c r="B1015" s="9">
        <v>44034</v>
      </c>
      <c r="C1015" s="9">
        <v>44034</v>
      </c>
      <c r="D1015" t="s">
        <v>0</v>
      </c>
      <c r="E1015" t="s">
        <v>18</v>
      </c>
      <c r="F1015">
        <v>8</v>
      </c>
      <c r="G1015" t="s">
        <v>6</v>
      </c>
      <c r="H1015">
        <v>19</v>
      </c>
      <c r="I1015" t="s">
        <v>2</v>
      </c>
      <c r="K1015" s="1" t="s">
        <v>121</v>
      </c>
      <c r="M1015" t="s">
        <v>9</v>
      </c>
    </row>
    <row r="1016" spans="1:13" ht="15.75" customHeight="1" x14ac:dyDescent="0.2">
      <c r="A1016">
        <v>1473713</v>
      </c>
      <c r="B1016" s="9">
        <v>44034</v>
      </c>
      <c r="C1016" s="9">
        <v>44034</v>
      </c>
      <c r="D1016" t="s">
        <v>0</v>
      </c>
      <c r="E1016" t="s">
        <v>45</v>
      </c>
      <c r="F1016">
        <v>4</v>
      </c>
      <c r="G1016" t="s">
        <v>6</v>
      </c>
      <c r="H1016">
        <v>2</v>
      </c>
      <c r="I1016" t="s">
        <v>2</v>
      </c>
      <c r="K1016" s="1" t="s">
        <v>121</v>
      </c>
      <c r="M1016" t="s">
        <v>20</v>
      </c>
    </row>
    <row r="1017" spans="1:13" ht="15.75" customHeight="1" x14ac:dyDescent="0.2">
      <c r="A1017">
        <v>1473761</v>
      </c>
      <c r="B1017" s="9">
        <v>44034</v>
      </c>
      <c r="C1017" s="9">
        <v>44034</v>
      </c>
      <c r="D1017" t="s">
        <v>0</v>
      </c>
      <c r="E1017" t="s">
        <v>41</v>
      </c>
      <c r="F1017">
        <v>4</v>
      </c>
      <c r="G1017" t="s">
        <v>1</v>
      </c>
      <c r="H1017">
        <v>26</v>
      </c>
      <c r="I1017" t="s">
        <v>2</v>
      </c>
      <c r="K1017" s="1" t="s">
        <v>121</v>
      </c>
      <c r="M1017" t="s">
        <v>20</v>
      </c>
    </row>
    <row r="1018" spans="1:13" ht="15.75" customHeight="1" x14ac:dyDescent="0.2">
      <c r="A1018">
        <v>1473899</v>
      </c>
      <c r="B1018" s="9">
        <v>44034</v>
      </c>
      <c r="C1018" s="9">
        <v>44034</v>
      </c>
      <c r="D1018" t="s">
        <v>0</v>
      </c>
      <c r="E1018" t="s">
        <v>34</v>
      </c>
      <c r="F1018">
        <v>9</v>
      </c>
      <c r="G1018" t="s">
        <v>1</v>
      </c>
      <c r="H1018">
        <v>32</v>
      </c>
      <c r="I1018" t="s">
        <v>2</v>
      </c>
      <c r="K1018" s="1" t="s">
        <v>121</v>
      </c>
      <c r="M1018" t="s">
        <v>9</v>
      </c>
    </row>
    <row r="1019" spans="1:13" ht="15.75" customHeight="1" x14ac:dyDescent="0.2">
      <c r="A1019">
        <v>1473945</v>
      </c>
      <c r="B1019" s="9">
        <v>44034</v>
      </c>
      <c r="C1019" s="9">
        <v>44034</v>
      </c>
      <c r="D1019" t="s">
        <v>0</v>
      </c>
      <c r="E1019" t="s">
        <v>45</v>
      </c>
      <c r="F1019">
        <v>4</v>
      </c>
      <c r="G1019" t="s">
        <v>6</v>
      </c>
      <c r="H1019">
        <v>25</v>
      </c>
      <c r="I1019" t="s">
        <v>2</v>
      </c>
      <c r="K1019" s="1" t="s">
        <v>121</v>
      </c>
      <c r="M1019" t="s">
        <v>4</v>
      </c>
    </row>
    <row r="1020" spans="1:13" ht="15.75" customHeight="1" x14ac:dyDescent="0.2">
      <c r="A1020">
        <v>1473963</v>
      </c>
      <c r="B1020" s="9">
        <v>44034</v>
      </c>
      <c r="C1020" s="9">
        <v>44034</v>
      </c>
      <c r="D1020" t="s">
        <v>0</v>
      </c>
      <c r="E1020" t="s">
        <v>34</v>
      </c>
      <c r="F1020">
        <v>9</v>
      </c>
      <c r="G1020" t="s">
        <v>6</v>
      </c>
      <c r="H1020">
        <v>4</v>
      </c>
      <c r="I1020" t="s">
        <v>2</v>
      </c>
      <c r="K1020" s="1" t="s">
        <v>121</v>
      </c>
      <c r="M1020" t="s">
        <v>9</v>
      </c>
    </row>
    <row r="1021" spans="1:13" ht="15.75" customHeight="1" x14ac:dyDescent="0.2">
      <c r="A1021">
        <v>1474025</v>
      </c>
      <c r="B1021" s="9">
        <v>44034</v>
      </c>
      <c r="C1021" s="9">
        <v>44034</v>
      </c>
      <c r="D1021" t="s">
        <v>0</v>
      </c>
      <c r="E1021" t="s">
        <v>34</v>
      </c>
      <c r="F1021">
        <v>9</v>
      </c>
      <c r="G1021" t="s">
        <v>1</v>
      </c>
      <c r="H1021">
        <v>5</v>
      </c>
      <c r="I1021" t="s">
        <v>2</v>
      </c>
      <c r="K1021" s="1" t="s">
        <v>121</v>
      </c>
      <c r="M1021" t="s">
        <v>9</v>
      </c>
    </row>
    <row r="1022" spans="1:13" ht="15.75" customHeight="1" x14ac:dyDescent="0.2">
      <c r="A1022">
        <v>1474055</v>
      </c>
      <c r="B1022" s="9">
        <v>44034</v>
      </c>
      <c r="C1022" s="9">
        <v>44034</v>
      </c>
      <c r="D1022" t="s">
        <v>0</v>
      </c>
      <c r="E1022" t="s">
        <v>34</v>
      </c>
      <c r="F1022">
        <v>9</v>
      </c>
      <c r="G1022" t="s">
        <v>1</v>
      </c>
      <c r="H1022">
        <v>16</v>
      </c>
      <c r="I1022" t="s">
        <v>2</v>
      </c>
      <c r="K1022" s="1" t="s">
        <v>121</v>
      </c>
      <c r="M1022" t="s">
        <v>9</v>
      </c>
    </row>
    <row r="1023" spans="1:13" ht="15.75" customHeight="1" x14ac:dyDescent="0.2">
      <c r="A1023">
        <v>1474217</v>
      </c>
      <c r="B1023" s="9">
        <v>44034</v>
      </c>
      <c r="C1023" s="9">
        <v>44034</v>
      </c>
      <c r="D1023" t="s">
        <v>0</v>
      </c>
      <c r="E1023" t="s">
        <v>18</v>
      </c>
      <c r="F1023">
        <v>8</v>
      </c>
      <c r="G1023" t="s">
        <v>6</v>
      </c>
      <c r="H1023">
        <v>54</v>
      </c>
      <c r="I1023" t="s">
        <v>2</v>
      </c>
      <c r="K1023" s="1" t="s">
        <v>121</v>
      </c>
      <c r="M1023" t="s">
        <v>9</v>
      </c>
    </row>
    <row r="1024" spans="1:13" ht="15.75" customHeight="1" x14ac:dyDescent="0.2">
      <c r="A1024">
        <v>1474569</v>
      </c>
      <c r="B1024" s="9">
        <v>44034</v>
      </c>
      <c r="C1024" s="9">
        <v>44035</v>
      </c>
      <c r="D1024" t="s">
        <v>0</v>
      </c>
      <c r="E1024" t="s">
        <v>17</v>
      </c>
      <c r="F1024">
        <v>1</v>
      </c>
      <c r="G1024" t="s">
        <v>1</v>
      </c>
      <c r="H1024">
        <v>43</v>
      </c>
      <c r="I1024" t="s">
        <v>2</v>
      </c>
      <c r="K1024" s="1" t="s">
        <v>121</v>
      </c>
      <c r="M1024" t="s">
        <v>4</v>
      </c>
    </row>
    <row r="1025" spans="1:13" ht="15.75" customHeight="1" x14ac:dyDescent="0.2">
      <c r="A1025">
        <v>1474622</v>
      </c>
      <c r="B1025" s="9">
        <v>44034</v>
      </c>
      <c r="C1025" s="9">
        <v>44035</v>
      </c>
      <c r="D1025" t="s">
        <v>0</v>
      </c>
      <c r="E1025" t="s">
        <v>17</v>
      </c>
      <c r="F1025">
        <v>1</v>
      </c>
      <c r="G1025" t="s">
        <v>6</v>
      </c>
      <c r="H1025">
        <v>33</v>
      </c>
      <c r="I1025" t="s">
        <v>2</v>
      </c>
      <c r="K1025" s="1" t="s">
        <v>121</v>
      </c>
      <c r="M1025" t="s">
        <v>20</v>
      </c>
    </row>
    <row r="1026" spans="1:13" ht="15.75" customHeight="1" x14ac:dyDescent="0.2">
      <c r="A1026">
        <v>1474799</v>
      </c>
      <c r="B1026" s="9">
        <v>44034</v>
      </c>
      <c r="C1026" s="9">
        <v>44034</v>
      </c>
      <c r="D1026" t="s">
        <v>0</v>
      </c>
      <c r="E1026" t="s">
        <v>18</v>
      </c>
      <c r="F1026">
        <v>8</v>
      </c>
      <c r="G1026" t="s">
        <v>1</v>
      </c>
      <c r="H1026">
        <v>3</v>
      </c>
      <c r="I1026" t="s">
        <v>2</v>
      </c>
      <c r="K1026" s="1" t="s">
        <v>121</v>
      </c>
      <c r="M1026" t="s">
        <v>9</v>
      </c>
    </row>
    <row r="1027" spans="1:13" ht="15.75" customHeight="1" x14ac:dyDescent="0.2">
      <c r="A1027">
        <v>1474839</v>
      </c>
      <c r="B1027" s="9">
        <v>44034</v>
      </c>
      <c r="C1027" s="9">
        <v>44034</v>
      </c>
      <c r="D1027" t="s">
        <v>5</v>
      </c>
      <c r="E1027" t="s">
        <v>76</v>
      </c>
      <c r="F1027"/>
      <c r="G1027" t="s">
        <v>1</v>
      </c>
      <c r="H1027">
        <v>51</v>
      </c>
      <c r="I1027" t="s">
        <v>2</v>
      </c>
      <c r="K1027" s="1" t="s">
        <v>121</v>
      </c>
      <c r="M1027" t="s">
        <v>9</v>
      </c>
    </row>
    <row r="1028" spans="1:13" ht="15.75" customHeight="1" x14ac:dyDescent="0.2">
      <c r="A1028">
        <v>1474844</v>
      </c>
      <c r="B1028" s="9">
        <v>44034</v>
      </c>
      <c r="C1028" s="9">
        <v>44034</v>
      </c>
      <c r="D1028" t="s">
        <v>0</v>
      </c>
      <c r="E1028" t="s">
        <v>18</v>
      </c>
      <c r="F1028">
        <v>8</v>
      </c>
      <c r="G1028" t="s">
        <v>6</v>
      </c>
      <c r="H1028">
        <v>23</v>
      </c>
      <c r="I1028" t="s">
        <v>2</v>
      </c>
      <c r="K1028" s="1" t="s">
        <v>121</v>
      </c>
      <c r="M1028" t="s">
        <v>9</v>
      </c>
    </row>
    <row r="1029" spans="1:13" ht="15.75" customHeight="1" x14ac:dyDescent="0.2">
      <c r="A1029">
        <v>1474851</v>
      </c>
      <c r="B1029" s="9">
        <v>44034</v>
      </c>
      <c r="C1029" s="9">
        <v>44034</v>
      </c>
      <c r="D1029" t="s">
        <v>0</v>
      </c>
      <c r="E1029" t="s">
        <v>24</v>
      </c>
      <c r="F1029">
        <v>9</v>
      </c>
      <c r="G1029" t="s">
        <v>1</v>
      </c>
      <c r="H1029">
        <v>4</v>
      </c>
      <c r="I1029" t="s">
        <v>2</v>
      </c>
      <c r="K1029" s="1" t="s">
        <v>121</v>
      </c>
      <c r="M1029" t="s">
        <v>9</v>
      </c>
    </row>
    <row r="1030" spans="1:13" ht="15.75" customHeight="1" x14ac:dyDescent="0.2">
      <c r="A1030">
        <v>1474899</v>
      </c>
      <c r="B1030" s="9">
        <v>44034</v>
      </c>
      <c r="C1030" s="9">
        <v>44034</v>
      </c>
      <c r="D1030" t="s">
        <v>0</v>
      </c>
      <c r="E1030" t="s">
        <v>24</v>
      </c>
      <c r="F1030">
        <v>9</v>
      </c>
      <c r="G1030" t="s">
        <v>1</v>
      </c>
      <c r="H1030">
        <v>9</v>
      </c>
      <c r="I1030" t="s">
        <v>2</v>
      </c>
      <c r="K1030" s="1" t="s">
        <v>121</v>
      </c>
      <c r="M1030" t="s">
        <v>9</v>
      </c>
    </row>
    <row r="1031" spans="1:13" ht="15.75" customHeight="1" x14ac:dyDescent="0.2">
      <c r="A1031">
        <v>1474906</v>
      </c>
      <c r="B1031" s="9">
        <v>44034</v>
      </c>
      <c r="C1031" s="9">
        <v>44034</v>
      </c>
      <c r="D1031" t="s">
        <v>0</v>
      </c>
      <c r="E1031" t="s">
        <v>18</v>
      </c>
      <c r="F1031">
        <v>8</v>
      </c>
      <c r="G1031" t="s">
        <v>6</v>
      </c>
      <c r="H1031">
        <v>36</v>
      </c>
      <c r="I1031" t="s">
        <v>2</v>
      </c>
      <c r="K1031" s="1" t="s">
        <v>121</v>
      </c>
      <c r="M1031" t="s">
        <v>9</v>
      </c>
    </row>
    <row r="1032" spans="1:13" ht="15.75" customHeight="1" x14ac:dyDescent="0.2">
      <c r="A1032">
        <v>1474945</v>
      </c>
      <c r="B1032" s="9">
        <v>44034</v>
      </c>
      <c r="C1032" s="9">
        <v>44034</v>
      </c>
      <c r="D1032" t="s">
        <v>0</v>
      </c>
      <c r="E1032" t="s">
        <v>18</v>
      </c>
      <c r="F1032">
        <v>8</v>
      </c>
      <c r="G1032" t="s">
        <v>1</v>
      </c>
      <c r="H1032">
        <v>13</v>
      </c>
      <c r="I1032" t="s">
        <v>2</v>
      </c>
      <c r="K1032" s="1" t="s">
        <v>121</v>
      </c>
      <c r="M1032" t="s">
        <v>9</v>
      </c>
    </row>
    <row r="1033" spans="1:13" ht="15.75" customHeight="1" x14ac:dyDescent="0.2">
      <c r="A1033">
        <v>1474970</v>
      </c>
      <c r="B1033" s="9">
        <v>44034</v>
      </c>
      <c r="C1033" s="9">
        <v>44035</v>
      </c>
      <c r="D1033" t="s">
        <v>5</v>
      </c>
      <c r="E1033" t="s">
        <v>92</v>
      </c>
      <c r="F1033"/>
      <c r="G1033" t="s">
        <v>6</v>
      </c>
      <c r="H1033">
        <v>28</v>
      </c>
      <c r="I1033" t="s">
        <v>2</v>
      </c>
      <c r="K1033" s="1" t="s">
        <v>121</v>
      </c>
      <c r="M1033" t="s">
        <v>20</v>
      </c>
    </row>
    <row r="1034" spans="1:13" ht="15.75" customHeight="1" x14ac:dyDescent="0.2">
      <c r="A1034">
        <v>1577329</v>
      </c>
      <c r="B1034" s="9">
        <v>44041</v>
      </c>
      <c r="C1034" s="9">
        <v>44041</v>
      </c>
      <c r="D1034" t="s">
        <v>0</v>
      </c>
      <c r="E1034" t="s">
        <v>7</v>
      </c>
      <c r="F1034">
        <v>3</v>
      </c>
      <c r="G1034" t="s">
        <v>6</v>
      </c>
      <c r="H1034">
        <v>51</v>
      </c>
      <c r="I1034" t="s">
        <v>2</v>
      </c>
      <c r="K1034" s="1" t="s">
        <v>121</v>
      </c>
      <c r="M1034" t="s">
        <v>9</v>
      </c>
    </row>
    <row r="1035" spans="1:13" ht="15.75" customHeight="1" x14ac:dyDescent="0.2">
      <c r="A1035">
        <v>1578681</v>
      </c>
      <c r="B1035" s="9">
        <v>44039</v>
      </c>
      <c r="C1035" s="9">
        <v>44039</v>
      </c>
      <c r="D1035" t="s">
        <v>5</v>
      </c>
      <c r="E1035" t="s">
        <v>77</v>
      </c>
      <c r="F1035"/>
      <c r="G1035" t="s">
        <v>6</v>
      </c>
      <c r="H1035">
        <v>19</v>
      </c>
      <c r="I1035" t="s">
        <v>2</v>
      </c>
      <c r="K1035" s="1" t="s">
        <v>121</v>
      </c>
      <c r="M1035" t="s">
        <v>9</v>
      </c>
    </row>
    <row r="1036" spans="1:13" ht="15.75" customHeight="1" x14ac:dyDescent="0.2">
      <c r="A1036">
        <v>1583480</v>
      </c>
      <c r="B1036" s="9">
        <v>44041</v>
      </c>
      <c r="C1036" s="9">
        <v>44042</v>
      </c>
      <c r="D1036" t="s">
        <v>5</v>
      </c>
      <c r="E1036" t="s">
        <v>76</v>
      </c>
      <c r="F1036"/>
      <c r="G1036" t="s">
        <v>1</v>
      </c>
      <c r="H1036">
        <v>74</v>
      </c>
      <c r="I1036" t="s">
        <v>2</v>
      </c>
      <c r="K1036" s="1" t="s">
        <v>121</v>
      </c>
      <c r="M1036" t="s">
        <v>4</v>
      </c>
    </row>
    <row r="1037" spans="1:13" ht="15.75" customHeight="1" x14ac:dyDescent="0.2">
      <c r="A1037">
        <v>1587585</v>
      </c>
      <c r="B1037" s="9">
        <v>44041</v>
      </c>
      <c r="C1037" s="9">
        <v>44041</v>
      </c>
      <c r="D1037" t="s">
        <v>0</v>
      </c>
      <c r="E1037" t="s">
        <v>45</v>
      </c>
      <c r="F1037">
        <v>4</v>
      </c>
      <c r="G1037" t="s">
        <v>6</v>
      </c>
      <c r="H1037">
        <v>29</v>
      </c>
      <c r="I1037" t="s">
        <v>2</v>
      </c>
      <c r="K1037" s="1" t="s">
        <v>121</v>
      </c>
      <c r="M1037" t="s">
        <v>20</v>
      </c>
    </row>
    <row r="1038" spans="1:13" ht="15.75" customHeight="1" x14ac:dyDescent="0.2">
      <c r="A1038">
        <v>1593451</v>
      </c>
      <c r="B1038" s="9">
        <v>44042</v>
      </c>
      <c r="C1038" s="9">
        <v>44042</v>
      </c>
      <c r="D1038" t="s">
        <v>5</v>
      </c>
      <c r="E1038" t="s">
        <v>74</v>
      </c>
      <c r="F1038"/>
      <c r="G1038" t="s">
        <v>6</v>
      </c>
      <c r="H1038">
        <v>39</v>
      </c>
      <c r="I1038" t="s">
        <v>2</v>
      </c>
      <c r="K1038" s="1" t="s">
        <v>121</v>
      </c>
      <c r="M1038" t="s">
        <v>20</v>
      </c>
    </row>
    <row r="1039" spans="1:13" ht="15.75" customHeight="1" x14ac:dyDescent="0.2">
      <c r="A1039">
        <v>1594038</v>
      </c>
      <c r="B1039" s="9">
        <v>44042</v>
      </c>
      <c r="C1039" s="9">
        <v>44043</v>
      </c>
      <c r="D1039" t="s">
        <v>0</v>
      </c>
      <c r="E1039" t="s">
        <v>18</v>
      </c>
      <c r="F1039">
        <v>8</v>
      </c>
      <c r="G1039" t="s">
        <v>1</v>
      </c>
      <c r="H1039">
        <v>35</v>
      </c>
      <c r="I1039" t="s">
        <v>2</v>
      </c>
      <c r="K1039" s="1" t="s">
        <v>121</v>
      </c>
      <c r="M1039" t="s">
        <v>9</v>
      </c>
    </row>
    <row r="1040" spans="1:13" ht="15.75" customHeight="1" x14ac:dyDescent="0.2">
      <c r="A1040">
        <v>1598651</v>
      </c>
      <c r="B1040" s="9">
        <v>44042</v>
      </c>
      <c r="C1040" s="9">
        <v>44042</v>
      </c>
      <c r="D1040" t="s">
        <v>5</v>
      </c>
      <c r="E1040" t="s">
        <v>96</v>
      </c>
      <c r="F1040"/>
      <c r="G1040" t="s">
        <v>1</v>
      </c>
      <c r="H1040">
        <v>2</v>
      </c>
      <c r="I1040" t="s">
        <v>2</v>
      </c>
      <c r="K1040" s="1" t="s">
        <v>121</v>
      </c>
      <c r="M1040" t="s">
        <v>9</v>
      </c>
    </row>
    <row r="1041" spans="1:13" ht="15.75" customHeight="1" x14ac:dyDescent="0.2">
      <c r="A1041">
        <v>1600046</v>
      </c>
      <c r="B1041" s="9">
        <v>44042</v>
      </c>
      <c r="C1041" s="9">
        <v>44042</v>
      </c>
      <c r="D1041" t="s">
        <v>0</v>
      </c>
      <c r="E1041" t="s">
        <v>46</v>
      </c>
      <c r="F1041">
        <v>5</v>
      </c>
      <c r="G1041" t="s">
        <v>1</v>
      </c>
      <c r="H1041">
        <v>28</v>
      </c>
      <c r="I1041" t="s">
        <v>2</v>
      </c>
      <c r="K1041" s="1" t="s">
        <v>121</v>
      </c>
      <c r="M1041" t="s">
        <v>9</v>
      </c>
    </row>
    <row r="1042" spans="1:13" ht="15.75" customHeight="1" x14ac:dyDescent="0.2">
      <c r="A1042">
        <v>1602654</v>
      </c>
      <c r="B1042" s="9">
        <v>44042</v>
      </c>
      <c r="C1042" s="9">
        <v>44042</v>
      </c>
      <c r="D1042" t="s">
        <v>0</v>
      </c>
      <c r="E1042" t="s">
        <v>45</v>
      </c>
      <c r="F1042">
        <v>4</v>
      </c>
      <c r="G1042" t="s">
        <v>6</v>
      </c>
      <c r="H1042">
        <v>5</v>
      </c>
      <c r="I1042" t="s">
        <v>2</v>
      </c>
      <c r="K1042" s="1" t="s">
        <v>121</v>
      </c>
      <c r="M1042" t="s">
        <v>4</v>
      </c>
    </row>
    <row r="1043" spans="1:13" ht="15.75" customHeight="1" x14ac:dyDescent="0.2">
      <c r="A1043">
        <v>1603792</v>
      </c>
      <c r="B1043" s="9">
        <v>44042</v>
      </c>
      <c r="C1043" s="9">
        <v>44042</v>
      </c>
      <c r="D1043" t="s">
        <v>0</v>
      </c>
      <c r="E1043" t="s">
        <v>45</v>
      </c>
      <c r="F1043">
        <v>4</v>
      </c>
      <c r="G1043" t="s">
        <v>1</v>
      </c>
      <c r="H1043">
        <v>22</v>
      </c>
      <c r="I1043" t="s">
        <v>2</v>
      </c>
      <c r="K1043" s="1" t="s">
        <v>121</v>
      </c>
      <c r="M1043" t="s">
        <v>20</v>
      </c>
    </row>
    <row r="1044" spans="1:13" ht="15.75" customHeight="1" x14ac:dyDescent="0.2">
      <c r="A1044">
        <v>1605413</v>
      </c>
      <c r="B1044" s="9">
        <v>44042</v>
      </c>
      <c r="C1044" s="9">
        <v>44042</v>
      </c>
      <c r="D1044" t="s">
        <v>0</v>
      </c>
      <c r="E1044" t="s">
        <v>7</v>
      </c>
      <c r="F1044">
        <v>3</v>
      </c>
      <c r="G1044" t="s">
        <v>1</v>
      </c>
      <c r="H1044">
        <v>23</v>
      </c>
      <c r="I1044" t="s">
        <v>2</v>
      </c>
      <c r="K1044" s="1" t="s">
        <v>121</v>
      </c>
      <c r="M1044" t="s">
        <v>4</v>
      </c>
    </row>
    <row r="1045" spans="1:13" ht="15.75" customHeight="1" x14ac:dyDescent="0.2">
      <c r="A1045">
        <v>1606834</v>
      </c>
      <c r="B1045" s="9">
        <v>44043</v>
      </c>
      <c r="C1045" s="9">
        <v>44043</v>
      </c>
      <c r="D1045" t="s">
        <v>0</v>
      </c>
      <c r="E1045" t="s">
        <v>50</v>
      </c>
      <c r="F1045">
        <v>1</v>
      </c>
      <c r="G1045" t="s">
        <v>6</v>
      </c>
      <c r="H1045">
        <v>40</v>
      </c>
      <c r="I1045" t="s">
        <v>2</v>
      </c>
      <c r="K1045" s="1" t="s">
        <v>121</v>
      </c>
      <c r="M1045" t="s">
        <v>20</v>
      </c>
    </row>
    <row r="1046" spans="1:13" ht="15.75" customHeight="1" x14ac:dyDescent="0.2">
      <c r="A1046">
        <v>1607302</v>
      </c>
      <c r="B1046" s="9">
        <v>44042</v>
      </c>
      <c r="C1046" s="9">
        <v>44043</v>
      </c>
      <c r="D1046" t="s">
        <v>5</v>
      </c>
      <c r="E1046" t="s">
        <v>82</v>
      </c>
      <c r="F1046"/>
      <c r="G1046" t="s">
        <v>1</v>
      </c>
      <c r="H1046">
        <v>38</v>
      </c>
      <c r="I1046" t="s">
        <v>2</v>
      </c>
      <c r="K1046" s="1" t="s">
        <v>121</v>
      </c>
      <c r="M1046" t="s">
        <v>20</v>
      </c>
    </row>
    <row r="1047" spans="1:13" ht="15.75" customHeight="1" x14ac:dyDescent="0.2">
      <c r="A1047">
        <v>1611228</v>
      </c>
      <c r="B1047" s="9">
        <v>44043</v>
      </c>
      <c r="C1047" s="9">
        <v>44043</v>
      </c>
      <c r="D1047" t="s">
        <v>5</v>
      </c>
      <c r="E1047" t="s">
        <v>98</v>
      </c>
      <c r="F1047"/>
      <c r="G1047" t="s">
        <v>6</v>
      </c>
      <c r="H1047">
        <v>30</v>
      </c>
      <c r="I1047" t="s">
        <v>2</v>
      </c>
      <c r="K1047" s="1" t="s">
        <v>121</v>
      </c>
      <c r="M1047" t="s">
        <v>9</v>
      </c>
    </row>
    <row r="1048" spans="1:13" ht="15.75" customHeight="1" x14ac:dyDescent="0.2">
      <c r="A1048">
        <v>1613039</v>
      </c>
      <c r="B1048" s="9">
        <v>44029</v>
      </c>
      <c r="C1048" s="9">
        <v>44029</v>
      </c>
      <c r="D1048" t="s">
        <v>0</v>
      </c>
      <c r="E1048" t="s">
        <v>48</v>
      </c>
      <c r="F1048">
        <v>10</v>
      </c>
      <c r="G1048" t="s">
        <v>1</v>
      </c>
      <c r="H1048">
        <v>44</v>
      </c>
      <c r="I1048" t="s">
        <v>2</v>
      </c>
      <c r="K1048" s="1" t="s">
        <v>121</v>
      </c>
      <c r="M1048" t="s">
        <v>22</v>
      </c>
    </row>
    <row r="1049" spans="1:13" ht="15.75" customHeight="1" x14ac:dyDescent="0.2">
      <c r="A1049">
        <v>1613466</v>
      </c>
      <c r="B1049" s="9">
        <v>44043</v>
      </c>
      <c r="C1049" s="9">
        <v>44043</v>
      </c>
      <c r="D1049" t="s">
        <v>0</v>
      </c>
      <c r="E1049" t="s">
        <v>18</v>
      </c>
      <c r="F1049">
        <v>8</v>
      </c>
      <c r="G1049" t="s">
        <v>1</v>
      </c>
      <c r="H1049">
        <v>24</v>
      </c>
      <c r="I1049" t="s">
        <v>2</v>
      </c>
      <c r="K1049" s="1" t="s">
        <v>121</v>
      </c>
      <c r="M1049" t="s">
        <v>20</v>
      </c>
    </row>
    <row r="1050" spans="1:13" ht="15.75" customHeight="1" x14ac:dyDescent="0.2">
      <c r="A1050">
        <v>1614601</v>
      </c>
      <c r="B1050" s="9">
        <v>44052</v>
      </c>
      <c r="C1050" s="9">
        <v>44054</v>
      </c>
      <c r="D1050" t="s">
        <v>5</v>
      </c>
      <c r="E1050" t="s">
        <v>76</v>
      </c>
      <c r="F1050"/>
      <c r="G1050" t="s">
        <v>6</v>
      </c>
      <c r="H1050">
        <v>37</v>
      </c>
      <c r="I1050" t="s">
        <v>2</v>
      </c>
      <c r="K1050" s="1" t="s">
        <v>121</v>
      </c>
      <c r="M1050" t="s">
        <v>4</v>
      </c>
    </row>
    <row r="1051" spans="1:13" ht="15.75" customHeight="1" x14ac:dyDescent="0.2">
      <c r="A1051">
        <v>1616923</v>
      </c>
      <c r="B1051" s="9">
        <v>44053</v>
      </c>
      <c r="C1051" s="9">
        <v>44053</v>
      </c>
      <c r="D1051" t="s">
        <v>0</v>
      </c>
      <c r="E1051" t="s">
        <v>17</v>
      </c>
      <c r="F1051">
        <v>1</v>
      </c>
      <c r="G1051" t="s">
        <v>1</v>
      </c>
      <c r="H1051">
        <v>50</v>
      </c>
      <c r="I1051" t="s">
        <v>2</v>
      </c>
      <c r="K1051" s="1" t="s">
        <v>121</v>
      </c>
      <c r="M1051" t="s">
        <v>9</v>
      </c>
    </row>
    <row r="1052" spans="1:13" ht="15.75" customHeight="1" x14ac:dyDescent="0.2">
      <c r="A1052">
        <v>1616960</v>
      </c>
      <c r="B1052" s="9">
        <v>44055</v>
      </c>
      <c r="C1052" s="9">
        <v>44056</v>
      </c>
      <c r="D1052" t="s">
        <v>5</v>
      </c>
      <c r="E1052" t="s">
        <v>92</v>
      </c>
      <c r="F1052"/>
      <c r="G1052" t="s">
        <v>6</v>
      </c>
      <c r="H1052">
        <v>80</v>
      </c>
      <c r="I1052" t="s">
        <v>2</v>
      </c>
      <c r="K1052" s="1" t="s">
        <v>121</v>
      </c>
      <c r="M1052" t="s">
        <v>4</v>
      </c>
    </row>
    <row r="1053" spans="1:13" ht="15.75" customHeight="1" x14ac:dyDescent="0.2">
      <c r="A1053">
        <v>1622494</v>
      </c>
      <c r="B1053" s="9">
        <v>44043</v>
      </c>
      <c r="C1053" s="9">
        <v>44043</v>
      </c>
      <c r="D1053" t="s">
        <v>0</v>
      </c>
      <c r="E1053" t="s">
        <v>41</v>
      </c>
      <c r="F1053">
        <v>4</v>
      </c>
      <c r="G1053" t="s">
        <v>1</v>
      </c>
      <c r="H1053">
        <v>65</v>
      </c>
      <c r="I1053" t="s">
        <v>2</v>
      </c>
      <c r="K1053" s="1" t="s">
        <v>121</v>
      </c>
      <c r="M1053" t="s">
        <v>9</v>
      </c>
    </row>
    <row r="1054" spans="1:13" ht="15.75" customHeight="1" x14ac:dyDescent="0.2">
      <c r="A1054">
        <v>1622508</v>
      </c>
      <c r="B1054" s="9">
        <v>44043</v>
      </c>
      <c r="C1054" s="9">
        <v>44043</v>
      </c>
      <c r="D1054" t="s">
        <v>0</v>
      </c>
      <c r="E1054" t="s">
        <v>41</v>
      </c>
      <c r="F1054">
        <v>4</v>
      </c>
      <c r="G1054" t="s">
        <v>6</v>
      </c>
      <c r="H1054">
        <v>21</v>
      </c>
      <c r="I1054" t="s">
        <v>2</v>
      </c>
      <c r="K1054" s="1" t="s">
        <v>121</v>
      </c>
      <c r="M1054" t="s">
        <v>9</v>
      </c>
    </row>
    <row r="1055" spans="1:13" ht="15.75" customHeight="1" x14ac:dyDescent="0.2">
      <c r="A1055">
        <v>1623283</v>
      </c>
      <c r="B1055" s="9">
        <v>44043</v>
      </c>
      <c r="C1055" s="9">
        <v>44043</v>
      </c>
      <c r="D1055" s="1" t="s">
        <v>72</v>
      </c>
      <c r="E1055" s="1" t="s">
        <v>119</v>
      </c>
      <c r="F1055"/>
      <c r="G1055" t="s">
        <v>6</v>
      </c>
      <c r="H1055">
        <v>28</v>
      </c>
      <c r="I1055" t="s">
        <v>2</v>
      </c>
      <c r="K1055" s="1" t="s">
        <v>121</v>
      </c>
      <c r="M1055" t="s">
        <v>9</v>
      </c>
    </row>
    <row r="1056" spans="1:13" ht="15.75" customHeight="1" x14ac:dyDescent="0.2">
      <c r="A1056">
        <v>1623328</v>
      </c>
      <c r="B1056" s="9">
        <v>44043</v>
      </c>
      <c r="C1056" s="9">
        <v>44043</v>
      </c>
      <c r="D1056" t="s">
        <v>5</v>
      </c>
      <c r="E1056" t="s">
        <v>102</v>
      </c>
      <c r="F1056"/>
      <c r="G1056" t="s">
        <v>6</v>
      </c>
      <c r="H1056">
        <v>30</v>
      </c>
      <c r="I1056" t="s">
        <v>2</v>
      </c>
      <c r="K1056" s="1" t="s">
        <v>121</v>
      </c>
      <c r="M1056" t="s">
        <v>4</v>
      </c>
    </row>
    <row r="1057" spans="1:13" ht="15.75" customHeight="1" x14ac:dyDescent="0.2">
      <c r="A1057">
        <v>1623532</v>
      </c>
      <c r="B1057" s="9">
        <v>44043</v>
      </c>
      <c r="C1057" s="9">
        <v>44043</v>
      </c>
      <c r="D1057" t="s">
        <v>0</v>
      </c>
      <c r="E1057" t="s">
        <v>18</v>
      </c>
      <c r="F1057">
        <v>8</v>
      </c>
      <c r="G1057" t="s">
        <v>6</v>
      </c>
      <c r="H1057">
        <v>28</v>
      </c>
      <c r="I1057" t="s">
        <v>2</v>
      </c>
      <c r="K1057" s="1" t="s">
        <v>121</v>
      </c>
      <c r="M1057" t="s">
        <v>20</v>
      </c>
    </row>
    <row r="1058" spans="1:13" ht="15.75" customHeight="1" x14ac:dyDescent="0.2">
      <c r="A1058">
        <v>1623690</v>
      </c>
      <c r="B1058" s="9">
        <v>44043</v>
      </c>
      <c r="C1058" s="9">
        <v>44043</v>
      </c>
      <c r="D1058" t="s">
        <v>0</v>
      </c>
      <c r="E1058" t="s">
        <v>38</v>
      </c>
      <c r="F1058">
        <v>12</v>
      </c>
      <c r="G1058" t="s">
        <v>6</v>
      </c>
      <c r="H1058">
        <v>50</v>
      </c>
      <c r="I1058" t="s">
        <v>2</v>
      </c>
      <c r="K1058" s="1" t="s">
        <v>121</v>
      </c>
      <c r="M1058" t="s">
        <v>22</v>
      </c>
    </row>
    <row r="1059" spans="1:13" ht="15.75" customHeight="1" x14ac:dyDescent="0.2">
      <c r="A1059">
        <v>1627459</v>
      </c>
      <c r="B1059" s="9">
        <v>44043</v>
      </c>
      <c r="C1059" s="9">
        <v>44043</v>
      </c>
      <c r="D1059" t="s">
        <v>5</v>
      </c>
      <c r="E1059" t="s">
        <v>95</v>
      </c>
      <c r="F1059"/>
      <c r="G1059" t="s">
        <v>6</v>
      </c>
      <c r="H1059">
        <v>35</v>
      </c>
      <c r="I1059" t="s">
        <v>2</v>
      </c>
      <c r="K1059" s="1" t="s">
        <v>121</v>
      </c>
      <c r="M1059" t="s">
        <v>9</v>
      </c>
    </row>
    <row r="1060" spans="1:13" ht="15.75" customHeight="1" x14ac:dyDescent="0.2">
      <c r="A1060">
        <v>1631809</v>
      </c>
      <c r="B1060" s="9">
        <v>44044</v>
      </c>
      <c r="C1060" s="9">
        <v>44045</v>
      </c>
      <c r="D1060" t="s">
        <v>0</v>
      </c>
      <c r="E1060" t="s">
        <v>54</v>
      </c>
      <c r="F1060">
        <v>7</v>
      </c>
      <c r="G1060" t="s">
        <v>6</v>
      </c>
      <c r="H1060">
        <v>42</v>
      </c>
      <c r="I1060" t="s">
        <v>2</v>
      </c>
      <c r="K1060" s="1" t="s">
        <v>121</v>
      </c>
      <c r="M1060" t="s">
        <v>4</v>
      </c>
    </row>
    <row r="1061" spans="1:13" ht="15.75" customHeight="1" x14ac:dyDescent="0.2">
      <c r="A1061">
        <v>1631876</v>
      </c>
      <c r="B1061" s="9">
        <v>44043</v>
      </c>
      <c r="C1061" s="9">
        <v>44043</v>
      </c>
      <c r="D1061" t="s">
        <v>0</v>
      </c>
      <c r="E1061" t="s">
        <v>26</v>
      </c>
      <c r="F1061">
        <v>4</v>
      </c>
      <c r="G1061" t="s">
        <v>6</v>
      </c>
      <c r="H1061">
        <v>31</v>
      </c>
      <c r="I1061" t="s">
        <v>2</v>
      </c>
      <c r="K1061" s="1" t="s">
        <v>121</v>
      </c>
      <c r="M1061" t="s">
        <v>4</v>
      </c>
    </row>
    <row r="1062" spans="1:13" ht="15.75" customHeight="1" x14ac:dyDescent="0.2">
      <c r="A1062">
        <v>1635708</v>
      </c>
      <c r="B1062" s="9">
        <v>44044</v>
      </c>
      <c r="C1062" s="9">
        <v>44044</v>
      </c>
      <c r="D1062" t="s">
        <v>5</v>
      </c>
      <c r="E1062" t="s">
        <v>91</v>
      </c>
      <c r="F1062"/>
      <c r="G1062" t="s">
        <v>1</v>
      </c>
      <c r="H1062">
        <v>23</v>
      </c>
      <c r="I1062" t="s">
        <v>2</v>
      </c>
      <c r="K1062" s="1" t="s">
        <v>121</v>
      </c>
      <c r="M1062" t="s">
        <v>9</v>
      </c>
    </row>
    <row r="1063" spans="1:13" ht="15.75" customHeight="1" x14ac:dyDescent="0.2">
      <c r="A1063">
        <v>1635722</v>
      </c>
      <c r="B1063" s="9">
        <v>44044</v>
      </c>
      <c r="C1063" s="9">
        <v>44044</v>
      </c>
      <c r="D1063" t="s">
        <v>5</v>
      </c>
      <c r="E1063" t="s">
        <v>97</v>
      </c>
      <c r="F1063"/>
      <c r="G1063" t="s">
        <v>6</v>
      </c>
      <c r="H1063">
        <v>19</v>
      </c>
      <c r="I1063" t="s">
        <v>2</v>
      </c>
      <c r="K1063" s="1" t="s">
        <v>121</v>
      </c>
      <c r="M1063" t="s">
        <v>9</v>
      </c>
    </row>
    <row r="1064" spans="1:13" ht="15.75" customHeight="1" x14ac:dyDescent="0.2">
      <c r="A1064">
        <v>1637731</v>
      </c>
      <c r="B1064" s="9">
        <v>44044</v>
      </c>
      <c r="C1064" s="9">
        <v>44044</v>
      </c>
      <c r="D1064" t="s">
        <v>5</v>
      </c>
      <c r="E1064" t="s">
        <v>77</v>
      </c>
      <c r="F1064"/>
      <c r="G1064" t="s">
        <v>1</v>
      </c>
      <c r="H1064">
        <v>41</v>
      </c>
      <c r="I1064" t="s">
        <v>2</v>
      </c>
      <c r="K1064" s="1" t="s">
        <v>121</v>
      </c>
      <c r="M1064" t="s">
        <v>22</v>
      </c>
    </row>
    <row r="1065" spans="1:13" ht="15.75" customHeight="1" x14ac:dyDescent="0.2">
      <c r="A1065">
        <v>1657706</v>
      </c>
      <c r="B1065" s="9">
        <v>44046</v>
      </c>
      <c r="C1065" s="9">
        <v>44046</v>
      </c>
      <c r="D1065" t="s">
        <v>0</v>
      </c>
      <c r="E1065" t="s">
        <v>8</v>
      </c>
      <c r="F1065">
        <v>7</v>
      </c>
      <c r="G1065" t="s">
        <v>6</v>
      </c>
      <c r="H1065">
        <v>91</v>
      </c>
      <c r="I1065" t="s">
        <v>2</v>
      </c>
      <c r="K1065" s="1" t="s">
        <v>121</v>
      </c>
      <c r="M1065" t="s">
        <v>4</v>
      </c>
    </row>
    <row r="1066" spans="1:13" ht="15.75" customHeight="1" x14ac:dyDescent="0.2">
      <c r="A1066">
        <v>1668187</v>
      </c>
      <c r="B1066" s="9">
        <v>44044</v>
      </c>
      <c r="C1066" s="9">
        <v>44044</v>
      </c>
      <c r="D1066" t="s">
        <v>5</v>
      </c>
      <c r="E1066" t="s">
        <v>79</v>
      </c>
      <c r="F1066"/>
      <c r="G1066" t="s">
        <v>1</v>
      </c>
      <c r="H1066">
        <v>38</v>
      </c>
      <c r="I1066" t="s">
        <v>2</v>
      </c>
      <c r="K1066" s="1" t="s">
        <v>121</v>
      </c>
      <c r="M1066" t="s">
        <v>9</v>
      </c>
    </row>
    <row r="1067" spans="1:13" ht="15.75" customHeight="1" x14ac:dyDescent="0.2">
      <c r="A1067">
        <v>1671941</v>
      </c>
      <c r="B1067" s="9">
        <v>44047</v>
      </c>
      <c r="C1067" s="9">
        <v>44047</v>
      </c>
      <c r="D1067" t="s">
        <v>5</v>
      </c>
      <c r="E1067" t="s">
        <v>99</v>
      </c>
      <c r="F1067"/>
      <c r="G1067" t="s">
        <v>1</v>
      </c>
      <c r="H1067">
        <v>53</v>
      </c>
      <c r="I1067" t="s">
        <v>2</v>
      </c>
      <c r="K1067" s="1" t="s">
        <v>121</v>
      </c>
      <c r="M1067" t="s">
        <v>4</v>
      </c>
    </row>
    <row r="1068" spans="1:13" ht="15.75" customHeight="1" x14ac:dyDescent="0.2">
      <c r="A1068">
        <v>1811562</v>
      </c>
      <c r="B1068" s="9">
        <v>44040</v>
      </c>
      <c r="C1068" s="9">
        <v>44040</v>
      </c>
      <c r="D1068" t="s">
        <v>0</v>
      </c>
      <c r="E1068" t="s">
        <v>13</v>
      </c>
      <c r="F1068">
        <v>2</v>
      </c>
      <c r="G1068" t="s">
        <v>6</v>
      </c>
      <c r="H1068">
        <v>17</v>
      </c>
      <c r="I1068" t="s">
        <v>2</v>
      </c>
      <c r="K1068" s="1" t="s">
        <v>121</v>
      </c>
      <c r="M1068" t="s">
        <v>20</v>
      </c>
    </row>
    <row r="1069" spans="1:13" ht="15.75" customHeight="1" x14ac:dyDescent="0.2">
      <c r="A1069">
        <v>1411295</v>
      </c>
      <c r="B1069" s="9">
        <v>43960</v>
      </c>
      <c r="C1069" s="9">
        <v>43960</v>
      </c>
      <c r="D1069" t="s">
        <v>0</v>
      </c>
      <c r="E1069" t="s">
        <v>41</v>
      </c>
      <c r="F1069">
        <v>4</v>
      </c>
      <c r="G1069" t="s">
        <v>1</v>
      </c>
      <c r="H1069">
        <v>80</v>
      </c>
      <c r="I1069" t="s">
        <v>2</v>
      </c>
      <c r="K1069" s="1" t="s">
        <v>121</v>
      </c>
      <c r="M1069" t="s">
        <v>9</v>
      </c>
    </row>
    <row r="1070" spans="1:13" ht="15.75" customHeight="1" x14ac:dyDescent="0.2">
      <c r="A1070">
        <v>1411590</v>
      </c>
      <c r="B1070" s="9">
        <v>44029</v>
      </c>
      <c r="C1070" s="9">
        <v>44029</v>
      </c>
      <c r="D1070" t="s">
        <v>5</v>
      </c>
      <c r="E1070" s="5" t="s">
        <v>95</v>
      </c>
      <c r="F1070"/>
      <c r="G1070" t="s">
        <v>1</v>
      </c>
      <c r="H1070">
        <v>34</v>
      </c>
      <c r="I1070" t="s">
        <v>2</v>
      </c>
      <c r="K1070" s="1" t="s">
        <v>121</v>
      </c>
      <c r="M1070" t="s">
        <v>4</v>
      </c>
    </row>
    <row r="1071" spans="1:13" ht="15.75" customHeight="1" x14ac:dyDescent="0.2">
      <c r="A1071">
        <v>1412629</v>
      </c>
      <c r="B1071" s="9">
        <v>44029</v>
      </c>
      <c r="C1071" s="9">
        <v>44029</v>
      </c>
      <c r="D1071" t="s">
        <v>0</v>
      </c>
      <c r="E1071" t="s">
        <v>28</v>
      </c>
      <c r="F1071">
        <v>11</v>
      </c>
      <c r="G1071" t="s">
        <v>1</v>
      </c>
      <c r="H1071">
        <v>67</v>
      </c>
      <c r="I1071" t="s">
        <v>2</v>
      </c>
      <c r="K1071" s="1" t="s">
        <v>121</v>
      </c>
      <c r="M1071" t="s">
        <v>4</v>
      </c>
    </row>
    <row r="1072" spans="1:13" ht="15.75" customHeight="1" x14ac:dyDescent="0.2">
      <c r="A1072">
        <v>1412705</v>
      </c>
      <c r="B1072" s="9">
        <v>44029</v>
      </c>
      <c r="C1072" s="9">
        <v>44029</v>
      </c>
      <c r="D1072" t="s">
        <v>0</v>
      </c>
      <c r="E1072" t="s">
        <v>11</v>
      </c>
      <c r="F1072">
        <v>6</v>
      </c>
      <c r="G1072" t="s">
        <v>6</v>
      </c>
      <c r="H1072">
        <v>23</v>
      </c>
      <c r="I1072" t="s">
        <v>2</v>
      </c>
      <c r="K1072" s="1" t="s">
        <v>121</v>
      </c>
      <c r="M1072" t="s">
        <v>9</v>
      </c>
    </row>
    <row r="1073" spans="1:13" ht="15.75" customHeight="1" x14ac:dyDescent="0.2">
      <c r="A1073">
        <v>1417246</v>
      </c>
      <c r="B1073" s="9">
        <v>44030</v>
      </c>
      <c r="C1073" s="9">
        <v>44030</v>
      </c>
      <c r="D1073" t="s">
        <v>0</v>
      </c>
      <c r="E1073" t="s">
        <v>13</v>
      </c>
      <c r="F1073">
        <v>2</v>
      </c>
      <c r="G1073" t="s">
        <v>6</v>
      </c>
      <c r="H1073">
        <v>95</v>
      </c>
      <c r="I1073" t="s">
        <v>2</v>
      </c>
      <c r="K1073" s="1" t="s">
        <v>121</v>
      </c>
      <c r="M1073" t="s">
        <v>9</v>
      </c>
    </row>
    <row r="1074" spans="1:13" ht="15.75" customHeight="1" x14ac:dyDescent="0.2">
      <c r="A1074">
        <v>1417294</v>
      </c>
      <c r="B1074" s="9">
        <v>44030</v>
      </c>
      <c r="C1074" s="9">
        <v>44030</v>
      </c>
      <c r="D1074" t="s">
        <v>0</v>
      </c>
      <c r="E1074" t="s">
        <v>7</v>
      </c>
      <c r="F1074">
        <v>3</v>
      </c>
      <c r="G1074" t="s">
        <v>1</v>
      </c>
      <c r="H1074">
        <v>89</v>
      </c>
      <c r="I1074" t="s">
        <v>2</v>
      </c>
      <c r="K1074" s="1" t="s">
        <v>121</v>
      </c>
      <c r="M1074" t="s">
        <v>9</v>
      </c>
    </row>
    <row r="1075" spans="1:13" ht="15.75" customHeight="1" x14ac:dyDescent="0.2">
      <c r="A1075">
        <v>1417301</v>
      </c>
      <c r="B1075" s="9">
        <v>44030</v>
      </c>
      <c r="C1075" s="9">
        <v>44030</v>
      </c>
      <c r="D1075" t="s">
        <v>5</v>
      </c>
      <c r="E1075" s="1" t="s">
        <v>90</v>
      </c>
      <c r="F1075"/>
      <c r="G1075" t="s">
        <v>1</v>
      </c>
      <c r="H1075">
        <v>60</v>
      </c>
      <c r="I1075" t="s">
        <v>2</v>
      </c>
      <c r="K1075" s="1" t="s">
        <v>121</v>
      </c>
      <c r="M1075" t="s">
        <v>20</v>
      </c>
    </row>
    <row r="1076" spans="1:13" ht="15.75" customHeight="1" x14ac:dyDescent="0.2">
      <c r="A1076">
        <v>1417450</v>
      </c>
      <c r="B1076" s="9">
        <v>44030</v>
      </c>
      <c r="C1076" s="9">
        <v>44030</v>
      </c>
      <c r="D1076" t="s">
        <v>0</v>
      </c>
      <c r="E1076" t="s">
        <v>17</v>
      </c>
      <c r="F1076">
        <v>1</v>
      </c>
      <c r="G1076" t="s">
        <v>1</v>
      </c>
      <c r="H1076">
        <v>6</v>
      </c>
      <c r="I1076" t="s">
        <v>2</v>
      </c>
      <c r="K1076" s="1" t="s">
        <v>121</v>
      </c>
      <c r="M1076" t="s">
        <v>4</v>
      </c>
    </row>
    <row r="1077" spans="1:13" ht="15.75" customHeight="1" x14ac:dyDescent="0.2">
      <c r="A1077">
        <v>1417259</v>
      </c>
      <c r="B1077" s="9">
        <v>44030</v>
      </c>
      <c r="C1077" s="9">
        <v>44030</v>
      </c>
      <c r="D1077" t="s">
        <v>0</v>
      </c>
      <c r="E1077" t="s">
        <v>34</v>
      </c>
      <c r="F1077">
        <v>9</v>
      </c>
      <c r="G1077" t="s">
        <v>6</v>
      </c>
      <c r="H1077">
        <v>73</v>
      </c>
      <c r="I1077" t="s">
        <v>2</v>
      </c>
      <c r="K1077" s="1" t="s">
        <v>121</v>
      </c>
      <c r="M1077" t="s">
        <v>20</v>
      </c>
    </row>
    <row r="1078" spans="1:13" ht="15.75" customHeight="1" x14ac:dyDescent="0.2">
      <c r="A1078">
        <v>1417307</v>
      </c>
      <c r="B1078" s="9">
        <v>44030</v>
      </c>
      <c r="C1078" s="9">
        <v>44030</v>
      </c>
      <c r="D1078" t="s">
        <v>0</v>
      </c>
      <c r="E1078" t="s">
        <v>53</v>
      </c>
      <c r="F1078">
        <v>11</v>
      </c>
      <c r="G1078" t="s">
        <v>1</v>
      </c>
      <c r="H1078">
        <v>86</v>
      </c>
      <c r="I1078" t="s">
        <v>2</v>
      </c>
      <c r="K1078" s="1" t="s">
        <v>121</v>
      </c>
      <c r="M1078" t="s">
        <v>4</v>
      </c>
    </row>
    <row r="1079" spans="1:13" ht="15.75" customHeight="1" x14ac:dyDescent="0.2">
      <c r="A1079">
        <v>1417601</v>
      </c>
      <c r="B1079" s="9">
        <v>44030</v>
      </c>
      <c r="C1079" s="9">
        <v>44031</v>
      </c>
      <c r="D1079" t="s">
        <v>0</v>
      </c>
      <c r="E1079" t="s">
        <v>38</v>
      </c>
      <c r="F1079">
        <v>12</v>
      </c>
      <c r="G1079" t="s">
        <v>1</v>
      </c>
      <c r="H1079">
        <v>24</v>
      </c>
      <c r="I1079" t="s">
        <v>2</v>
      </c>
      <c r="K1079" s="1" t="s">
        <v>121</v>
      </c>
      <c r="M1079" t="s">
        <v>9</v>
      </c>
    </row>
    <row r="1080" spans="1:13" ht="15.75" customHeight="1" x14ac:dyDescent="0.2">
      <c r="A1080">
        <v>1417609</v>
      </c>
      <c r="B1080" s="9">
        <v>44030</v>
      </c>
      <c r="C1080" s="9">
        <v>44031</v>
      </c>
      <c r="D1080" t="s">
        <v>0</v>
      </c>
      <c r="E1080" t="s">
        <v>38</v>
      </c>
      <c r="F1080">
        <v>12</v>
      </c>
      <c r="G1080" t="s">
        <v>1</v>
      </c>
      <c r="H1080">
        <v>55</v>
      </c>
      <c r="I1080" t="s">
        <v>2</v>
      </c>
      <c r="K1080" s="1" t="s">
        <v>121</v>
      </c>
      <c r="M1080" t="s">
        <v>9</v>
      </c>
    </row>
    <row r="1081" spans="1:13" ht="15.75" customHeight="1" x14ac:dyDescent="0.2">
      <c r="A1081">
        <v>1418777</v>
      </c>
      <c r="B1081" s="9">
        <v>44039</v>
      </c>
      <c r="C1081" s="9">
        <v>44039</v>
      </c>
      <c r="D1081" t="s">
        <v>0</v>
      </c>
      <c r="E1081" t="s">
        <v>56</v>
      </c>
      <c r="F1081">
        <v>10</v>
      </c>
      <c r="G1081" t="s">
        <v>1</v>
      </c>
      <c r="H1081">
        <v>47</v>
      </c>
      <c r="I1081" t="s">
        <v>2</v>
      </c>
      <c r="K1081" s="1" t="s">
        <v>121</v>
      </c>
      <c r="M1081" t="s">
        <v>9</v>
      </c>
    </row>
    <row r="1082" spans="1:13" ht="15.75" customHeight="1" x14ac:dyDescent="0.2">
      <c r="A1082">
        <v>1420896</v>
      </c>
      <c r="B1082" s="9">
        <v>44030</v>
      </c>
      <c r="C1082" s="9">
        <v>44030</v>
      </c>
      <c r="D1082" t="s">
        <v>0</v>
      </c>
      <c r="E1082" t="s">
        <v>8</v>
      </c>
      <c r="F1082">
        <v>7</v>
      </c>
      <c r="G1082" t="s">
        <v>1</v>
      </c>
      <c r="H1082">
        <v>82</v>
      </c>
      <c r="I1082" t="s">
        <v>2</v>
      </c>
      <c r="K1082" s="1" t="s">
        <v>121</v>
      </c>
      <c r="M1082" t="s">
        <v>4</v>
      </c>
    </row>
    <row r="1083" spans="1:13" ht="15.75" customHeight="1" x14ac:dyDescent="0.2">
      <c r="A1083">
        <v>1421409</v>
      </c>
      <c r="B1083" s="9">
        <v>44029</v>
      </c>
      <c r="C1083" s="9">
        <v>44031</v>
      </c>
      <c r="D1083" t="s">
        <v>5</v>
      </c>
      <c r="E1083" t="s">
        <v>96</v>
      </c>
      <c r="F1083"/>
      <c r="G1083" t="s">
        <v>6</v>
      </c>
      <c r="H1083">
        <v>39</v>
      </c>
      <c r="I1083" t="s">
        <v>2</v>
      </c>
      <c r="K1083" s="1" t="s">
        <v>121</v>
      </c>
      <c r="M1083" t="s">
        <v>4</v>
      </c>
    </row>
    <row r="1084" spans="1:13" ht="15.75" customHeight="1" x14ac:dyDescent="0.2">
      <c r="A1084">
        <v>1421608</v>
      </c>
      <c r="B1084" s="9">
        <v>44031</v>
      </c>
      <c r="C1084" s="9">
        <v>44031</v>
      </c>
      <c r="D1084" t="s">
        <v>0</v>
      </c>
      <c r="E1084" t="s">
        <v>55</v>
      </c>
      <c r="F1084">
        <v>15</v>
      </c>
      <c r="G1084" t="s">
        <v>1</v>
      </c>
      <c r="H1084">
        <v>75</v>
      </c>
      <c r="I1084" t="s">
        <v>2</v>
      </c>
      <c r="K1084" s="1" t="s">
        <v>121</v>
      </c>
      <c r="M1084" t="s">
        <v>9</v>
      </c>
    </row>
    <row r="1085" spans="1:13" ht="15.75" customHeight="1" x14ac:dyDescent="0.2">
      <c r="A1085">
        <v>1421956</v>
      </c>
      <c r="B1085" s="9">
        <v>44029</v>
      </c>
      <c r="C1085" s="9">
        <v>44030</v>
      </c>
      <c r="D1085" t="s">
        <v>5</v>
      </c>
      <c r="E1085" t="s">
        <v>97</v>
      </c>
      <c r="F1085"/>
      <c r="G1085" t="s">
        <v>6</v>
      </c>
      <c r="H1085">
        <v>51</v>
      </c>
      <c r="I1085" t="s">
        <v>2</v>
      </c>
      <c r="K1085" s="1" t="s">
        <v>121</v>
      </c>
      <c r="M1085" t="s">
        <v>4</v>
      </c>
    </row>
    <row r="1086" spans="1:13" ht="15.75" customHeight="1" x14ac:dyDescent="0.2">
      <c r="A1086">
        <v>1422301</v>
      </c>
      <c r="B1086" s="9">
        <v>44031</v>
      </c>
      <c r="C1086" s="9">
        <v>44031</v>
      </c>
      <c r="D1086" t="s">
        <v>0</v>
      </c>
      <c r="E1086" t="s">
        <v>17</v>
      </c>
      <c r="F1086">
        <v>1</v>
      </c>
      <c r="G1086" t="s">
        <v>1</v>
      </c>
      <c r="H1086">
        <v>26</v>
      </c>
      <c r="I1086" t="s">
        <v>2</v>
      </c>
      <c r="K1086" s="1" t="s">
        <v>121</v>
      </c>
      <c r="M1086" t="s">
        <v>9</v>
      </c>
    </row>
    <row r="1087" spans="1:13" ht="15.75" customHeight="1" x14ac:dyDescent="0.2">
      <c r="A1087">
        <v>1422744</v>
      </c>
      <c r="B1087" s="9">
        <v>44031</v>
      </c>
      <c r="C1087" s="9">
        <v>44031</v>
      </c>
      <c r="D1087" t="s">
        <v>0</v>
      </c>
      <c r="E1087" t="s">
        <v>45</v>
      </c>
      <c r="F1087">
        <v>4</v>
      </c>
      <c r="G1087" t="s">
        <v>6</v>
      </c>
      <c r="H1087">
        <v>35</v>
      </c>
      <c r="I1087" t="s">
        <v>2</v>
      </c>
      <c r="K1087" s="1" t="s">
        <v>121</v>
      </c>
      <c r="M1087" t="s">
        <v>4</v>
      </c>
    </row>
    <row r="1088" spans="1:13" ht="15.75" customHeight="1" x14ac:dyDescent="0.2">
      <c r="A1088">
        <v>1424056</v>
      </c>
      <c r="B1088" s="9">
        <v>44031</v>
      </c>
      <c r="C1088" s="9">
        <v>44031</v>
      </c>
      <c r="D1088" t="s">
        <v>0</v>
      </c>
      <c r="E1088" t="s">
        <v>50</v>
      </c>
      <c r="F1088">
        <v>1</v>
      </c>
      <c r="G1088" t="s">
        <v>6</v>
      </c>
      <c r="H1088">
        <v>30</v>
      </c>
      <c r="I1088" t="s">
        <v>2</v>
      </c>
      <c r="K1088" s="1" t="s">
        <v>121</v>
      </c>
      <c r="M1088" t="s">
        <v>4</v>
      </c>
    </row>
    <row r="1089" spans="1:13" ht="15.75" customHeight="1" x14ac:dyDescent="0.2">
      <c r="A1089">
        <v>1425806</v>
      </c>
      <c r="B1089" s="9">
        <v>44031</v>
      </c>
      <c r="C1089" s="9">
        <v>44031</v>
      </c>
      <c r="D1089" t="s">
        <v>0</v>
      </c>
      <c r="E1089" t="s">
        <v>39</v>
      </c>
      <c r="F1089">
        <v>8</v>
      </c>
      <c r="G1089" t="s">
        <v>1</v>
      </c>
      <c r="H1089">
        <v>29</v>
      </c>
      <c r="I1089" t="s">
        <v>2</v>
      </c>
      <c r="K1089" s="1" t="s">
        <v>121</v>
      </c>
      <c r="M1089" t="s">
        <v>9</v>
      </c>
    </row>
    <row r="1090" spans="1:13" ht="15.75" customHeight="1" x14ac:dyDescent="0.2">
      <c r="A1090">
        <v>1425847</v>
      </c>
      <c r="B1090" s="9">
        <v>44031</v>
      </c>
      <c r="C1090" s="9">
        <v>44031</v>
      </c>
      <c r="D1090" t="s">
        <v>0</v>
      </c>
      <c r="E1090" t="s">
        <v>45</v>
      </c>
      <c r="F1090">
        <v>4</v>
      </c>
      <c r="G1090" t="s">
        <v>6</v>
      </c>
      <c r="H1090">
        <v>30</v>
      </c>
      <c r="I1090" t="s">
        <v>2</v>
      </c>
      <c r="K1090" s="1" t="s">
        <v>121</v>
      </c>
      <c r="M1090" t="s">
        <v>9</v>
      </c>
    </row>
    <row r="1091" spans="1:13" ht="15.75" customHeight="1" x14ac:dyDescent="0.2">
      <c r="A1091">
        <v>1426129</v>
      </c>
      <c r="B1091" s="9">
        <v>44031</v>
      </c>
      <c r="C1091" s="9">
        <v>44031</v>
      </c>
      <c r="D1091" t="s">
        <v>0</v>
      </c>
      <c r="E1091" t="s">
        <v>18</v>
      </c>
      <c r="F1091">
        <v>8</v>
      </c>
      <c r="G1091" t="s">
        <v>1</v>
      </c>
      <c r="H1091">
        <v>83</v>
      </c>
      <c r="I1091" t="s">
        <v>2</v>
      </c>
      <c r="K1091" s="1" t="s">
        <v>121</v>
      </c>
      <c r="M1091" t="s">
        <v>4</v>
      </c>
    </row>
    <row r="1092" spans="1:13" ht="15.75" customHeight="1" x14ac:dyDescent="0.2">
      <c r="A1092">
        <v>1426154</v>
      </c>
      <c r="B1092" s="9">
        <v>44031</v>
      </c>
      <c r="C1092" s="9">
        <v>44031</v>
      </c>
      <c r="D1092" t="s">
        <v>0</v>
      </c>
      <c r="E1092" t="s">
        <v>18</v>
      </c>
      <c r="F1092">
        <v>8</v>
      </c>
      <c r="G1092" t="s">
        <v>6</v>
      </c>
      <c r="H1092">
        <v>53</v>
      </c>
      <c r="I1092" t="s">
        <v>2</v>
      </c>
      <c r="K1092" s="1" t="s">
        <v>121</v>
      </c>
      <c r="M1092" t="s">
        <v>20</v>
      </c>
    </row>
    <row r="1093" spans="1:13" ht="15.75" customHeight="1" x14ac:dyDescent="0.2">
      <c r="A1093">
        <v>1426363</v>
      </c>
      <c r="B1093" s="9">
        <v>44031</v>
      </c>
      <c r="C1093" s="9">
        <v>44031</v>
      </c>
      <c r="D1093" t="s">
        <v>5</v>
      </c>
      <c r="E1093" t="s">
        <v>96</v>
      </c>
      <c r="F1093"/>
      <c r="G1093" t="s">
        <v>1</v>
      </c>
      <c r="H1093">
        <v>62</v>
      </c>
      <c r="I1093" t="s">
        <v>2</v>
      </c>
      <c r="K1093" s="1" t="s">
        <v>121</v>
      </c>
      <c r="M1093" t="s">
        <v>9</v>
      </c>
    </row>
    <row r="1094" spans="1:13" ht="15.75" customHeight="1" x14ac:dyDescent="0.2">
      <c r="A1094">
        <v>1426777</v>
      </c>
      <c r="B1094" s="9">
        <v>44031</v>
      </c>
      <c r="C1094" s="9">
        <v>44031</v>
      </c>
      <c r="D1094" t="s">
        <v>5</v>
      </c>
      <c r="E1094" s="5" t="s">
        <v>76</v>
      </c>
      <c r="F1094"/>
      <c r="G1094" t="s">
        <v>1</v>
      </c>
      <c r="H1094">
        <v>53</v>
      </c>
      <c r="I1094" t="s">
        <v>2</v>
      </c>
      <c r="K1094" s="1" t="s">
        <v>121</v>
      </c>
      <c r="M1094" t="s">
        <v>20</v>
      </c>
    </row>
    <row r="1095" spans="1:13" ht="15.75" customHeight="1" x14ac:dyDescent="0.2">
      <c r="A1095">
        <v>1429748</v>
      </c>
      <c r="B1095" s="9">
        <v>44029</v>
      </c>
      <c r="C1095" s="9">
        <v>44030</v>
      </c>
      <c r="D1095" t="s">
        <v>5</v>
      </c>
      <c r="E1095" t="s">
        <v>96</v>
      </c>
      <c r="F1095"/>
      <c r="G1095" t="s">
        <v>6</v>
      </c>
      <c r="H1095">
        <v>26</v>
      </c>
      <c r="I1095" t="s">
        <v>2</v>
      </c>
      <c r="K1095" s="1" t="s">
        <v>121</v>
      </c>
      <c r="M1095" t="s">
        <v>4</v>
      </c>
    </row>
    <row r="1096" spans="1:13" ht="15.75" customHeight="1" x14ac:dyDescent="0.2">
      <c r="A1096">
        <v>1431239</v>
      </c>
      <c r="B1096" s="9">
        <v>44031</v>
      </c>
      <c r="C1096" s="9">
        <v>44032</v>
      </c>
      <c r="D1096" t="s">
        <v>0</v>
      </c>
      <c r="E1096" t="s">
        <v>35</v>
      </c>
      <c r="F1096">
        <v>3</v>
      </c>
      <c r="G1096" t="s">
        <v>6</v>
      </c>
      <c r="H1096">
        <v>81</v>
      </c>
      <c r="I1096" t="s">
        <v>2</v>
      </c>
      <c r="K1096" s="1" t="s">
        <v>121</v>
      </c>
      <c r="M1096" t="s">
        <v>4</v>
      </c>
    </row>
    <row r="1097" spans="1:13" ht="15.75" customHeight="1" x14ac:dyDescent="0.2">
      <c r="A1097">
        <v>1433328</v>
      </c>
      <c r="B1097" s="9">
        <v>44032</v>
      </c>
      <c r="C1097" s="9">
        <v>44032</v>
      </c>
      <c r="D1097" t="s">
        <v>5</v>
      </c>
      <c r="E1097" s="5" t="s">
        <v>95</v>
      </c>
      <c r="F1097"/>
      <c r="G1097" t="s">
        <v>6</v>
      </c>
      <c r="H1097">
        <v>43</v>
      </c>
      <c r="I1097" t="s">
        <v>2</v>
      </c>
      <c r="K1097" s="1" t="s">
        <v>121</v>
      </c>
      <c r="M1097" t="s">
        <v>4</v>
      </c>
    </row>
    <row r="1098" spans="1:13" ht="15.75" customHeight="1" x14ac:dyDescent="0.2">
      <c r="A1098">
        <v>1433418</v>
      </c>
      <c r="B1098" s="9">
        <v>44032</v>
      </c>
      <c r="C1098" s="9">
        <v>44032</v>
      </c>
      <c r="D1098" t="s">
        <v>5</v>
      </c>
      <c r="E1098" t="s">
        <v>97</v>
      </c>
      <c r="F1098"/>
      <c r="G1098" t="s">
        <v>1</v>
      </c>
      <c r="H1098">
        <v>19</v>
      </c>
      <c r="I1098" t="s">
        <v>2</v>
      </c>
      <c r="K1098" s="1" t="s">
        <v>121</v>
      </c>
      <c r="M1098" t="s">
        <v>9</v>
      </c>
    </row>
    <row r="1099" spans="1:13" ht="15.75" customHeight="1" x14ac:dyDescent="0.2">
      <c r="A1099">
        <v>1433952</v>
      </c>
      <c r="B1099" s="9">
        <v>44032</v>
      </c>
      <c r="C1099" s="9">
        <v>44034</v>
      </c>
      <c r="D1099" t="s">
        <v>0</v>
      </c>
      <c r="E1099" t="s">
        <v>36</v>
      </c>
      <c r="F1099">
        <v>1</v>
      </c>
      <c r="G1099" t="s">
        <v>1</v>
      </c>
      <c r="H1099">
        <v>66</v>
      </c>
      <c r="I1099" t="s">
        <v>2</v>
      </c>
      <c r="K1099" s="1" t="s">
        <v>121</v>
      </c>
      <c r="M1099" t="s">
        <v>22</v>
      </c>
    </row>
    <row r="1100" spans="1:13" ht="15.75" customHeight="1" x14ac:dyDescent="0.2">
      <c r="A1100">
        <v>1434937</v>
      </c>
      <c r="B1100" s="9">
        <v>44032</v>
      </c>
      <c r="C1100" s="9">
        <v>44032</v>
      </c>
      <c r="D1100" t="s">
        <v>5</v>
      </c>
      <c r="E1100" t="s">
        <v>96</v>
      </c>
      <c r="F1100"/>
      <c r="G1100" t="s">
        <v>6</v>
      </c>
      <c r="H1100">
        <v>28</v>
      </c>
      <c r="I1100" t="s">
        <v>2</v>
      </c>
      <c r="K1100" s="1" t="s">
        <v>121</v>
      </c>
      <c r="M1100" t="s">
        <v>9</v>
      </c>
    </row>
    <row r="1101" spans="1:13" ht="15.75" customHeight="1" x14ac:dyDescent="0.2">
      <c r="A1101">
        <v>1435214</v>
      </c>
      <c r="B1101" s="9">
        <v>44032</v>
      </c>
      <c r="C1101" s="9">
        <v>44033</v>
      </c>
      <c r="D1101" t="s">
        <v>0</v>
      </c>
      <c r="E1101" t="s">
        <v>44</v>
      </c>
      <c r="F1101">
        <v>9</v>
      </c>
      <c r="G1101" t="s">
        <v>6</v>
      </c>
      <c r="H1101">
        <v>47</v>
      </c>
      <c r="I1101" t="s">
        <v>2</v>
      </c>
      <c r="K1101" s="1" t="s">
        <v>121</v>
      </c>
      <c r="M1101" t="s">
        <v>9</v>
      </c>
    </row>
    <row r="1102" spans="1:13" ht="15.75" customHeight="1" x14ac:dyDescent="0.2">
      <c r="A1102">
        <v>1459357</v>
      </c>
      <c r="B1102" s="9">
        <v>44033</v>
      </c>
      <c r="C1102" s="9">
        <v>44033</v>
      </c>
      <c r="D1102" t="s">
        <v>0</v>
      </c>
      <c r="E1102" s="5" t="s">
        <v>19</v>
      </c>
      <c r="F1102">
        <v>15</v>
      </c>
      <c r="G1102" t="s">
        <v>6</v>
      </c>
      <c r="H1102">
        <v>30</v>
      </c>
      <c r="I1102" t="s">
        <v>2</v>
      </c>
      <c r="K1102" s="1" t="s">
        <v>121</v>
      </c>
      <c r="M1102" t="s">
        <v>4</v>
      </c>
    </row>
    <row r="1103" spans="1:13" ht="15.75" customHeight="1" x14ac:dyDescent="0.2">
      <c r="A1103">
        <v>1459367</v>
      </c>
      <c r="B1103" s="9">
        <v>44033</v>
      </c>
      <c r="C1103" s="9">
        <v>44033</v>
      </c>
      <c r="D1103" t="s">
        <v>0</v>
      </c>
      <c r="E1103" t="s">
        <v>44</v>
      </c>
      <c r="F1103">
        <v>9</v>
      </c>
      <c r="G1103" t="s">
        <v>6</v>
      </c>
      <c r="H1103">
        <v>6</v>
      </c>
      <c r="I1103" t="s">
        <v>2</v>
      </c>
      <c r="K1103" s="1" t="s">
        <v>121</v>
      </c>
      <c r="M1103" t="s">
        <v>9</v>
      </c>
    </row>
    <row r="1104" spans="1:13" ht="15.75" customHeight="1" x14ac:dyDescent="0.2">
      <c r="A1104">
        <v>1459378</v>
      </c>
      <c r="B1104" s="9">
        <v>44033</v>
      </c>
      <c r="C1104" s="9">
        <v>44033</v>
      </c>
      <c r="D1104" t="s">
        <v>0</v>
      </c>
      <c r="E1104" t="s">
        <v>18</v>
      </c>
      <c r="F1104">
        <v>8</v>
      </c>
      <c r="G1104" t="s">
        <v>6</v>
      </c>
      <c r="H1104">
        <v>17</v>
      </c>
      <c r="I1104" t="s">
        <v>2</v>
      </c>
      <c r="K1104" s="1" t="s">
        <v>121</v>
      </c>
      <c r="M1104" t="s">
        <v>9</v>
      </c>
    </row>
    <row r="1105" spans="1:13" ht="15.75" customHeight="1" x14ac:dyDescent="0.2">
      <c r="A1105">
        <v>1459501</v>
      </c>
      <c r="B1105" s="9">
        <v>44033</v>
      </c>
      <c r="C1105" s="9">
        <v>44033</v>
      </c>
      <c r="D1105" t="s">
        <v>0</v>
      </c>
      <c r="E1105" t="s">
        <v>8</v>
      </c>
      <c r="F1105">
        <v>7</v>
      </c>
      <c r="G1105" t="s">
        <v>6</v>
      </c>
      <c r="H1105">
        <v>3</v>
      </c>
      <c r="I1105" t="s">
        <v>2</v>
      </c>
      <c r="K1105" s="1" t="s">
        <v>121</v>
      </c>
      <c r="M1105" t="s">
        <v>4</v>
      </c>
    </row>
    <row r="1106" spans="1:13" ht="15.75" customHeight="1" x14ac:dyDescent="0.2">
      <c r="A1106">
        <v>1459507</v>
      </c>
      <c r="B1106" s="9">
        <v>44033</v>
      </c>
      <c r="C1106" s="9">
        <v>44033</v>
      </c>
      <c r="D1106" t="s">
        <v>0</v>
      </c>
      <c r="E1106" t="s">
        <v>18</v>
      </c>
      <c r="F1106">
        <v>8</v>
      </c>
      <c r="G1106" t="s">
        <v>6</v>
      </c>
      <c r="H1106">
        <v>24</v>
      </c>
      <c r="I1106" t="s">
        <v>2</v>
      </c>
      <c r="K1106" s="1" t="s">
        <v>121</v>
      </c>
      <c r="M1106" t="s">
        <v>9</v>
      </c>
    </row>
    <row r="1107" spans="1:13" ht="15.75" customHeight="1" x14ac:dyDescent="0.2">
      <c r="A1107">
        <v>1459579</v>
      </c>
      <c r="B1107" s="9">
        <v>44033</v>
      </c>
      <c r="C1107" s="9">
        <v>44034</v>
      </c>
      <c r="D1107" t="s">
        <v>0</v>
      </c>
      <c r="E1107" t="s">
        <v>8</v>
      </c>
      <c r="F1107">
        <v>7</v>
      </c>
      <c r="G1107" t="s">
        <v>6</v>
      </c>
      <c r="H1107">
        <v>5</v>
      </c>
      <c r="I1107" t="s">
        <v>2</v>
      </c>
      <c r="K1107" s="1" t="s">
        <v>121</v>
      </c>
      <c r="M1107" t="s">
        <v>20</v>
      </c>
    </row>
    <row r="1108" spans="1:13" ht="15.75" customHeight="1" x14ac:dyDescent="0.2">
      <c r="A1108">
        <v>1459608</v>
      </c>
      <c r="B1108" s="9">
        <v>44033</v>
      </c>
      <c r="C1108" s="9">
        <v>44034</v>
      </c>
      <c r="D1108" t="s">
        <v>5</v>
      </c>
      <c r="E1108" t="s">
        <v>75</v>
      </c>
      <c r="F1108"/>
      <c r="G1108" t="s">
        <v>6</v>
      </c>
      <c r="H1108">
        <v>40</v>
      </c>
      <c r="I1108" t="s">
        <v>2</v>
      </c>
      <c r="K1108" s="1" t="s">
        <v>121</v>
      </c>
      <c r="M1108" t="s">
        <v>4</v>
      </c>
    </row>
    <row r="1109" spans="1:13" ht="15.75" customHeight="1" x14ac:dyDescent="0.2">
      <c r="A1109">
        <v>1459625</v>
      </c>
      <c r="B1109" s="9">
        <v>44033</v>
      </c>
      <c r="C1109" s="9">
        <v>44034</v>
      </c>
      <c r="D1109" t="s">
        <v>5</v>
      </c>
      <c r="E1109" s="1" t="s">
        <v>90</v>
      </c>
      <c r="F1109"/>
      <c r="G1109" t="s">
        <v>6</v>
      </c>
      <c r="H1109">
        <v>7</v>
      </c>
      <c r="I1109" t="s">
        <v>2</v>
      </c>
      <c r="K1109" s="1" t="s">
        <v>121</v>
      </c>
      <c r="M1109" t="s">
        <v>9</v>
      </c>
    </row>
    <row r="1110" spans="1:13" ht="15.75" customHeight="1" x14ac:dyDescent="0.2">
      <c r="A1110">
        <v>1459628</v>
      </c>
      <c r="B1110" s="9">
        <v>44033</v>
      </c>
      <c r="C1110" s="9">
        <v>44034</v>
      </c>
      <c r="D1110" t="s">
        <v>5</v>
      </c>
      <c r="E1110" t="s">
        <v>96</v>
      </c>
      <c r="F1110"/>
      <c r="G1110" t="s">
        <v>6</v>
      </c>
      <c r="H1110">
        <v>13</v>
      </c>
      <c r="I1110" t="s">
        <v>2</v>
      </c>
      <c r="K1110" s="1" t="s">
        <v>121</v>
      </c>
      <c r="M1110" t="s">
        <v>4</v>
      </c>
    </row>
    <row r="1111" spans="1:13" ht="15.75" customHeight="1" x14ac:dyDescent="0.2">
      <c r="A1111">
        <v>1459633</v>
      </c>
      <c r="B1111" s="9">
        <v>44033</v>
      </c>
      <c r="C1111" s="9">
        <v>44034</v>
      </c>
      <c r="D1111" t="s">
        <v>5</v>
      </c>
      <c r="E1111" s="5" t="s">
        <v>95</v>
      </c>
      <c r="F1111"/>
      <c r="G1111" t="s">
        <v>6</v>
      </c>
      <c r="H1111">
        <v>16</v>
      </c>
      <c r="I1111" t="s">
        <v>2</v>
      </c>
      <c r="K1111" s="1" t="s">
        <v>121</v>
      </c>
      <c r="M1111" t="s">
        <v>4</v>
      </c>
    </row>
    <row r="1112" spans="1:13" ht="15.75" customHeight="1" x14ac:dyDescent="0.2">
      <c r="A1112">
        <v>1459636</v>
      </c>
      <c r="B1112" s="9">
        <v>44033</v>
      </c>
      <c r="C1112" s="9">
        <v>44034</v>
      </c>
      <c r="D1112" t="s">
        <v>5</v>
      </c>
      <c r="E1112" s="5" t="s">
        <v>76</v>
      </c>
      <c r="F1112"/>
      <c r="G1112" t="s">
        <v>6</v>
      </c>
      <c r="H1112">
        <v>18</v>
      </c>
      <c r="I1112" t="s">
        <v>2</v>
      </c>
      <c r="K1112" s="1" t="s">
        <v>121</v>
      </c>
      <c r="M1112" t="s">
        <v>9</v>
      </c>
    </row>
    <row r="1113" spans="1:13" ht="15.75" customHeight="1" x14ac:dyDescent="0.2">
      <c r="A1113">
        <v>1461616</v>
      </c>
      <c r="B1113" s="9">
        <v>44033</v>
      </c>
      <c r="C1113" s="9">
        <v>44033</v>
      </c>
      <c r="D1113" t="s">
        <v>0</v>
      </c>
      <c r="E1113" t="s">
        <v>7</v>
      </c>
      <c r="F1113">
        <v>3</v>
      </c>
      <c r="G1113" t="s">
        <v>6</v>
      </c>
      <c r="H1113">
        <v>29</v>
      </c>
      <c r="I1113" t="s">
        <v>2</v>
      </c>
      <c r="K1113" s="1" t="s">
        <v>121</v>
      </c>
      <c r="M1113" t="s">
        <v>4</v>
      </c>
    </row>
    <row r="1114" spans="1:13" ht="15.75" customHeight="1" x14ac:dyDescent="0.2">
      <c r="A1114">
        <v>1461724</v>
      </c>
      <c r="B1114" s="9">
        <v>44033</v>
      </c>
      <c r="C1114" s="9">
        <v>44034</v>
      </c>
      <c r="D1114" t="s">
        <v>0</v>
      </c>
      <c r="E1114" t="s">
        <v>12</v>
      </c>
      <c r="F1114">
        <v>1</v>
      </c>
      <c r="G1114" t="s">
        <v>6</v>
      </c>
      <c r="H1114">
        <v>21</v>
      </c>
      <c r="I1114" t="s">
        <v>2</v>
      </c>
      <c r="K1114" s="1" t="s">
        <v>121</v>
      </c>
      <c r="M1114" t="s">
        <v>9</v>
      </c>
    </row>
    <row r="1115" spans="1:13" ht="15.75" customHeight="1" x14ac:dyDescent="0.2">
      <c r="A1115">
        <v>1461785</v>
      </c>
      <c r="B1115" s="9">
        <v>44035</v>
      </c>
      <c r="C1115" s="9">
        <v>44035</v>
      </c>
      <c r="D1115" t="s">
        <v>0</v>
      </c>
      <c r="E1115" t="s">
        <v>30</v>
      </c>
      <c r="F1115">
        <v>15</v>
      </c>
      <c r="G1115" t="s">
        <v>6</v>
      </c>
      <c r="H1115">
        <v>39</v>
      </c>
      <c r="I1115" t="s">
        <v>2</v>
      </c>
      <c r="K1115" s="1" t="s">
        <v>121</v>
      </c>
      <c r="M1115" t="s">
        <v>4</v>
      </c>
    </row>
    <row r="1116" spans="1:13" ht="15.75" customHeight="1" x14ac:dyDescent="0.2">
      <c r="A1116">
        <v>1461858</v>
      </c>
      <c r="B1116" s="9">
        <v>44034</v>
      </c>
      <c r="C1116" s="9">
        <v>44034</v>
      </c>
      <c r="D1116" t="s">
        <v>0</v>
      </c>
      <c r="E1116" t="s">
        <v>7</v>
      </c>
      <c r="F1116">
        <v>3</v>
      </c>
      <c r="G1116" t="s">
        <v>1</v>
      </c>
      <c r="H1116">
        <v>21</v>
      </c>
      <c r="I1116" t="s">
        <v>2</v>
      </c>
      <c r="K1116" s="1" t="s">
        <v>121</v>
      </c>
      <c r="M1116" t="s">
        <v>9</v>
      </c>
    </row>
    <row r="1117" spans="1:13" ht="15.75" customHeight="1" x14ac:dyDescent="0.2">
      <c r="A1117">
        <v>1462179</v>
      </c>
      <c r="B1117" s="9">
        <v>44033</v>
      </c>
      <c r="C1117" s="9">
        <v>44033</v>
      </c>
      <c r="D1117" t="s">
        <v>0</v>
      </c>
      <c r="E1117" t="s">
        <v>8</v>
      </c>
      <c r="F1117">
        <v>7</v>
      </c>
      <c r="G1117" t="s">
        <v>1</v>
      </c>
      <c r="H1117">
        <v>55</v>
      </c>
      <c r="I1117" t="s">
        <v>2</v>
      </c>
      <c r="K1117" s="1" t="s">
        <v>121</v>
      </c>
      <c r="M1117" t="s">
        <v>20</v>
      </c>
    </row>
    <row r="1118" spans="1:13" ht="15.75" customHeight="1" x14ac:dyDescent="0.2">
      <c r="A1118">
        <v>1462258</v>
      </c>
      <c r="B1118" s="9">
        <v>44033</v>
      </c>
      <c r="C1118" s="9">
        <v>44033</v>
      </c>
      <c r="D1118" t="s">
        <v>0</v>
      </c>
      <c r="E1118" t="s">
        <v>39</v>
      </c>
      <c r="F1118">
        <v>8</v>
      </c>
      <c r="G1118" t="s">
        <v>1</v>
      </c>
      <c r="H1118">
        <v>44</v>
      </c>
      <c r="I1118" t="s">
        <v>2</v>
      </c>
      <c r="K1118" s="1" t="s">
        <v>121</v>
      </c>
      <c r="M1118" t="s">
        <v>22</v>
      </c>
    </row>
    <row r="1119" spans="1:13" ht="15.75" customHeight="1" x14ac:dyDescent="0.2">
      <c r="A1119">
        <v>1463089</v>
      </c>
      <c r="B1119" s="9">
        <v>44034</v>
      </c>
      <c r="C1119" s="9">
        <v>44034</v>
      </c>
      <c r="D1119" t="s">
        <v>5</v>
      </c>
      <c r="E1119" t="s">
        <v>96</v>
      </c>
      <c r="F1119"/>
      <c r="G1119" t="s">
        <v>1</v>
      </c>
      <c r="H1119">
        <v>44</v>
      </c>
      <c r="I1119" t="s">
        <v>2</v>
      </c>
      <c r="K1119" s="1" t="s">
        <v>121</v>
      </c>
      <c r="M1119" t="s">
        <v>4</v>
      </c>
    </row>
    <row r="1120" spans="1:13" ht="15.75" customHeight="1" x14ac:dyDescent="0.2">
      <c r="A1120">
        <v>1463150</v>
      </c>
      <c r="B1120" s="9">
        <v>44030</v>
      </c>
      <c r="C1120" s="9">
        <v>44030</v>
      </c>
      <c r="D1120" t="s">
        <v>0</v>
      </c>
      <c r="E1120" t="s">
        <v>28</v>
      </c>
      <c r="F1120">
        <v>11</v>
      </c>
      <c r="G1120" t="s">
        <v>6</v>
      </c>
      <c r="H1120">
        <v>69</v>
      </c>
      <c r="I1120" t="s">
        <v>2</v>
      </c>
      <c r="K1120" s="1" t="s">
        <v>121</v>
      </c>
      <c r="M1120" t="s">
        <v>4</v>
      </c>
    </row>
    <row r="1121" spans="1:13" ht="15.75" customHeight="1" x14ac:dyDescent="0.2">
      <c r="A1121">
        <v>1464050</v>
      </c>
      <c r="B1121" s="9">
        <v>44033</v>
      </c>
      <c r="C1121" s="9">
        <v>44033</v>
      </c>
      <c r="D1121" t="s">
        <v>0</v>
      </c>
      <c r="E1121" t="s">
        <v>31</v>
      </c>
      <c r="F1121">
        <v>10</v>
      </c>
      <c r="G1121" t="s">
        <v>1</v>
      </c>
      <c r="H1121">
        <v>62</v>
      </c>
      <c r="I1121" t="s">
        <v>2</v>
      </c>
      <c r="K1121" s="1" t="s">
        <v>121</v>
      </c>
      <c r="M1121" t="s">
        <v>9</v>
      </c>
    </row>
    <row r="1122" spans="1:13" ht="15.75" customHeight="1" x14ac:dyDescent="0.2">
      <c r="A1122">
        <v>1464680</v>
      </c>
      <c r="B1122" s="9">
        <v>44033</v>
      </c>
      <c r="C1122" s="9">
        <v>44033</v>
      </c>
      <c r="D1122" t="s">
        <v>0</v>
      </c>
      <c r="E1122" t="s">
        <v>29</v>
      </c>
      <c r="F1122">
        <v>12</v>
      </c>
      <c r="G1122" t="s">
        <v>6</v>
      </c>
      <c r="H1122">
        <v>55</v>
      </c>
      <c r="I1122" t="s">
        <v>2</v>
      </c>
      <c r="K1122" s="1" t="s">
        <v>121</v>
      </c>
      <c r="M1122" t="s">
        <v>20</v>
      </c>
    </row>
    <row r="1123" spans="1:13" ht="15.75" customHeight="1" x14ac:dyDescent="0.2">
      <c r="A1123">
        <v>1465180</v>
      </c>
      <c r="B1123" s="9">
        <v>44034</v>
      </c>
      <c r="C1123" s="9">
        <v>44034</v>
      </c>
      <c r="D1123" t="s">
        <v>5</v>
      </c>
      <c r="E1123" s="5" t="s">
        <v>95</v>
      </c>
      <c r="F1123"/>
      <c r="G1123" t="s">
        <v>1</v>
      </c>
      <c r="H1123">
        <v>42</v>
      </c>
      <c r="I1123" t="s">
        <v>2</v>
      </c>
      <c r="K1123" s="1" t="s">
        <v>121</v>
      </c>
      <c r="M1123" t="s">
        <v>4</v>
      </c>
    </row>
    <row r="1124" spans="1:13" ht="15.75" customHeight="1" x14ac:dyDescent="0.2">
      <c r="A1124">
        <v>1465423</v>
      </c>
      <c r="B1124" s="9">
        <v>44034</v>
      </c>
      <c r="C1124" s="9">
        <v>44035</v>
      </c>
      <c r="D1124" t="s">
        <v>0</v>
      </c>
      <c r="E1124" t="s">
        <v>11</v>
      </c>
      <c r="F1124">
        <v>6</v>
      </c>
      <c r="G1124" t="s">
        <v>1</v>
      </c>
      <c r="H1124">
        <v>84</v>
      </c>
      <c r="I1124" t="s">
        <v>2</v>
      </c>
      <c r="K1124" s="1" t="s">
        <v>121</v>
      </c>
      <c r="M1124" t="s">
        <v>20</v>
      </c>
    </row>
    <row r="1125" spans="1:13" ht="15.75" customHeight="1" x14ac:dyDescent="0.2">
      <c r="A1125">
        <v>1466405</v>
      </c>
      <c r="B1125" s="9">
        <v>44033</v>
      </c>
      <c r="C1125" s="9">
        <v>44033</v>
      </c>
      <c r="D1125" t="s">
        <v>0</v>
      </c>
      <c r="E1125" t="s">
        <v>18</v>
      </c>
      <c r="F1125">
        <v>8</v>
      </c>
      <c r="G1125" t="s">
        <v>1</v>
      </c>
      <c r="H1125">
        <v>57</v>
      </c>
      <c r="I1125" t="s">
        <v>2</v>
      </c>
      <c r="K1125" s="1" t="s">
        <v>121</v>
      </c>
      <c r="M1125" t="s">
        <v>9</v>
      </c>
    </row>
    <row r="1126" spans="1:13" ht="15.75" customHeight="1" x14ac:dyDescent="0.2">
      <c r="A1126">
        <v>1467107</v>
      </c>
      <c r="B1126" s="9">
        <v>44033</v>
      </c>
      <c r="C1126" s="9">
        <v>44033</v>
      </c>
      <c r="D1126" t="s">
        <v>0</v>
      </c>
      <c r="E1126" t="s">
        <v>18</v>
      </c>
      <c r="F1126">
        <v>8</v>
      </c>
      <c r="G1126" t="s">
        <v>1</v>
      </c>
      <c r="H1126">
        <v>9</v>
      </c>
      <c r="I1126" t="s">
        <v>2</v>
      </c>
      <c r="K1126" s="1" t="s">
        <v>121</v>
      </c>
      <c r="M1126" t="s">
        <v>9</v>
      </c>
    </row>
    <row r="1127" spans="1:13" ht="15.75" customHeight="1" x14ac:dyDescent="0.2">
      <c r="A1127">
        <v>1467160</v>
      </c>
      <c r="B1127" s="9">
        <v>44033</v>
      </c>
      <c r="C1127" s="9">
        <v>44033</v>
      </c>
      <c r="D1127" t="s">
        <v>5</v>
      </c>
      <c r="E1127" s="5" t="s">
        <v>76</v>
      </c>
      <c r="F1127"/>
      <c r="G1127" t="s">
        <v>1</v>
      </c>
      <c r="H1127">
        <v>2</v>
      </c>
      <c r="I1127" t="s">
        <v>2</v>
      </c>
      <c r="K1127" s="1" t="s">
        <v>121</v>
      </c>
      <c r="M1127" t="s">
        <v>4</v>
      </c>
    </row>
    <row r="1128" spans="1:13" ht="15.75" customHeight="1" x14ac:dyDescent="0.2">
      <c r="A1128">
        <v>1467183</v>
      </c>
      <c r="B1128" s="9">
        <v>44033</v>
      </c>
      <c r="C1128" s="9">
        <v>44033</v>
      </c>
      <c r="D1128" t="s">
        <v>0</v>
      </c>
      <c r="E1128" t="s">
        <v>18</v>
      </c>
      <c r="F1128">
        <v>8</v>
      </c>
      <c r="G1128" t="s">
        <v>1</v>
      </c>
      <c r="H1128">
        <v>38</v>
      </c>
      <c r="I1128" t="s">
        <v>2</v>
      </c>
      <c r="K1128" s="1" t="s">
        <v>121</v>
      </c>
      <c r="M1128" t="s">
        <v>9</v>
      </c>
    </row>
    <row r="1129" spans="1:13" ht="15.75" customHeight="1" x14ac:dyDescent="0.2">
      <c r="A1129">
        <v>1467198</v>
      </c>
      <c r="B1129" s="9">
        <v>44034</v>
      </c>
      <c r="C1129" s="9">
        <v>44034</v>
      </c>
      <c r="D1129" t="s">
        <v>5</v>
      </c>
      <c r="E1129" t="s">
        <v>96</v>
      </c>
      <c r="F1129"/>
      <c r="G1129" t="s">
        <v>6</v>
      </c>
      <c r="H1129">
        <v>64</v>
      </c>
      <c r="I1129" t="s">
        <v>2</v>
      </c>
      <c r="K1129" s="1" t="s">
        <v>121</v>
      </c>
      <c r="M1129" t="s">
        <v>9</v>
      </c>
    </row>
    <row r="1130" spans="1:13" ht="15.75" customHeight="1" x14ac:dyDescent="0.2">
      <c r="A1130">
        <v>1467249</v>
      </c>
      <c r="B1130" s="9">
        <v>44033</v>
      </c>
      <c r="C1130" s="9">
        <v>44033</v>
      </c>
      <c r="D1130" t="s">
        <v>0</v>
      </c>
      <c r="E1130" t="s">
        <v>18</v>
      </c>
      <c r="F1130">
        <v>8</v>
      </c>
      <c r="G1130" t="s">
        <v>1</v>
      </c>
      <c r="H1130">
        <v>36</v>
      </c>
      <c r="I1130" t="s">
        <v>2</v>
      </c>
      <c r="K1130" s="1" t="s">
        <v>121</v>
      </c>
      <c r="M1130" t="s">
        <v>9</v>
      </c>
    </row>
    <row r="1131" spans="1:13" ht="15.75" customHeight="1" x14ac:dyDescent="0.2">
      <c r="A1131">
        <v>1467305</v>
      </c>
      <c r="B1131" s="9">
        <v>44033</v>
      </c>
      <c r="C1131" s="9">
        <v>44033</v>
      </c>
      <c r="D1131" t="s">
        <v>0</v>
      </c>
      <c r="E1131" t="s">
        <v>18</v>
      </c>
      <c r="F1131">
        <v>8</v>
      </c>
      <c r="G1131" t="s">
        <v>1</v>
      </c>
      <c r="H1131">
        <v>66</v>
      </c>
      <c r="I1131" t="s">
        <v>2</v>
      </c>
      <c r="K1131" s="1" t="s">
        <v>121</v>
      </c>
      <c r="M1131" t="s">
        <v>9</v>
      </c>
    </row>
    <row r="1132" spans="1:13" ht="15.75" customHeight="1" x14ac:dyDescent="0.2">
      <c r="A1132">
        <v>1467602</v>
      </c>
      <c r="B1132" s="9">
        <v>44033</v>
      </c>
      <c r="C1132" s="9">
        <v>44033</v>
      </c>
      <c r="D1132" t="s">
        <v>0</v>
      </c>
      <c r="E1132" t="s">
        <v>8</v>
      </c>
      <c r="F1132">
        <v>7</v>
      </c>
      <c r="G1132" t="s">
        <v>6</v>
      </c>
      <c r="H1132">
        <v>5</v>
      </c>
      <c r="I1132" t="s">
        <v>2</v>
      </c>
      <c r="K1132" s="1" t="s">
        <v>121</v>
      </c>
      <c r="M1132" t="s">
        <v>20</v>
      </c>
    </row>
    <row r="1133" spans="1:13" ht="15.75" customHeight="1" x14ac:dyDescent="0.2">
      <c r="A1133">
        <v>1467689</v>
      </c>
      <c r="B1133" s="9">
        <v>44033</v>
      </c>
      <c r="C1133" s="9">
        <v>44033</v>
      </c>
      <c r="D1133" t="s">
        <v>0</v>
      </c>
      <c r="E1133" t="s">
        <v>24</v>
      </c>
      <c r="F1133">
        <v>9</v>
      </c>
      <c r="G1133" t="s">
        <v>1</v>
      </c>
      <c r="H1133">
        <v>22</v>
      </c>
      <c r="I1133" t="s">
        <v>2</v>
      </c>
      <c r="K1133" s="1" t="s">
        <v>121</v>
      </c>
      <c r="M1133" t="s">
        <v>4</v>
      </c>
    </row>
    <row r="1134" spans="1:13" ht="15.75" customHeight="1" x14ac:dyDescent="0.2">
      <c r="A1134">
        <v>1467747</v>
      </c>
      <c r="B1134" s="9">
        <v>44033</v>
      </c>
      <c r="C1134" s="9">
        <v>44033</v>
      </c>
      <c r="D1134" t="s">
        <v>0</v>
      </c>
      <c r="E1134" t="s">
        <v>18</v>
      </c>
      <c r="F1134">
        <v>8</v>
      </c>
      <c r="G1134" t="s">
        <v>1</v>
      </c>
      <c r="H1134">
        <v>20</v>
      </c>
      <c r="I1134" t="s">
        <v>2</v>
      </c>
      <c r="K1134" s="1" t="s">
        <v>121</v>
      </c>
      <c r="M1134" t="s">
        <v>9</v>
      </c>
    </row>
    <row r="1135" spans="1:13" ht="15.75" customHeight="1" x14ac:dyDescent="0.2">
      <c r="A1135">
        <v>1517188</v>
      </c>
      <c r="B1135" s="9">
        <v>44034</v>
      </c>
      <c r="C1135" s="9">
        <v>44035</v>
      </c>
      <c r="D1135" t="s">
        <v>5</v>
      </c>
      <c r="E1135" t="s">
        <v>96</v>
      </c>
      <c r="F1135"/>
      <c r="G1135" t="s">
        <v>1</v>
      </c>
      <c r="H1135">
        <v>41</v>
      </c>
      <c r="I1135" t="s">
        <v>2</v>
      </c>
      <c r="K1135" s="1" t="s">
        <v>121</v>
      </c>
      <c r="M1135" t="s">
        <v>4</v>
      </c>
    </row>
    <row r="1136" spans="1:13" ht="15.75" customHeight="1" x14ac:dyDescent="0.2">
      <c r="A1136">
        <v>1517338</v>
      </c>
      <c r="B1136" s="9">
        <v>44037</v>
      </c>
      <c r="C1136" s="9">
        <v>44037</v>
      </c>
      <c r="D1136" t="s">
        <v>0</v>
      </c>
      <c r="E1136" t="s">
        <v>26</v>
      </c>
      <c r="F1136">
        <v>4</v>
      </c>
      <c r="G1136" t="s">
        <v>1</v>
      </c>
      <c r="H1136">
        <v>2</v>
      </c>
      <c r="I1136" t="s">
        <v>2</v>
      </c>
      <c r="K1136" s="1" t="s">
        <v>121</v>
      </c>
      <c r="M1136" t="s">
        <v>4</v>
      </c>
    </row>
    <row r="1137" spans="1:13" ht="15.75" customHeight="1" x14ac:dyDescent="0.2">
      <c r="A1137">
        <v>1518167</v>
      </c>
      <c r="B1137" s="9">
        <v>44037</v>
      </c>
      <c r="C1137" s="9">
        <v>44038</v>
      </c>
      <c r="D1137" t="s">
        <v>0</v>
      </c>
      <c r="E1137" t="s">
        <v>43</v>
      </c>
      <c r="F1137">
        <v>10</v>
      </c>
      <c r="G1137" t="s">
        <v>1</v>
      </c>
      <c r="H1137">
        <v>34</v>
      </c>
      <c r="I1137" t="s">
        <v>2</v>
      </c>
      <c r="K1137" s="1" t="s">
        <v>121</v>
      </c>
      <c r="M1137" t="s">
        <v>9</v>
      </c>
    </row>
    <row r="1138" spans="1:13" ht="15.75" customHeight="1" x14ac:dyDescent="0.2">
      <c r="A1138">
        <v>1518476</v>
      </c>
      <c r="B1138" s="9">
        <v>44036</v>
      </c>
      <c r="C1138" s="9">
        <v>44037</v>
      </c>
      <c r="D1138" t="s">
        <v>5</v>
      </c>
      <c r="E1138" s="1" t="s">
        <v>90</v>
      </c>
      <c r="F1138"/>
      <c r="G1138" t="s">
        <v>1</v>
      </c>
      <c r="H1138">
        <v>24</v>
      </c>
      <c r="I1138" t="s">
        <v>2</v>
      </c>
      <c r="K1138" s="1" t="s">
        <v>121</v>
      </c>
      <c r="M1138" t="s">
        <v>9</v>
      </c>
    </row>
    <row r="1139" spans="1:13" ht="15.75" customHeight="1" x14ac:dyDescent="0.2">
      <c r="A1139">
        <v>1518521</v>
      </c>
      <c r="B1139" s="9">
        <v>44037</v>
      </c>
      <c r="C1139" s="9">
        <v>44037</v>
      </c>
      <c r="D1139" t="s">
        <v>0</v>
      </c>
      <c r="E1139" t="s">
        <v>36</v>
      </c>
      <c r="F1139">
        <v>1</v>
      </c>
      <c r="G1139" t="s">
        <v>6</v>
      </c>
      <c r="H1139">
        <v>36</v>
      </c>
      <c r="I1139" t="s">
        <v>2</v>
      </c>
      <c r="K1139" s="1" t="s">
        <v>121</v>
      </c>
      <c r="M1139" t="s">
        <v>4</v>
      </c>
    </row>
    <row r="1140" spans="1:13" ht="15.75" customHeight="1" x14ac:dyDescent="0.2">
      <c r="A1140">
        <v>1518741</v>
      </c>
      <c r="B1140" s="9">
        <v>44036</v>
      </c>
      <c r="C1140" s="9">
        <v>44036</v>
      </c>
      <c r="D1140" t="s">
        <v>5</v>
      </c>
      <c r="E1140" t="s">
        <v>96</v>
      </c>
      <c r="F1140"/>
      <c r="G1140" t="s">
        <v>1</v>
      </c>
      <c r="H1140">
        <v>45</v>
      </c>
      <c r="I1140" t="s">
        <v>2</v>
      </c>
      <c r="K1140" s="1" t="s">
        <v>121</v>
      </c>
      <c r="M1140" t="s">
        <v>20</v>
      </c>
    </row>
    <row r="1141" spans="1:13" ht="15.75" customHeight="1" x14ac:dyDescent="0.2">
      <c r="A1141">
        <v>1518829</v>
      </c>
      <c r="B1141" s="9">
        <v>44036</v>
      </c>
      <c r="C1141" s="9">
        <v>44036</v>
      </c>
      <c r="D1141" t="s">
        <v>0</v>
      </c>
      <c r="E1141" t="s">
        <v>27</v>
      </c>
      <c r="F1141">
        <v>4</v>
      </c>
      <c r="G1141" t="s">
        <v>6</v>
      </c>
      <c r="H1141">
        <v>26</v>
      </c>
      <c r="I1141" t="s">
        <v>2</v>
      </c>
      <c r="K1141" s="1" t="s">
        <v>121</v>
      </c>
      <c r="M1141" t="s">
        <v>9</v>
      </c>
    </row>
    <row r="1142" spans="1:13" ht="15.75" customHeight="1" x14ac:dyDescent="0.2">
      <c r="A1142">
        <v>1518955</v>
      </c>
      <c r="B1142" s="9">
        <v>44037</v>
      </c>
      <c r="C1142" s="9">
        <v>44037</v>
      </c>
      <c r="D1142" t="s">
        <v>0</v>
      </c>
      <c r="E1142" t="s">
        <v>17</v>
      </c>
      <c r="F1142">
        <v>1</v>
      </c>
      <c r="G1142" t="s">
        <v>6</v>
      </c>
      <c r="H1142">
        <v>52</v>
      </c>
      <c r="I1142" t="s">
        <v>2</v>
      </c>
      <c r="K1142" s="1" t="s">
        <v>121</v>
      </c>
      <c r="M1142" t="s">
        <v>9</v>
      </c>
    </row>
    <row r="1143" spans="1:13" ht="15.75" customHeight="1" x14ac:dyDescent="0.2">
      <c r="A1143">
        <v>1519377</v>
      </c>
      <c r="B1143" s="9">
        <v>44040</v>
      </c>
      <c r="C1143" s="9">
        <v>44040</v>
      </c>
      <c r="D1143" t="s">
        <v>0</v>
      </c>
      <c r="E1143" t="s">
        <v>41</v>
      </c>
      <c r="F1143">
        <v>4</v>
      </c>
      <c r="G1143" t="s">
        <v>6</v>
      </c>
      <c r="H1143">
        <v>39</v>
      </c>
      <c r="I1143" t="s">
        <v>2</v>
      </c>
      <c r="K1143" s="1" t="s">
        <v>121</v>
      </c>
      <c r="M1143" t="s">
        <v>22</v>
      </c>
    </row>
    <row r="1144" spans="1:13" ht="15.75" customHeight="1" x14ac:dyDescent="0.2">
      <c r="A1144">
        <v>1521264</v>
      </c>
      <c r="B1144" s="9">
        <v>44037</v>
      </c>
      <c r="C1144" s="9">
        <v>44038</v>
      </c>
      <c r="D1144" t="s">
        <v>0</v>
      </c>
      <c r="E1144" t="s">
        <v>56</v>
      </c>
      <c r="F1144">
        <v>10</v>
      </c>
      <c r="G1144" t="s">
        <v>1</v>
      </c>
      <c r="H1144">
        <v>45</v>
      </c>
      <c r="I1144" t="s">
        <v>2</v>
      </c>
      <c r="K1144" s="1" t="s">
        <v>121</v>
      </c>
      <c r="M1144" t="s">
        <v>20</v>
      </c>
    </row>
    <row r="1145" spans="1:13" ht="15.75" customHeight="1" x14ac:dyDescent="0.2">
      <c r="A1145">
        <v>1522134</v>
      </c>
      <c r="B1145" s="9">
        <v>44036</v>
      </c>
      <c r="C1145" s="9">
        <v>44036</v>
      </c>
      <c r="D1145" t="s">
        <v>5</v>
      </c>
      <c r="E1145" s="5" t="s">
        <v>76</v>
      </c>
      <c r="F1145"/>
      <c r="G1145" t="s">
        <v>6</v>
      </c>
      <c r="H1145">
        <v>30</v>
      </c>
      <c r="I1145" t="s">
        <v>2</v>
      </c>
      <c r="K1145" s="1" t="s">
        <v>121</v>
      </c>
      <c r="M1145" t="s">
        <v>20</v>
      </c>
    </row>
    <row r="1146" spans="1:13" ht="15.75" customHeight="1" x14ac:dyDescent="0.2">
      <c r="A1146">
        <v>1522593</v>
      </c>
      <c r="B1146" s="9">
        <v>44034</v>
      </c>
      <c r="C1146" s="9">
        <v>44034</v>
      </c>
      <c r="D1146" t="s">
        <v>0</v>
      </c>
      <c r="E1146" t="s">
        <v>44</v>
      </c>
      <c r="F1146">
        <v>9</v>
      </c>
      <c r="G1146" t="s">
        <v>1</v>
      </c>
      <c r="H1146">
        <v>50</v>
      </c>
      <c r="I1146" t="s">
        <v>2</v>
      </c>
      <c r="K1146" s="1" t="s">
        <v>121</v>
      </c>
      <c r="M1146" t="s">
        <v>4</v>
      </c>
    </row>
    <row r="1147" spans="1:13" ht="15.75" customHeight="1" x14ac:dyDescent="0.2">
      <c r="A1147">
        <v>1527363</v>
      </c>
      <c r="B1147" s="9">
        <v>44037</v>
      </c>
      <c r="C1147" s="9">
        <v>44037</v>
      </c>
      <c r="D1147" t="s">
        <v>5</v>
      </c>
      <c r="E1147" t="s">
        <v>97</v>
      </c>
      <c r="F1147"/>
      <c r="G1147" t="s">
        <v>1</v>
      </c>
      <c r="H1147">
        <v>35</v>
      </c>
      <c r="I1147" t="s">
        <v>2</v>
      </c>
      <c r="K1147" s="1" t="s">
        <v>121</v>
      </c>
      <c r="M1147" t="s">
        <v>4</v>
      </c>
    </row>
    <row r="1148" spans="1:13" ht="15.75" customHeight="1" x14ac:dyDescent="0.2">
      <c r="A1148">
        <v>1527412</v>
      </c>
      <c r="B1148" s="9">
        <v>44038</v>
      </c>
      <c r="C1148" s="9">
        <v>44039</v>
      </c>
      <c r="D1148" t="s">
        <v>0</v>
      </c>
      <c r="E1148" t="s">
        <v>17</v>
      </c>
      <c r="F1148">
        <v>1</v>
      </c>
      <c r="G1148" t="s">
        <v>6</v>
      </c>
      <c r="H1148">
        <v>44</v>
      </c>
      <c r="I1148" t="s">
        <v>2</v>
      </c>
      <c r="K1148" s="1" t="s">
        <v>121</v>
      </c>
      <c r="M1148" t="s">
        <v>4</v>
      </c>
    </row>
    <row r="1149" spans="1:13" ht="15.75" customHeight="1" x14ac:dyDescent="0.2">
      <c r="A1149">
        <v>1529244</v>
      </c>
      <c r="B1149" s="9">
        <v>44037</v>
      </c>
      <c r="C1149" s="9">
        <v>44039</v>
      </c>
      <c r="D1149" t="s">
        <v>5</v>
      </c>
      <c r="E1149" t="s">
        <v>96</v>
      </c>
      <c r="F1149"/>
      <c r="G1149" t="s">
        <v>6</v>
      </c>
      <c r="H1149">
        <v>34</v>
      </c>
      <c r="I1149" t="s">
        <v>2</v>
      </c>
      <c r="K1149" s="1" t="s">
        <v>121</v>
      </c>
      <c r="M1149" t="s">
        <v>4</v>
      </c>
    </row>
    <row r="1150" spans="1:13" ht="15.75" customHeight="1" x14ac:dyDescent="0.2">
      <c r="A1150">
        <v>1529611</v>
      </c>
      <c r="B1150" s="9">
        <v>44038</v>
      </c>
      <c r="C1150" s="9">
        <v>44038</v>
      </c>
      <c r="D1150" t="s">
        <v>0</v>
      </c>
      <c r="E1150" t="s">
        <v>14</v>
      </c>
      <c r="F1150">
        <v>14</v>
      </c>
      <c r="G1150" t="s">
        <v>1</v>
      </c>
      <c r="H1150">
        <v>34</v>
      </c>
      <c r="I1150" t="s">
        <v>2</v>
      </c>
      <c r="K1150" s="1" t="s">
        <v>121</v>
      </c>
      <c r="M1150" t="s">
        <v>9</v>
      </c>
    </row>
    <row r="1151" spans="1:13" ht="15.75" customHeight="1" x14ac:dyDescent="0.2">
      <c r="A1151">
        <v>1530690</v>
      </c>
      <c r="B1151" s="9">
        <v>44036</v>
      </c>
      <c r="C1151" s="9">
        <v>44037</v>
      </c>
      <c r="D1151" t="s">
        <v>0</v>
      </c>
      <c r="E1151" t="s">
        <v>10</v>
      </c>
      <c r="F1151">
        <v>5</v>
      </c>
      <c r="G1151" t="s">
        <v>6</v>
      </c>
      <c r="H1151">
        <v>26</v>
      </c>
      <c r="I1151" t="s">
        <v>2</v>
      </c>
      <c r="K1151" s="1" t="s">
        <v>121</v>
      </c>
      <c r="M1151" t="s">
        <v>9</v>
      </c>
    </row>
    <row r="1152" spans="1:13" ht="15.75" customHeight="1" x14ac:dyDescent="0.2">
      <c r="A1152">
        <v>1532192</v>
      </c>
      <c r="B1152" s="9">
        <v>44037</v>
      </c>
      <c r="C1152" s="9">
        <v>44037</v>
      </c>
      <c r="D1152" t="s">
        <v>0</v>
      </c>
      <c r="E1152" t="s">
        <v>10</v>
      </c>
      <c r="F1152">
        <v>5</v>
      </c>
      <c r="G1152" t="s">
        <v>1</v>
      </c>
      <c r="H1152">
        <v>33</v>
      </c>
      <c r="I1152" t="s">
        <v>2</v>
      </c>
      <c r="K1152" s="1" t="s">
        <v>121</v>
      </c>
      <c r="M1152" t="s">
        <v>4</v>
      </c>
    </row>
    <row r="1153" spans="1:13" ht="15.75" customHeight="1" x14ac:dyDescent="0.2">
      <c r="A1153">
        <v>1533450</v>
      </c>
      <c r="B1153" s="9">
        <v>44039</v>
      </c>
      <c r="C1153" s="9">
        <v>44039</v>
      </c>
      <c r="D1153" t="s">
        <v>5</v>
      </c>
      <c r="E1153" t="s">
        <v>75</v>
      </c>
      <c r="F1153"/>
      <c r="G1153" t="s">
        <v>6</v>
      </c>
      <c r="H1153">
        <v>82</v>
      </c>
      <c r="I1153" t="s">
        <v>2</v>
      </c>
      <c r="K1153" s="1" t="s">
        <v>121</v>
      </c>
      <c r="M1153" t="s">
        <v>4</v>
      </c>
    </row>
    <row r="1154" spans="1:13" ht="15.75" customHeight="1" x14ac:dyDescent="0.2">
      <c r="A1154">
        <v>1535773</v>
      </c>
      <c r="B1154" s="9">
        <v>44039</v>
      </c>
      <c r="C1154" s="9">
        <v>44040</v>
      </c>
      <c r="D1154" t="s">
        <v>0</v>
      </c>
      <c r="E1154" t="s">
        <v>7</v>
      </c>
      <c r="F1154">
        <v>3</v>
      </c>
      <c r="G1154" t="s">
        <v>6</v>
      </c>
      <c r="H1154">
        <v>32</v>
      </c>
      <c r="I1154" t="s">
        <v>2</v>
      </c>
      <c r="K1154" s="1" t="s">
        <v>121</v>
      </c>
      <c r="M1154" t="s">
        <v>20</v>
      </c>
    </row>
    <row r="1155" spans="1:13" ht="15.75" customHeight="1" x14ac:dyDescent="0.2">
      <c r="A1155">
        <v>1542607</v>
      </c>
      <c r="B1155" s="9">
        <v>44039</v>
      </c>
      <c r="C1155" s="9">
        <v>44039</v>
      </c>
      <c r="D1155" t="s">
        <v>0</v>
      </c>
      <c r="E1155" t="s">
        <v>11</v>
      </c>
      <c r="F1155">
        <v>6</v>
      </c>
      <c r="G1155" t="s">
        <v>6</v>
      </c>
      <c r="H1155">
        <v>54</v>
      </c>
      <c r="I1155" t="s">
        <v>2</v>
      </c>
      <c r="K1155" s="1" t="s">
        <v>121</v>
      </c>
      <c r="M1155" t="s">
        <v>9</v>
      </c>
    </row>
    <row r="1156" spans="1:13" ht="15.75" customHeight="1" x14ac:dyDescent="0.2">
      <c r="A1156">
        <v>1542797</v>
      </c>
      <c r="B1156" s="9">
        <v>44039</v>
      </c>
      <c r="C1156" s="9">
        <v>44040</v>
      </c>
      <c r="D1156" t="s">
        <v>0</v>
      </c>
      <c r="E1156" t="s">
        <v>13</v>
      </c>
      <c r="F1156">
        <v>2</v>
      </c>
      <c r="G1156" t="s">
        <v>1</v>
      </c>
      <c r="H1156">
        <v>57</v>
      </c>
      <c r="I1156" t="s">
        <v>2</v>
      </c>
      <c r="K1156" s="1" t="s">
        <v>121</v>
      </c>
      <c r="M1156" t="s">
        <v>4</v>
      </c>
    </row>
    <row r="1157" spans="1:13" ht="15.75" customHeight="1" x14ac:dyDescent="0.2">
      <c r="A1157">
        <v>1548445</v>
      </c>
      <c r="B1157" s="9">
        <v>44039</v>
      </c>
      <c r="C1157" s="9">
        <v>44042</v>
      </c>
      <c r="D1157" t="s">
        <v>0</v>
      </c>
      <c r="E1157" t="s">
        <v>41</v>
      </c>
      <c r="F1157">
        <v>4</v>
      </c>
      <c r="G1157" t="s">
        <v>1</v>
      </c>
      <c r="H1157">
        <v>90</v>
      </c>
      <c r="I1157" t="s">
        <v>2</v>
      </c>
      <c r="K1157" s="1" t="s">
        <v>121</v>
      </c>
      <c r="M1157" t="s">
        <v>9</v>
      </c>
    </row>
    <row r="1158" spans="1:13" ht="15.75" customHeight="1" x14ac:dyDescent="0.2">
      <c r="A1158">
        <v>1549914</v>
      </c>
      <c r="B1158" s="9">
        <v>44039</v>
      </c>
      <c r="C1158" s="9">
        <v>44039</v>
      </c>
      <c r="D1158" t="s">
        <v>0</v>
      </c>
      <c r="E1158" t="s">
        <v>8</v>
      </c>
      <c r="F1158">
        <v>7</v>
      </c>
      <c r="G1158" t="s">
        <v>6</v>
      </c>
      <c r="H1158">
        <v>28</v>
      </c>
      <c r="I1158" t="s">
        <v>2</v>
      </c>
      <c r="K1158" s="1" t="s">
        <v>121</v>
      </c>
      <c r="M1158" t="s">
        <v>9</v>
      </c>
    </row>
    <row r="1159" spans="1:13" ht="15.75" customHeight="1" x14ac:dyDescent="0.2">
      <c r="A1159">
        <v>1557240</v>
      </c>
      <c r="B1159" s="9">
        <v>44043</v>
      </c>
      <c r="C1159" s="9">
        <v>44043</v>
      </c>
      <c r="D1159" t="s">
        <v>5</v>
      </c>
      <c r="E1159" t="s">
        <v>96</v>
      </c>
      <c r="F1159"/>
      <c r="G1159" t="s">
        <v>1</v>
      </c>
      <c r="H1159">
        <v>37</v>
      </c>
      <c r="I1159" t="s">
        <v>2</v>
      </c>
      <c r="K1159" s="1" t="s">
        <v>121</v>
      </c>
      <c r="M1159" t="s">
        <v>9</v>
      </c>
    </row>
    <row r="1160" spans="1:13" ht="15.75" customHeight="1" x14ac:dyDescent="0.2">
      <c r="A1160">
        <v>1559938</v>
      </c>
      <c r="B1160" s="9">
        <v>44040</v>
      </c>
      <c r="C1160" s="9">
        <v>44041</v>
      </c>
      <c r="D1160" t="s">
        <v>5</v>
      </c>
      <c r="E1160" t="s">
        <v>96</v>
      </c>
      <c r="F1160"/>
      <c r="G1160" t="s">
        <v>1</v>
      </c>
      <c r="H1160">
        <v>33</v>
      </c>
      <c r="I1160" t="s">
        <v>2</v>
      </c>
      <c r="K1160" s="1" t="s">
        <v>121</v>
      </c>
      <c r="M1160" t="s">
        <v>9</v>
      </c>
    </row>
    <row r="1161" spans="1:13" ht="15.75" customHeight="1" x14ac:dyDescent="0.2">
      <c r="A1161">
        <v>1560017</v>
      </c>
      <c r="B1161" s="9">
        <v>44039</v>
      </c>
      <c r="C1161" s="9">
        <v>44039</v>
      </c>
      <c r="D1161" t="s">
        <v>5</v>
      </c>
      <c r="E1161" s="5" t="s">
        <v>76</v>
      </c>
      <c r="F1161"/>
      <c r="G1161" t="s">
        <v>1</v>
      </c>
      <c r="H1161">
        <v>21</v>
      </c>
      <c r="I1161" t="s">
        <v>2</v>
      </c>
      <c r="K1161" s="1" t="s">
        <v>121</v>
      </c>
      <c r="M1161" t="s">
        <v>4</v>
      </c>
    </row>
    <row r="1162" spans="1:13" ht="15.75" customHeight="1" x14ac:dyDescent="0.2">
      <c r="A1162">
        <v>1560122</v>
      </c>
      <c r="B1162" s="9">
        <v>44040</v>
      </c>
      <c r="C1162" s="9">
        <v>44040</v>
      </c>
      <c r="D1162" t="s">
        <v>0</v>
      </c>
      <c r="E1162" t="s">
        <v>45</v>
      </c>
      <c r="F1162">
        <v>4</v>
      </c>
      <c r="G1162" t="s">
        <v>1</v>
      </c>
      <c r="H1162">
        <v>50</v>
      </c>
      <c r="I1162" t="s">
        <v>2</v>
      </c>
      <c r="K1162" s="1" t="s">
        <v>121</v>
      </c>
      <c r="M1162" t="s">
        <v>22</v>
      </c>
    </row>
    <row r="1163" spans="1:13" ht="15.75" customHeight="1" x14ac:dyDescent="0.2">
      <c r="A1163">
        <v>1563823</v>
      </c>
      <c r="B1163" s="9">
        <v>44040</v>
      </c>
      <c r="C1163" s="9">
        <v>44040</v>
      </c>
      <c r="D1163" t="s">
        <v>0</v>
      </c>
      <c r="E1163" t="s">
        <v>45</v>
      </c>
      <c r="F1163">
        <v>4</v>
      </c>
      <c r="G1163" t="s">
        <v>1</v>
      </c>
      <c r="H1163">
        <v>33</v>
      </c>
      <c r="I1163" t="s">
        <v>2</v>
      </c>
      <c r="K1163" s="1" t="s">
        <v>121</v>
      </c>
      <c r="M1163" t="s">
        <v>9</v>
      </c>
    </row>
    <row r="1164" spans="1:13" ht="15.75" customHeight="1" x14ac:dyDescent="0.2">
      <c r="A1164">
        <v>1565033</v>
      </c>
      <c r="B1164" s="9">
        <v>44039</v>
      </c>
      <c r="C1164" s="9">
        <v>44039</v>
      </c>
      <c r="D1164" t="s">
        <v>0</v>
      </c>
      <c r="E1164" t="s">
        <v>28</v>
      </c>
      <c r="F1164">
        <v>11</v>
      </c>
      <c r="G1164" t="s">
        <v>1</v>
      </c>
      <c r="H1164">
        <v>42</v>
      </c>
      <c r="I1164" t="s">
        <v>2</v>
      </c>
      <c r="K1164" s="1" t="s">
        <v>121</v>
      </c>
      <c r="M1164" t="s">
        <v>4</v>
      </c>
    </row>
    <row r="1165" spans="1:13" ht="15.75" customHeight="1" x14ac:dyDescent="0.2">
      <c r="A1165">
        <v>1567152</v>
      </c>
      <c r="B1165" s="9">
        <v>44040</v>
      </c>
      <c r="C1165" s="9">
        <v>44040</v>
      </c>
      <c r="D1165" t="s">
        <v>0</v>
      </c>
      <c r="E1165" s="5" t="s">
        <v>19</v>
      </c>
      <c r="F1165">
        <v>15</v>
      </c>
      <c r="G1165" t="s">
        <v>1</v>
      </c>
      <c r="H1165">
        <v>21</v>
      </c>
      <c r="I1165" t="s">
        <v>2</v>
      </c>
      <c r="K1165" s="1" t="s">
        <v>121</v>
      </c>
      <c r="M1165" t="s">
        <v>9</v>
      </c>
    </row>
    <row r="1166" spans="1:13" ht="15.75" customHeight="1" x14ac:dyDescent="0.2">
      <c r="A1166">
        <v>1567816</v>
      </c>
      <c r="B1166" s="9">
        <v>44040</v>
      </c>
      <c r="C1166" s="9">
        <v>44040</v>
      </c>
      <c r="D1166" t="s">
        <v>0</v>
      </c>
      <c r="E1166" t="s">
        <v>36</v>
      </c>
      <c r="F1166">
        <v>1</v>
      </c>
      <c r="G1166" t="s">
        <v>6</v>
      </c>
      <c r="H1166">
        <v>24</v>
      </c>
      <c r="I1166" t="s">
        <v>2</v>
      </c>
      <c r="K1166" s="1" t="s">
        <v>121</v>
      </c>
      <c r="M1166" t="s">
        <v>4</v>
      </c>
    </row>
    <row r="1167" spans="1:13" ht="15.75" customHeight="1" x14ac:dyDescent="0.2">
      <c r="A1167">
        <v>1426512</v>
      </c>
      <c r="B1167" s="9">
        <v>44031</v>
      </c>
      <c r="C1167" s="9">
        <v>44031</v>
      </c>
      <c r="D1167" t="s">
        <v>0</v>
      </c>
      <c r="E1167" t="s">
        <v>36</v>
      </c>
      <c r="F1167">
        <v>1</v>
      </c>
      <c r="G1167" t="s">
        <v>6</v>
      </c>
      <c r="H1167">
        <v>63</v>
      </c>
      <c r="I1167" t="s">
        <v>2</v>
      </c>
      <c r="K1167" s="1" t="s">
        <v>121</v>
      </c>
      <c r="M1167" t="s">
        <v>4</v>
      </c>
    </row>
    <row r="1168" spans="1:13" ht="15.75" customHeight="1" x14ac:dyDescent="0.2">
      <c r="A1168">
        <v>1427375</v>
      </c>
      <c r="B1168" s="9">
        <v>44032</v>
      </c>
      <c r="C1168" s="9">
        <v>44032</v>
      </c>
      <c r="D1168" t="s">
        <v>5</v>
      </c>
      <c r="E1168" t="s">
        <v>96</v>
      </c>
      <c r="F1168"/>
      <c r="G1168" t="s">
        <v>6</v>
      </c>
      <c r="H1168">
        <v>14</v>
      </c>
      <c r="I1168" t="s">
        <v>2</v>
      </c>
      <c r="K1168" s="1" t="s">
        <v>121</v>
      </c>
      <c r="M1168" t="s">
        <v>9</v>
      </c>
    </row>
    <row r="1169" spans="1:13" ht="15.75" customHeight="1" x14ac:dyDescent="0.2">
      <c r="A1169">
        <v>1427654</v>
      </c>
      <c r="B1169" s="9">
        <v>44031</v>
      </c>
      <c r="C1169" s="9">
        <v>44031</v>
      </c>
      <c r="D1169" t="s">
        <v>0</v>
      </c>
      <c r="E1169" t="s">
        <v>41</v>
      </c>
      <c r="F1169">
        <v>4</v>
      </c>
      <c r="G1169" t="s">
        <v>6</v>
      </c>
      <c r="H1169">
        <v>50</v>
      </c>
      <c r="I1169" t="s">
        <v>2</v>
      </c>
      <c r="K1169" s="1" t="s">
        <v>121</v>
      </c>
      <c r="M1169" t="s">
        <v>22</v>
      </c>
    </row>
    <row r="1170" spans="1:13" ht="15.75" customHeight="1" x14ac:dyDescent="0.2">
      <c r="A1170">
        <v>1427876</v>
      </c>
      <c r="B1170" s="9">
        <v>44032</v>
      </c>
      <c r="C1170" s="9">
        <v>44032</v>
      </c>
      <c r="D1170" t="s">
        <v>0</v>
      </c>
      <c r="E1170" t="s">
        <v>41</v>
      </c>
      <c r="F1170">
        <v>4</v>
      </c>
      <c r="G1170" t="s">
        <v>6</v>
      </c>
      <c r="H1170">
        <v>53</v>
      </c>
      <c r="I1170" t="s">
        <v>2</v>
      </c>
      <c r="K1170" s="1" t="s">
        <v>121</v>
      </c>
      <c r="M1170" t="s">
        <v>4</v>
      </c>
    </row>
    <row r="1171" spans="1:13" ht="15.75" customHeight="1" x14ac:dyDescent="0.2">
      <c r="A1171">
        <v>1428203</v>
      </c>
      <c r="B1171" s="9">
        <v>44032</v>
      </c>
      <c r="C1171" s="9">
        <v>44032</v>
      </c>
      <c r="D1171" t="s">
        <v>5</v>
      </c>
      <c r="E1171" s="5" t="s">
        <v>95</v>
      </c>
      <c r="F1171"/>
      <c r="G1171" t="s">
        <v>1</v>
      </c>
      <c r="H1171">
        <v>52</v>
      </c>
      <c r="I1171" t="s">
        <v>2</v>
      </c>
      <c r="K1171" s="1" t="s">
        <v>121</v>
      </c>
      <c r="M1171" t="s">
        <v>22</v>
      </c>
    </row>
    <row r="1172" spans="1:13" ht="15.75" customHeight="1" x14ac:dyDescent="0.2">
      <c r="A1172">
        <v>1428627</v>
      </c>
      <c r="B1172" s="9">
        <v>44032</v>
      </c>
      <c r="C1172" s="9">
        <v>44032</v>
      </c>
      <c r="D1172" t="s">
        <v>5</v>
      </c>
      <c r="E1172" t="s">
        <v>75</v>
      </c>
      <c r="F1172"/>
      <c r="G1172" t="s">
        <v>6</v>
      </c>
      <c r="H1172">
        <v>59</v>
      </c>
      <c r="I1172" t="s">
        <v>2</v>
      </c>
      <c r="K1172" s="1" t="s">
        <v>121</v>
      </c>
      <c r="M1172" t="s">
        <v>4</v>
      </c>
    </row>
    <row r="1173" spans="1:13" ht="15.75" customHeight="1" x14ac:dyDescent="0.2">
      <c r="A1173">
        <v>1428910</v>
      </c>
      <c r="B1173" s="9">
        <v>44032</v>
      </c>
      <c r="C1173" s="9">
        <v>44032</v>
      </c>
      <c r="D1173" t="s">
        <v>0</v>
      </c>
      <c r="E1173" t="s">
        <v>45</v>
      </c>
      <c r="F1173">
        <v>4</v>
      </c>
      <c r="G1173" t="s">
        <v>6</v>
      </c>
      <c r="H1173">
        <v>27</v>
      </c>
      <c r="I1173" t="s">
        <v>2</v>
      </c>
      <c r="K1173" s="1" t="s">
        <v>121</v>
      </c>
      <c r="M1173" t="s">
        <v>20</v>
      </c>
    </row>
    <row r="1174" spans="1:13" ht="15.75" customHeight="1" x14ac:dyDescent="0.2">
      <c r="A1174">
        <v>1429136</v>
      </c>
      <c r="B1174" s="9">
        <v>44032</v>
      </c>
      <c r="C1174" s="9">
        <v>44032</v>
      </c>
      <c r="D1174" t="s">
        <v>0</v>
      </c>
      <c r="E1174" t="s">
        <v>17</v>
      </c>
      <c r="F1174">
        <v>1</v>
      </c>
      <c r="G1174" t="s">
        <v>1</v>
      </c>
      <c r="H1174">
        <v>62</v>
      </c>
      <c r="I1174" t="s">
        <v>2</v>
      </c>
      <c r="K1174" s="1" t="s">
        <v>121</v>
      </c>
      <c r="M1174" t="s">
        <v>9</v>
      </c>
    </row>
    <row r="1175" spans="1:13" ht="15.75" customHeight="1" x14ac:dyDescent="0.2">
      <c r="A1175">
        <v>1429147</v>
      </c>
      <c r="B1175" s="9">
        <v>44032</v>
      </c>
      <c r="C1175" s="9">
        <v>44032</v>
      </c>
      <c r="D1175" t="s">
        <v>0</v>
      </c>
      <c r="E1175" t="s">
        <v>7</v>
      </c>
      <c r="F1175">
        <v>3</v>
      </c>
      <c r="G1175" t="s">
        <v>6</v>
      </c>
      <c r="H1175">
        <v>27</v>
      </c>
      <c r="I1175" t="s">
        <v>2</v>
      </c>
      <c r="K1175" s="1" t="s">
        <v>121</v>
      </c>
      <c r="M1175" t="s">
        <v>20</v>
      </c>
    </row>
    <row r="1176" spans="1:13" ht="15.75" customHeight="1" x14ac:dyDescent="0.2">
      <c r="A1176">
        <v>1429693</v>
      </c>
      <c r="B1176" s="9">
        <v>44032</v>
      </c>
      <c r="C1176" s="9">
        <v>44032</v>
      </c>
      <c r="D1176" t="s">
        <v>5</v>
      </c>
      <c r="E1176" t="s">
        <v>96</v>
      </c>
      <c r="F1176"/>
      <c r="G1176" t="s">
        <v>1</v>
      </c>
      <c r="H1176">
        <v>30</v>
      </c>
      <c r="I1176" t="s">
        <v>2</v>
      </c>
      <c r="K1176" s="1" t="s">
        <v>121</v>
      </c>
      <c r="M1176" t="s">
        <v>9</v>
      </c>
    </row>
    <row r="1177" spans="1:13" ht="15.75" customHeight="1" x14ac:dyDescent="0.2">
      <c r="A1177">
        <v>1429790</v>
      </c>
      <c r="B1177" s="9">
        <v>44032</v>
      </c>
      <c r="C1177" s="9">
        <v>44032</v>
      </c>
      <c r="D1177" t="s">
        <v>0</v>
      </c>
      <c r="E1177" t="s">
        <v>17</v>
      </c>
      <c r="F1177">
        <v>1</v>
      </c>
      <c r="G1177" t="s">
        <v>1</v>
      </c>
      <c r="H1177">
        <v>8</v>
      </c>
      <c r="I1177" t="s">
        <v>2</v>
      </c>
      <c r="K1177" s="1" t="s">
        <v>121</v>
      </c>
      <c r="M1177" t="s">
        <v>4</v>
      </c>
    </row>
    <row r="1178" spans="1:13" ht="15.75" customHeight="1" x14ac:dyDescent="0.2">
      <c r="A1178">
        <v>1429945</v>
      </c>
      <c r="B1178" s="9">
        <v>44032</v>
      </c>
      <c r="C1178" s="9">
        <v>44032</v>
      </c>
      <c r="D1178" t="s">
        <v>0</v>
      </c>
      <c r="E1178" t="s">
        <v>28</v>
      </c>
      <c r="F1178">
        <v>11</v>
      </c>
      <c r="G1178" t="s">
        <v>6</v>
      </c>
      <c r="H1178">
        <v>42</v>
      </c>
      <c r="I1178" t="s">
        <v>2</v>
      </c>
      <c r="K1178" s="1" t="s">
        <v>121</v>
      </c>
      <c r="M1178" t="s">
        <v>4</v>
      </c>
    </row>
    <row r="1179" spans="1:13" ht="15.75" customHeight="1" x14ac:dyDescent="0.2">
      <c r="A1179">
        <v>1429993</v>
      </c>
      <c r="B1179" s="9">
        <v>44032</v>
      </c>
      <c r="C1179" s="9">
        <v>44032</v>
      </c>
      <c r="D1179" t="s">
        <v>0</v>
      </c>
      <c r="E1179" t="s">
        <v>17</v>
      </c>
      <c r="F1179">
        <v>1</v>
      </c>
      <c r="G1179" t="s">
        <v>1</v>
      </c>
      <c r="H1179">
        <v>4</v>
      </c>
      <c r="I1179" t="s">
        <v>2</v>
      </c>
      <c r="K1179" s="1" t="s">
        <v>121</v>
      </c>
      <c r="M1179" t="s">
        <v>4</v>
      </c>
    </row>
    <row r="1180" spans="1:13" ht="15.75" customHeight="1" x14ac:dyDescent="0.2">
      <c r="A1180">
        <v>1430033</v>
      </c>
      <c r="B1180" s="9">
        <v>44032</v>
      </c>
      <c r="C1180" s="9">
        <v>44032</v>
      </c>
      <c r="D1180" t="s">
        <v>5</v>
      </c>
      <c r="E1180" t="s">
        <v>96</v>
      </c>
      <c r="F1180"/>
      <c r="G1180" t="s">
        <v>6</v>
      </c>
      <c r="H1180">
        <v>10</v>
      </c>
      <c r="I1180" t="s">
        <v>2</v>
      </c>
      <c r="K1180" s="1" t="s">
        <v>121</v>
      </c>
      <c r="M1180" t="s">
        <v>4</v>
      </c>
    </row>
    <row r="1181" spans="1:13" ht="15.75" customHeight="1" x14ac:dyDescent="0.2">
      <c r="A1181">
        <v>1431003</v>
      </c>
      <c r="B1181" s="9">
        <v>44032</v>
      </c>
      <c r="C1181" s="9">
        <v>44032</v>
      </c>
      <c r="D1181" t="s">
        <v>0</v>
      </c>
      <c r="E1181" t="s">
        <v>36</v>
      </c>
      <c r="F1181">
        <v>1</v>
      </c>
      <c r="G1181" t="s">
        <v>1</v>
      </c>
      <c r="H1181">
        <v>30</v>
      </c>
      <c r="I1181" t="s">
        <v>2</v>
      </c>
      <c r="K1181" s="1" t="s">
        <v>121</v>
      </c>
      <c r="M1181" t="s">
        <v>4</v>
      </c>
    </row>
    <row r="1182" spans="1:13" ht="15.75" customHeight="1" x14ac:dyDescent="0.2">
      <c r="A1182">
        <v>1431007</v>
      </c>
      <c r="B1182" s="9">
        <v>44032</v>
      </c>
      <c r="C1182" s="9">
        <v>44032</v>
      </c>
      <c r="D1182" t="s">
        <v>5</v>
      </c>
      <c r="E1182" s="1" t="s">
        <v>90</v>
      </c>
      <c r="F1182"/>
      <c r="G1182" t="s">
        <v>6</v>
      </c>
      <c r="H1182">
        <v>22</v>
      </c>
      <c r="I1182" t="s">
        <v>2</v>
      </c>
      <c r="K1182" s="1" t="s">
        <v>121</v>
      </c>
      <c r="M1182" t="s">
        <v>4</v>
      </c>
    </row>
    <row r="1183" spans="1:13" ht="15.75" customHeight="1" x14ac:dyDescent="0.2">
      <c r="A1183">
        <v>1431206</v>
      </c>
      <c r="B1183" s="9">
        <v>44032</v>
      </c>
      <c r="C1183" s="9">
        <v>44032</v>
      </c>
      <c r="D1183" t="s">
        <v>0</v>
      </c>
      <c r="E1183" t="s">
        <v>34</v>
      </c>
      <c r="F1183">
        <v>9</v>
      </c>
      <c r="G1183" t="s">
        <v>6</v>
      </c>
      <c r="H1183">
        <v>27</v>
      </c>
      <c r="I1183" t="s">
        <v>2</v>
      </c>
      <c r="K1183" s="1" t="s">
        <v>121</v>
      </c>
      <c r="M1183" t="s">
        <v>4</v>
      </c>
    </row>
    <row r="1184" spans="1:13" ht="15.75" customHeight="1" x14ac:dyDescent="0.2">
      <c r="A1184">
        <v>1431767</v>
      </c>
      <c r="B1184" s="9">
        <v>44032</v>
      </c>
      <c r="C1184" s="9">
        <v>44032</v>
      </c>
      <c r="D1184" t="s">
        <v>0</v>
      </c>
      <c r="E1184" t="s">
        <v>18</v>
      </c>
      <c r="F1184">
        <v>8</v>
      </c>
      <c r="G1184" t="s">
        <v>6</v>
      </c>
      <c r="H1184">
        <v>46</v>
      </c>
      <c r="I1184" t="s">
        <v>2</v>
      </c>
      <c r="K1184" s="1" t="s">
        <v>121</v>
      </c>
      <c r="M1184" t="s">
        <v>4</v>
      </c>
    </row>
    <row r="1185" spans="1:13" ht="15.75" customHeight="1" x14ac:dyDescent="0.2">
      <c r="A1185">
        <v>1432010</v>
      </c>
      <c r="B1185" s="9">
        <v>44032</v>
      </c>
      <c r="C1185" s="9">
        <v>44032</v>
      </c>
      <c r="D1185" t="s">
        <v>5</v>
      </c>
      <c r="E1185" t="s">
        <v>96</v>
      </c>
      <c r="F1185"/>
      <c r="G1185" t="s">
        <v>6</v>
      </c>
      <c r="H1185">
        <v>36</v>
      </c>
      <c r="I1185" t="s">
        <v>2</v>
      </c>
      <c r="K1185" s="1" t="s">
        <v>121</v>
      </c>
      <c r="M1185" t="s">
        <v>4</v>
      </c>
    </row>
    <row r="1186" spans="1:13" ht="15.75" customHeight="1" x14ac:dyDescent="0.2">
      <c r="A1186">
        <v>1432059</v>
      </c>
      <c r="B1186" s="9">
        <v>44032</v>
      </c>
      <c r="C1186" s="9">
        <v>44033</v>
      </c>
      <c r="D1186" t="s">
        <v>0</v>
      </c>
      <c r="E1186" t="s">
        <v>7</v>
      </c>
      <c r="F1186">
        <v>3</v>
      </c>
      <c r="G1186" t="s">
        <v>6</v>
      </c>
      <c r="H1186">
        <v>25</v>
      </c>
      <c r="I1186" t="s">
        <v>2</v>
      </c>
      <c r="K1186" s="1" t="s">
        <v>121</v>
      </c>
      <c r="M1186" t="s">
        <v>9</v>
      </c>
    </row>
    <row r="1187" spans="1:13" ht="15.75" customHeight="1" x14ac:dyDescent="0.2">
      <c r="A1187">
        <v>1432091</v>
      </c>
      <c r="B1187" s="9">
        <v>44032</v>
      </c>
      <c r="C1187" s="9">
        <v>44032</v>
      </c>
      <c r="D1187" t="s">
        <v>5</v>
      </c>
      <c r="E1187" t="s">
        <v>97</v>
      </c>
      <c r="F1187"/>
      <c r="G1187" t="s">
        <v>1</v>
      </c>
      <c r="H1187">
        <v>29</v>
      </c>
      <c r="I1187" t="s">
        <v>2</v>
      </c>
      <c r="K1187" s="1" t="s">
        <v>121</v>
      </c>
      <c r="M1187" t="s">
        <v>4</v>
      </c>
    </row>
    <row r="1188" spans="1:13" ht="15.75" customHeight="1" x14ac:dyDescent="0.2">
      <c r="A1188">
        <v>1432307</v>
      </c>
      <c r="B1188" s="9">
        <v>44034</v>
      </c>
      <c r="C1188" s="9">
        <v>44034</v>
      </c>
      <c r="D1188" t="s">
        <v>0</v>
      </c>
      <c r="E1188" t="s">
        <v>45</v>
      </c>
      <c r="F1188">
        <v>4</v>
      </c>
      <c r="G1188" t="s">
        <v>1</v>
      </c>
      <c r="H1188">
        <v>52</v>
      </c>
      <c r="I1188" t="s">
        <v>2</v>
      </c>
      <c r="K1188" s="1" t="s">
        <v>121</v>
      </c>
      <c r="M1188" t="s">
        <v>9</v>
      </c>
    </row>
    <row r="1189" spans="1:13" ht="15.75" customHeight="1" x14ac:dyDescent="0.2">
      <c r="A1189">
        <v>1433026</v>
      </c>
      <c r="B1189" s="9">
        <v>44032</v>
      </c>
      <c r="C1189" s="9">
        <v>44032</v>
      </c>
      <c r="D1189" t="s">
        <v>0</v>
      </c>
      <c r="E1189" t="s">
        <v>47</v>
      </c>
      <c r="F1189">
        <v>12</v>
      </c>
      <c r="G1189" t="s">
        <v>6</v>
      </c>
      <c r="H1189">
        <v>23</v>
      </c>
      <c r="I1189" t="s">
        <v>2</v>
      </c>
      <c r="K1189" s="1" t="s">
        <v>121</v>
      </c>
      <c r="M1189" t="s">
        <v>4</v>
      </c>
    </row>
    <row r="1190" spans="1:13" ht="15.75" customHeight="1" x14ac:dyDescent="0.2">
      <c r="A1190">
        <v>1433071</v>
      </c>
      <c r="B1190" s="9">
        <v>44032</v>
      </c>
      <c r="C1190" s="9">
        <v>44032</v>
      </c>
      <c r="D1190" t="s">
        <v>0</v>
      </c>
      <c r="E1190" t="s">
        <v>45</v>
      </c>
      <c r="F1190">
        <v>4</v>
      </c>
      <c r="G1190" t="s">
        <v>1</v>
      </c>
      <c r="H1190">
        <v>40</v>
      </c>
      <c r="I1190" t="s">
        <v>2</v>
      </c>
      <c r="K1190" s="1" t="s">
        <v>121</v>
      </c>
      <c r="M1190" t="s">
        <v>4</v>
      </c>
    </row>
    <row r="1191" spans="1:13" ht="15.75" customHeight="1" x14ac:dyDescent="0.2">
      <c r="A1191">
        <v>1433446</v>
      </c>
      <c r="B1191" s="9">
        <v>44030</v>
      </c>
      <c r="C1191" s="9">
        <v>44030</v>
      </c>
      <c r="D1191" t="s">
        <v>5</v>
      </c>
      <c r="E1191" t="s">
        <v>96</v>
      </c>
      <c r="F1191"/>
      <c r="G1191" t="s">
        <v>6</v>
      </c>
      <c r="H1191">
        <v>58</v>
      </c>
      <c r="I1191" t="s">
        <v>2</v>
      </c>
      <c r="K1191" s="1" t="s">
        <v>121</v>
      </c>
      <c r="M1191" t="s">
        <v>9</v>
      </c>
    </row>
    <row r="1192" spans="1:13" ht="15.75" customHeight="1" x14ac:dyDescent="0.2">
      <c r="A1192">
        <v>1433708</v>
      </c>
      <c r="B1192" s="9">
        <v>44030</v>
      </c>
      <c r="C1192" s="9">
        <v>44030</v>
      </c>
      <c r="D1192" t="s">
        <v>5</v>
      </c>
      <c r="E1192" s="1" t="s">
        <v>90</v>
      </c>
      <c r="F1192"/>
      <c r="G1192" t="s">
        <v>1</v>
      </c>
      <c r="H1192">
        <v>56</v>
      </c>
      <c r="I1192" t="s">
        <v>2</v>
      </c>
      <c r="K1192" s="1" t="s">
        <v>121</v>
      </c>
      <c r="M1192" t="s">
        <v>9</v>
      </c>
    </row>
    <row r="1193" spans="1:13" ht="15.75" customHeight="1" x14ac:dyDescent="0.2">
      <c r="A1193">
        <v>1434132</v>
      </c>
      <c r="B1193" s="9">
        <v>44032</v>
      </c>
      <c r="C1193" s="9">
        <v>44032</v>
      </c>
      <c r="D1193" t="s">
        <v>0</v>
      </c>
      <c r="E1193" t="s">
        <v>48</v>
      </c>
      <c r="F1193">
        <v>10</v>
      </c>
      <c r="G1193" t="s">
        <v>6</v>
      </c>
      <c r="H1193">
        <v>25</v>
      </c>
      <c r="I1193" t="s">
        <v>2</v>
      </c>
      <c r="K1193" s="1" t="s">
        <v>121</v>
      </c>
      <c r="M1193" t="s">
        <v>4</v>
      </c>
    </row>
    <row r="1194" spans="1:13" ht="15.75" customHeight="1" x14ac:dyDescent="0.2">
      <c r="A1194">
        <v>1434603</v>
      </c>
      <c r="B1194" s="9">
        <v>44032</v>
      </c>
      <c r="C1194" s="9">
        <v>44032</v>
      </c>
      <c r="D1194" t="s">
        <v>0</v>
      </c>
      <c r="E1194" t="s">
        <v>41</v>
      </c>
      <c r="F1194">
        <v>4</v>
      </c>
      <c r="G1194" t="s">
        <v>1</v>
      </c>
      <c r="H1194">
        <v>52</v>
      </c>
      <c r="I1194" t="s">
        <v>2</v>
      </c>
      <c r="K1194" s="1" t="s">
        <v>121</v>
      </c>
      <c r="M1194" t="s">
        <v>20</v>
      </c>
    </row>
    <row r="1195" spans="1:13" ht="15.75" customHeight="1" x14ac:dyDescent="0.2">
      <c r="A1195">
        <v>1434638</v>
      </c>
      <c r="B1195" s="9">
        <v>44031</v>
      </c>
      <c r="C1195" s="9">
        <v>44031</v>
      </c>
      <c r="D1195" t="s">
        <v>5</v>
      </c>
      <c r="E1195" t="s">
        <v>96</v>
      </c>
      <c r="F1195"/>
      <c r="G1195" t="s">
        <v>1</v>
      </c>
      <c r="H1195">
        <v>29</v>
      </c>
      <c r="I1195" t="s">
        <v>2</v>
      </c>
      <c r="K1195" s="1" t="s">
        <v>121</v>
      </c>
      <c r="M1195" t="s">
        <v>4</v>
      </c>
    </row>
    <row r="1196" spans="1:13" ht="15.75" customHeight="1" x14ac:dyDescent="0.2">
      <c r="A1196">
        <v>1434664</v>
      </c>
      <c r="B1196" s="9">
        <v>44029</v>
      </c>
      <c r="C1196" s="9">
        <v>44032</v>
      </c>
      <c r="D1196" t="s">
        <v>0</v>
      </c>
      <c r="E1196" t="s">
        <v>28</v>
      </c>
      <c r="F1196">
        <v>11</v>
      </c>
      <c r="G1196" t="s">
        <v>1</v>
      </c>
      <c r="H1196">
        <v>91</v>
      </c>
      <c r="I1196" t="s">
        <v>2</v>
      </c>
      <c r="K1196" s="1" t="s">
        <v>121</v>
      </c>
      <c r="M1196" t="s">
        <v>4</v>
      </c>
    </row>
    <row r="1197" spans="1:13" ht="15.75" customHeight="1" x14ac:dyDescent="0.2">
      <c r="A1197">
        <v>1434761</v>
      </c>
      <c r="B1197" s="9">
        <v>44032</v>
      </c>
      <c r="C1197" s="9">
        <v>44032</v>
      </c>
      <c r="D1197" t="s">
        <v>0</v>
      </c>
      <c r="E1197" t="s">
        <v>41</v>
      </c>
      <c r="F1197">
        <v>4</v>
      </c>
      <c r="G1197" t="s">
        <v>1</v>
      </c>
      <c r="H1197">
        <v>63</v>
      </c>
      <c r="I1197" t="s">
        <v>2</v>
      </c>
      <c r="K1197" s="1" t="s">
        <v>121</v>
      </c>
      <c r="M1197" t="s">
        <v>9</v>
      </c>
    </row>
    <row r="1198" spans="1:13" ht="15.75" customHeight="1" x14ac:dyDescent="0.2">
      <c r="A1198">
        <v>1434989</v>
      </c>
      <c r="B1198" s="9">
        <v>44032</v>
      </c>
      <c r="C1198" s="9">
        <v>44032</v>
      </c>
      <c r="D1198" t="s">
        <v>5</v>
      </c>
      <c r="E1198" t="s">
        <v>96</v>
      </c>
      <c r="F1198"/>
      <c r="G1198" t="s">
        <v>6</v>
      </c>
      <c r="H1198">
        <v>35</v>
      </c>
      <c r="I1198" t="s">
        <v>2</v>
      </c>
      <c r="K1198" s="1" t="s">
        <v>121</v>
      </c>
      <c r="M1198" t="s">
        <v>4</v>
      </c>
    </row>
    <row r="1199" spans="1:13" ht="15.75" customHeight="1" x14ac:dyDescent="0.2">
      <c r="A1199">
        <v>1435277</v>
      </c>
      <c r="B1199" s="9">
        <v>44032</v>
      </c>
      <c r="C1199" s="9">
        <v>44033</v>
      </c>
      <c r="D1199" t="s">
        <v>0</v>
      </c>
      <c r="E1199" t="s">
        <v>35</v>
      </c>
      <c r="F1199">
        <v>3</v>
      </c>
      <c r="G1199" t="s">
        <v>6</v>
      </c>
      <c r="H1199">
        <v>28</v>
      </c>
      <c r="I1199" t="s">
        <v>2</v>
      </c>
      <c r="K1199" s="1" t="s">
        <v>121</v>
      </c>
      <c r="M1199" t="s">
        <v>9</v>
      </c>
    </row>
    <row r="1200" spans="1:13" ht="15.75" customHeight="1" x14ac:dyDescent="0.2">
      <c r="A1200">
        <v>1435293</v>
      </c>
      <c r="B1200" s="9">
        <v>44032</v>
      </c>
      <c r="C1200" s="9">
        <v>44032</v>
      </c>
      <c r="D1200" t="s">
        <v>5</v>
      </c>
      <c r="E1200" s="5" t="s">
        <v>76</v>
      </c>
      <c r="F1200"/>
      <c r="G1200" t="s">
        <v>1</v>
      </c>
      <c r="H1200">
        <v>57</v>
      </c>
      <c r="I1200" t="s">
        <v>2</v>
      </c>
      <c r="K1200" s="1" t="s">
        <v>121</v>
      </c>
      <c r="M1200" t="s">
        <v>4</v>
      </c>
    </row>
    <row r="1201" spans="1:13" ht="15.75" customHeight="1" x14ac:dyDescent="0.2">
      <c r="A1201">
        <v>1435778</v>
      </c>
      <c r="B1201" s="9">
        <v>44032</v>
      </c>
      <c r="C1201" s="9">
        <v>44032</v>
      </c>
      <c r="D1201" t="s">
        <v>0</v>
      </c>
      <c r="E1201" t="s">
        <v>11</v>
      </c>
      <c r="F1201">
        <v>6</v>
      </c>
      <c r="G1201" t="s">
        <v>1</v>
      </c>
      <c r="H1201">
        <v>47</v>
      </c>
      <c r="I1201" t="s">
        <v>2</v>
      </c>
      <c r="K1201" s="1" t="s">
        <v>121</v>
      </c>
      <c r="M1201" t="s">
        <v>4</v>
      </c>
    </row>
    <row r="1202" spans="1:13" ht="15.75" customHeight="1" x14ac:dyDescent="0.2">
      <c r="A1202">
        <v>1487085</v>
      </c>
      <c r="B1202" s="9">
        <v>44035</v>
      </c>
      <c r="C1202" s="9">
        <v>44036</v>
      </c>
      <c r="D1202" t="s">
        <v>0</v>
      </c>
      <c r="E1202" t="s">
        <v>7</v>
      </c>
      <c r="F1202">
        <v>3</v>
      </c>
      <c r="G1202" t="s">
        <v>1</v>
      </c>
      <c r="H1202">
        <v>16</v>
      </c>
      <c r="I1202" t="s">
        <v>2</v>
      </c>
      <c r="K1202" s="1" t="s">
        <v>121</v>
      </c>
      <c r="M1202" t="s">
        <v>9</v>
      </c>
    </row>
    <row r="1203" spans="1:13" ht="15.75" customHeight="1" x14ac:dyDescent="0.2">
      <c r="A1203">
        <v>1487130</v>
      </c>
      <c r="B1203" s="9">
        <v>44035</v>
      </c>
      <c r="C1203" s="9">
        <v>44036</v>
      </c>
      <c r="D1203" t="s">
        <v>0</v>
      </c>
      <c r="E1203" t="s">
        <v>7</v>
      </c>
      <c r="F1203">
        <v>3</v>
      </c>
      <c r="G1203" t="s">
        <v>6</v>
      </c>
      <c r="H1203">
        <v>11</v>
      </c>
      <c r="I1203" t="s">
        <v>2</v>
      </c>
      <c r="K1203" s="1" t="s">
        <v>121</v>
      </c>
      <c r="M1203" t="s">
        <v>9</v>
      </c>
    </row>
    <row r="1204" spans="1:13" ht="15.75" customHeight="1" x14ac:dyDescent="0.2">
      <c r="A1204">
        <v>1487162</v>
      </c>
      <c r="B1204" s="9">
        <v>44035</v>
      </c>
      <c r="C1204" s="9">
        <v>44036</v>
      </c>
      <c r="D1204" t="s">
        <v>0</v>
      </c>
      <c r="E1204" t="s">
        <v>7</v>
      </c>
      <c r="F1204">
        <v>3</v>
      </c>
      <c r="G1204" t="s">
        <v>1</v>
      </c>
      <c r="H1204">
        <v>13</v>
      </c>
      <c r="I1204" t="s">
        <v>2</v>
      </c>
      <c r="K1204" s="1" t="s">
        <v>121</v>
      </c>
      <c r="M1204" t="s">
        <v>9</v>
      </c>
    </row>
    <row r="1205" spans="1:13" ht="15.75" customHeight="1" x14ac:dyDescent="0.2">
      <c r="A1205">
        <v>1487634</v>
      </c>
      <c r="B1205" s="9">
        <v>44035</v>
      </c>
      <c r="C1205" s="9">
        <v>44035</v>
      </c>
      <c r="D1205" t="s">
        <v>0</v>
      </c>
      <c r="E1205" t="s">
        <v>51</v>
      </c>
      <c r="F1205">
        <v>15</v>
      </c>
      <c r="G1205" t="s">
        <v>6</v>
      </c>
      <c r="H1205">
        <v>36</v>
      </c>
      <c r="I1205" t="s">
        <v>2</v>
      </c>
      <c r="K1205" s="1" t="s">
        <v>121</v>
      </c>
      <c r="M1205" t="s">
        <v>9</v>
      </c>
    </row>
    <row r="1206" spans="1:13" ht="15.75" customHeight="1" x14ac:dyDescent="0.2">
      <c r="A1206">
        <v>1488044</v>
      </c>
      <c r="B1206" s="9">
        <v>44035</v>
      </c>
      <c r="C1206" s="9">
        <v>44035</v>
      </c>
      <c r="D1206" t="s">
        <v>0</v>
      </c>
      <c r="E1206" t="s">
        <v>51</v>
      </c>
      <c r="F1206">
        <v>15</v>
      </c>
      <c r="G1206" t="s">
        <v>1</v>
      </c>
      <c r="H1206">
        <v>27</v>
      </c>
      <c r="I1206" t="s">
        <v>2</v>
      </c>
      <c r="K1206" s="1" t="s">
        <v>121</v>
      </c>
      <c r="M1206" t="s">
        <v>9</v>
      </c>
    </row>
    <row r="1207" spans="1:13" ht="15.75" customHeight="1" x14ac:dyDescent="0.2">
      <c r="A1207">
        <v>1488743</v>
      </c>
      <c r="B1207" s="9">
        <v>44035</v>
      </c>
      <c r="C1207" s="9">
        <v>44036</v>
      </c>
      <c r="D1207" t="s">
        <v>0</v>
      </c>
      <c r="E1207" t="s">
        <v>50</v>
      </c>
      <c r="F1207">
        <v>1</v>
      </c>
      <c r="G1207" t="s">
        <v>1</v>
      </c>
      <c r="H1207">
        <v>57</v>
      </c>
      <c r="I1207" t="s">
        <v>2</v>
      </c>
      <c r="K1207" s="1" t="s">
        <v>121</v>
      </c>
      <c r="M1207" t="s">
        <v>4</v>
      </c>
    </row>
    <row r="1208" spans="1:13" ht="15.75" customHeight="1" x14ac:dyDescent="0.2">
      <c r="A1208">
        <v>1488853</v>
      </c>
      <c r="B1208" s="9">
        <v>44036</v>
      </c>
      <c r="C1208" s="9">
        <v>44036</v>
      </c>
      <c r="D1208" t="s">
        <v>0</v>
      </c>
      <c r="E1208" t="s">
        <v>26</v>
      </c>
      <c r="F1208">
        <v>4</v>
      </c>
      <c r="G1208" t="s">
        <v>6</v>
      </c>
      <c r="H1208">
        <v>23</v>
      </c>
      <c r="I1208" t="s">
        <v>2</v>
      </c>
      <c r="K1208" s="1" t="s">
        <v>121</v>
      </c>
      <c r="M1208" t="s">
        <v>9</v>
      </c>
    </row>
    <row r="1209" spans="1:13" ht="15.75" customHeight="1" x14ac:dyDescent="0.2">
      <c r="A1209">
        <v>1489152</v>
      </c>
      <c r="B1209" s="9">
        <v>44035</v>
      </c>
      <c r="C1209" s="9">
        <v>44036</v>
      </c>
      <c r="D1209" t="s">
        <v>0</v>
      </c>
      <c r="E1209" t="s">
        <v>46</v>
      </c>
      <c r="F1209">
        <v>5</v>
      </c>
      <c r="G1209" t="s">
        <v>6</v>
      </c>
      <c r="H1209">
        <v>53</v>
      </c>
      <c r="I1209" t="s">
        <v>2</v>
      </c>
      <c r="K1209" s="1" t="s">
        <v>121</v>
      </c>
      <c r="M1209" t="s">
        <v>9</v>
      </c>
    </row>
    <row r="1210" spans="1:13" ht="15.75" customHeight="1" x14ac:dyDescent="0.2">
      <c r="A1210">
        <v>1489664</v>
      </c>
      <c r="B1210" s="9">
        <v>44035</v>
      </c>
      <c r="C1210" s="9">
        <v>44036</v>
      </c>
      <c r="D1210" t="s">
        <v>0</v>
      </c>
      <c r="E1210" t="s">
        <v>13</v>
      </c>
      <c r="F1210">
        <v>2</v>
      </c>
      <c r="G1210" t="s">
        <v>6</v>
      </c>
      <c r="H1210">
        <v>25</v>
      </c>
      <c r="I1210" t="s">
        <v>2</v>
      </c>
      <c r="K1210" s="1" t="s">
        <v>121</v>
      </c>
      <c r="M1210" t="s">
        <v>20</v>
      </c>
    </row>
    <row r="1211" spans="1:13" ht="15.75" customHeight="1" x14ac:dyDescent="0.2">
      <c r="A1211">
        <v>1489751</v>
      </c>
      <c r="B1211" s="9">
        <v>44034</v>
      </c>
      <c r="C1211" s="9">
        <v>44037</v>
      </c>
      <c r="D1211" t="s">
        <v>0</v>
      </c>
      <c r="E1211" t="s">
        <v>18</v>
      </c>
      <c r="F1211">
        <v>8</v>
      </c>
      <c r="G1211" t="s">
        <v>1</v>
      </c>
      <c r="H1211">
        <v>81</v>
      </c>
      <c r="I1211" t="s">
        <v>2</v>
      </c>
      <c r="K1211" s="1" t="s">
        <v>121</v>
      </c>
      <c r="M1211" t="s">
        <v>9</v>
      </c>
    </row>
    <row r="1212" spans="1:13" ht="15.75" customHeight="1" x14ac:dyDescent="0.2">
      <c r="A1212">
        <v>1489935</v>
      </c>
      <c r="B1212" s="9">
        <v>44035</v>
      </c>
      <c r="C1212" s="9">
        <v>44036</v>
      </c>
      <c r="D1212" t="s">
        <v>0</v>
      </c>
      <c r="E1212" t="s">
        <v>27</v>
      </c>
      <c r="F1212">
        <v>4</v>
      </c>
      <c r="G1212" t="s">
        <v>1</v>
      </c>
      <c r="H1212">
        <v>23</v>
      </c>
      <c r="I1212" t="s">
        <v>2</v>
      </c>
      <c r="K1212" s="1" t="s">
        <v>121</v>
      </c>
      <c r="M1212" t="s">
        <v>9</v>
      </c>
    </row>
    <row r="1213" spans="1:13" ht="15.75" customHeight="1" x14ac:dyDescent="0.2">
      <c r="A1213">
        <v>1490203</v>
      </c>
      <c r="B1213" s="9">
        <v>44036</v>
      </c>
      <c r="C1213" s="9">
        <v>44036</v>
      </c>
      <c r="D1213" t="s">
        <v>0</v>
      </c>
      <c r="E1213" t="s">
        <v>34</v>
      </c>
      <c r="F1213">
        <v>9</v>
      </c>
      <c r="G1213" t="s">
        <v>1</v>
      </c>
      <c r="H1213">
        <v>6</v>
      </c>
      <c r="I1213" t="s">
        <v>2</v>
      </c>
      <c r="K1213" s="1" t="s">
        <v>121</v>
      </c>
      <c r="M1213" t="s">
        <v>9</v>
      </c>
    </row>
    <row r="1214" spans="1:13" ht="15.75" customHeight="1" x14ac:dyDescent="0.2">
      <c r="A1214">
        <v>1490239</v>
      </c>
      <c r="B1214" s="9">
        <v>44035</v>
      </c>
      <c r="C1214" s="9">
        <v>44035</v>
      </c>
      <c r="D1214" t="s">
        <v>0</v>
      </c>
      <c r="E1214" t="s">
        <v>8</v>
      </c>
      <c r="F1214">
        <v>7</v>
      </c>
      <c r="G1214" t="s">
        <v>6</v>
      </c>
      <c r="H1214">
        <v>34</v>
      </c>
      <c r="I1214" t="s">
        <v>2</v>
      </c>
      <c r="K1214" s="1" t="s">
        <v>121</v>
      </c>
      <c r="M1214" t="s">
        <v>9</v>
      </c>
    </row>
    <row r="1215" spans="1:13" ht="15.75" customHeight="1" x14ac:dyDescent="0.2">
      <c r="A1215">
        <v>1490280</v>
      </c>
      <c r="B1215" s="9">
        <v>44035</v>
      </c>
      <c r="C1215" s="9">
        <v>44036</v>
      </c>
      <c r="D1215" t="s">
        <v>0</v>
      </c>
      <c r="E1215" t="s">
        <v>14</v>
      </c>
      <c r="F1215">
        <v>14</v>
      </c>
      <c r="G1215" t="s">
        <v>1</v>
      </c>
      <c r="H1215">
        <v>24</v>
      </c>
      <c r="I1215" t="s">
        <v>2</v>
      </c>
      <c r="K1215" s="1" t="s">
        <v>121</v>
      </c>
      <c r="M1215" t="s">
        <v>22</v>
      </c>
    </row>
    <row r="1216" spans="1:13" ht="15.75" customHeight="1" x14ac:dyDescent="0.2">
      <c r="A1216">
        <v>1490655</v>
      </c>
      <c r="B1216" s="9">
        <v>44035</v>
      </c>
      <c r="C1216" s="9">
        <v>44035</v>
      </c>
      <c r="D1216" t="s">
        <v>0</v>
      </c>
      <c r="E1216" t="s">
        <v>27</v>
      </c>
      <c r="F1216">
        <v>4</v>
      </c>
      <c r="G1216" t="s">
        <v>1</v>
      </c>
      <c r="H1216">
        <v>12</v>
      </c>
      <c r="I1216" t="s">
        <v>2</v>
      </c>
      <c r="K1216" s="1" t="s">
        <v>121</v>
      </c>
      <c r="M1216" t="s">
        <v>9</v>
      </c>
    </row>
    <row r="1217" spans="1:13" ht="15.75" customHeight="1" x14ac:dyDescent="0.2">
      <c r="A1217">
        <v>1490746</v>
      </c>
      <c r="B1217" s="9">
        <v>44036</v>
      </c>
      <c r="C1217" s="9">
        <v>44036</v>
      </c>
      <c r="D1217" t="s">
        <v>0</v>
      </c>
      <c r="E1217" t="s">
        <v>7</v>
      </c>
      <c r="F1217">
        <v>3</v>
      </c>
      <c r="G1217" t="s">
        <v>1</v>
      </c>
      <c r="H1217">
        <v>61</v>
      </c>
      <c r="I1217" t="s">
        <v>2</v>
      </c>
      <c r="K1217" s="1" t="s">
        <v>121</v>
      </c>
      <c r="M1217" t="s">
        <v>9</v>
      </c>
    </row>
    <row r="1218" spans="1:13" ht="15.75" customHeight="1" x14ac:dyDescent="0.2">
      <c r="A1218">
        <v>1491040</v>
      </c>
      <c r="B1218" s="9">
        <v>44035</v>
      </c>
      <c r="C1218" s="9">
        <v>44035</v>
      </c>
      <c r="D1218" t="s">
        <v>0</v>
      </c>
      <c r="E1218" t="s">
        <v>45</v>
      </c>
      <c r="F1218">
        <v>4</v>
      </c>
      <c r="G1218" t="s">
        <v>6</v>
      </c>
      <c r="H1218">
        <v>40</v>
      </c>
      <c r="I1218" t="s">
        <v>2</v>
      </c>
      <c r="K1218" s="1" t="s">
        <v>121</v>
      </c>
      <c r="M1218" t="s">
        <v>9</v>
      </c>
    </row>
    <row r="1219" spans="1:13" ht="15.75" customHeight="1" x14ac:dyDescent="0.2">
      <c r="A1219">
        <v>1491523</v>
      </c>
      <c r="B1219" s="9">
        <v>44033</v>
      </c>
      <c r="C1219" s="9">
        <v>44033</v>
      </c>
      <c r="D1219" t="s">
        <v>5</v>
      </c>
      <c r="E1219" t="s">
        <v>96</v>
      </c>
      <c r="F1219"/>
      <c r="G1219" t="s">
        <v>6</v>
      </c>
      <c r="H1219">
        <v>43</v>
      </c>
      <c r="I1219" t="s">
        <v>2</v>
      </c>
      <c r="K1219" s="1" t="s">
        <v>121</v>
      </c>
      <c r="M1219" t="s">
        <v>4</v>
      </c>
    </row>
    <row r="1220" spans="1:13" ht="15.75" customHeight="1" x14ac:dyDescent="0.2">
      <c r="A1220">
        <v>1492092</v>
      </c>
      <c r="B1220" s="9">
        <v>44035</v>
      </c>
      <c r="C1220" s="9">
        <v>44035</v>
      </c>
      <c r="D1220" t="s">
        <v>0</v>
      </c>
      <c r="E1220" t="s">
        <v>17</v>
      </c>
      <c r="F1220">
        <v>1</v>
      </c>
      <c r="G1220" t="s">
        <v>1</v>
      </c>
      <c r="H1220">
        <v>33</v>
      </c>
      <c r="I1220" t="s">
        <v>2</v>
      </c>
      <c r="K1220" s="1" t="s">
        <v>121</v>
      </c>
      <c r="M1220" t="s">
        <v>9</v>
      </c>
    </row>
    <row r="1221" spans="1:13" ht="15.75" customHeight="1" x14ac:dyDescent="0.2">
      <c r="A1221">
        <v>1492288</v>
      </c>
      <c r="B1221" s="9">
        <v>44035</v>
      </c>
      <c r="C1221" s="9">
        <v>44035</v>
      </c>
      <c r="D1221" t="s">
        <v>0</v>
      </c>
      <c r="E1221" t="s">
        <v>8</v>
      </c>
      <c r="F1221">
        <v>7</v>
      </c>
      <c r="G1221" t="s">
        <v>1</v>
      </c>
      <c r="H1221">
        <v>57</v>
      </c>
      <c r="I1221" t="s">
        <v>2</v>
      </c>
      <c r="K1221" s="1" t="s">
        <v>121</v>
      </c>
      <c r="M1221" t="s">
        <v>20</v>
      </c>
    </row>
    <row r="1222" spans="1:13" ht="15.75" customHeight="1" x14ac:dyDescent="0.2">
      <c r="A1222">
        <v>1492429</v>
      </c>
      <c r="B1222" s="9">
        <v>44027</v>
      </c>
      <c r="C1222" s="9">
        <v>44028</v>
      </c>
      <c r="D1222" t="s">
        <v>5</v>
      </c>
      <c r="E1222" s="1" t="s">
        <v>90</v>
      </c>
      <c r="F1222"/>
      <c r="G1222" t="s">
        <v>1</v>
      </c>
      <c r="H1222">
        <v>42</v>
      </c>
      <c r="I1222" t="s">
        <v>2</v>
      </c>
      <c r="K1222" s="1" t="s">
        <v>121</v>
      </c>
      <c r="M1222" t="s">
        <v>4</v>
      </c>
    </row>
    <row r="1223" spans="1:13" ht="15.75" customHeight="1" x14ac:dyDescent="0.2">
      <c r="A1223">
        <v>1492554</v>
      </c>
      <c r="B1223" s="9">
        <v>44029</v>
      </c>
      <c r="C1223" s="9">
        <v>44030</v>
      </c>
      <c r="D1223" t="s">
        <v>0</v>
      </c>
      <c r="E1223" t="s">
        <v>41</v>
      </c>
      <c r="F1223">
        <v>4</v>
      </c>
      <c r="G1223" t="s">
        <v>6</v>
      </c>
      <c r="H1223">
        <v>31</v>
      </c>
      <c r="I1223" t="s">
        <v>2</v>
      </c>
      <c r="K1223" s="1" t="s">
        <v>121</v>
      </c>
      <c r="M1223" t="s">
        <v>4</v>
      </c>
    </row>
    <row r="1224" spans="1:13" ht="15.75" customHeight="1" x14ac:dyDescent="0.2">
      <c r="A1224">
        <v>1492689</v>
      </c>
      <c r="B1224" s="9">
        <v>44035</v>
      </c>
      <c r="C1224" s="9">
        <v>44036</v>
      </c>
      <c r="D1224" t="s">
        <v>5</v>
      </c>
      <c r="E1224" s="5" t="s">
        <v>95</v>
      </c>
      <c r="F1224"/>
      <c r="G1224" t="s">
        <v>1</v>
      </c>
      <c r="H1224">
        <v>42</v>
      </c>
      <c r="I1224" t="s">
        <v>2</v>
      </c>
      <c r="K1224" s="1" t="s">
        <v>121</v>
      </c>
      <c r="M1224" t="s">
        <v>9</v>
      </c>
    </row>
    <row r="1225" spans="1:13" ht="15.75" customHeight="1" x14ac:dyDescent="0.2">
      <c r="A1225">
        <v>1492696</v>
      </c>
      <c r="B1225" s="9">
        <v>44036</v>
      </c>
      <c r="C1225" s="9">
        <v>44036</v>
      </c>
      <c r="D1225" t="s">
        <v>0</v>
      </c>
      <c r="E1225" t="s">
        <v>17</v>
      </c>
      <c r="F1225">
        <v>1</v>
      </c>
      <c r="G1225" t="s">
        <v>6</v>
      </c>
      <c r="H1225">
        <v>53</v>
      </c>
      <c r="I1225" t="s">
        <v>2</v>
      </c>
      <c r="K1225" s="1" t="s">
        <v>121</v>
      </c>
      <c r="M1225" t="s">
        <v>20</v>
      </c>
    </row>
    <row r="1226" spans="1:13" ht="15.75" customHeight="1" x14ac:dyDescent="0.2">
      <c r="A1226">
        <v>1492805</v>
      </c>
      <c r="B1226" s="9">
        <v>44035</v>
      </c>
      <c r="C1226" s="9">
        <v>44035</v>
      </c>
      <c r="D1226" t="s">
        <v>0</v>
      </c>
      <c r="E1226" t="s">
        <v>27</v>
      </c>
      <c r="F1226">
        <v>4</v>
      </c>
      <c r="G1226" t="s">
        <v>1</v>
      </c>
      <c r="H1226">
        <v>61</v>
      </c>
      <c r="I1226" t="s">
        <v>2</v>
      </c>
      <c r="K1226" s="1" t="s">
        <v>121</v>
      </c>
      <c r="M1226" t="s">
        <v>9</v>
      </c>
    </row>
    <row r="1227" spans="1:13" ht="15.75" customHeight="1" x14ac:dyDescent="0.2">
      <c r="A1227">
        <v>1492817</v>
      </c>
      <c r="B1227" s="9">
        <v>44035</v>
      </c>
      <c r="C1227" s="9">
        <v>44035</v>
      </c>
      <c r="D1227" t="s">
        <v>0</v>
      </c>
      <c r="E1227" t="s">
        <v>27</v>
      </c>
      <c r="F1227">
        <v>4</v>
      </c>
      <c r="G1227" t="s">
        <v>1</v>
      </c>
      <c r="H1227">
        <v>19</v>
      </c>
      <c r="I1227" t="s">
        <v>2</v>
      </c>
      <c r="K1227" s="1" t="s">
        <v>121</v>
      </c>
      <c r="M1227" t="s">
        <v>9</v>
      </c>
    </row>
    <row r="1228" spans="1:13" ht="15.75" customHeight="1" x14ac:dyDescent="0.2">
      <c r="A1228">
        <v>1493076</v>
      </c>
      <c r="B1228" s="9">
        <v>44035</v>
      </c>
      <c r="C1228" s="9">
        <v>44035</v>
      </c>
      <c r="D1228" t="s">
        <v>0</v>
      </c>
      <c r="E1228" t="s">
        <v>8</v>
      </c>
      <c r="F1228">
        <v>7</v>
      </c>
      <c r="G1228" t="s">
        <v>6</v>
      </c>
      <c r="H1228">
        <v>29</v>
      </c>
      <c r="I1228" t="s">
        <v>2</v>
      </c>
      <c r="K1228" s="1" t="s">
        <v>121</v>
      </c>
      <c r="M1228" t="s">
        <v>9</v>
      </c>
    </row>
    <row r="1229" spans="1:13" ht="15.75" customHeight="1" x14ac:dyDescent="0.2">
      <c r="A1229">
        <v>1493144</v>
      </c>
      <c r="B1229" s="9">
        <v>44035</v>
      </c>
      <c r="C1229" s="9">
        <v>44035</v>
      </c>
      <c r="D1229" t="s">
        <v>0</v>
      </c>
      <c r="E1229" t="s">
        <v>8</v>
      </c>
      <c r="F1229">
        <v>7</v>
      </c>
      <c r="G1229" t="s">
        <v>6</v>
      </c>
      <c r="H1229">
        <v>32</v>
      </c>
      <c r="I1229" t="s">
        <v>2</v>
      </c>
      <c r="K1229" s="1" t="s">
        <v>121</v>
      </c>
      <c r="M1229" t="s">
        <v>20</v>
      </c>
    </row>
    <row r="1230" spans="1:13" ht="15.75" customHeight="1" x14ac:dyDescent="0.2">
      <c r="A1230">
        <v>1493271</v>
      </c>
      <c r="B1230" s="9">
        <v>44035</v>
      </c>
      <c r="C1230" s="9">
        <v>44035</v>
      </c>
      <c r="D1230" t="s">
        <v>5</v>
      </c>
      <c r="E1230" s="5" t="s">
        <v>76</v>
      </c>
      <c r="F1230"/>
      <c r="G1230" t="s">
        <v>6</v>
      </c>
      <c r="H1230">
        <v>33</v>
      </c>
      <c r="I1230" t="s">
        <v>2</v>
      </c>
      <c r="K1230" s="1" t="s">
        <v>121</v>
      </c>
      <c r="M1230" t="s">
        <v>4</v>
      </c>
    </row>
    <row r="1231" spans="1:13" ht="15.75" customHeight="1" x14ac:dyDescent="0.2">
      <c r="A1231">
        <v>1493316</v>
      </c>
      <c r="B1231" s="9">
        <v>44035</v>
      </c>
      <c r="C1231" s="9">
        <v>44036</v>
      </c>
      <c r="D1231" t="s">
        <v>0</v>
      </c>
      <c r="E1231" t="s">
        <v>40</v>
      </c>
      <c r="F1231">
        <v>1</v>
      </c>
      <c r="G1231" t="s">
        <v>6</v>
      </c>
      <c r="H1231">
        <v>35</v>
      </c>
      <c r="I1231" t="s">
        <v>2</v>
      </c>
      <c r="K1231" s="1" t="s">
        <v>121</v>
      </c>
      <c r="M1231" t="s">
        <v>4</v>
      </c>
    </row>
    <row r="1232" spans="1:13" ht="15.75" customHeight="1" x14ac:dyDescent="0.2">
      <c r="A1232">
        <v>1493340</v>
      </c>
      <c r="B1232" s="9">
        <v>44035</v>
      </c>
      <c r="C1232" s="9">
        <v>44035</v>
      </c>
      <c r="D1232" t="s">
        <v>0</v>
      </c>
      <c r="E1232" t="s">
        <v>8</v>
      </c>
      <c r="F1232">
        <v>7</v>
      </c>
      <c r="G1232" t="s">
        <v>6</v>
      </c>
      <c r="H1232">
        <v>45</v>
      </c>
      <c r="I1232" t="s">
        <v>2</v>
      </c>
      <c r="K1232" s="1" t="s">
        <v>121</v>
      </c>
      <c r="M1232" t="s">
        <v>20</v>
      </c>
    </row>
    <row r="1233" spans="1:13" ht="15.75" customHeight="1" x14ac:dyDescent="0.2">
      <c r="A1233">
        <v>1493341</v>
      </c>
      <c r="B1233" s="9">
        <v>44035</v>
      </c>
      <c r="C1233" s="9">
        <v>44036</v>
      </c>
      <c r="D1233" t="s">
        <v>0</v>
      </c>
      <c r="E1233" t="s">
        <v>40</v>
      </c>
      <c r="F1233">
        <v>1</v>
      </c>
      <c r="G1233" t="s">
        <v>6</v>
      </c>
      <c r="H1233">
        <v>30</v>
      </c>
      <c r="I1233" t="s">
        <v>2</v>
      </c>
      <c r="K1233" s="1" t="s">
        <v>121</v>
      </c>
      <c r="M1233" t="s">
        <v>4</v>
      </c>
    </row>
    <row r="1234" spans="1:13" ht="15.75" customHeight="1" x14ac:dyDescent="0.2">
      <c r="A1234">
        <v>1493359</v>
      </c>
      <c r="B1234" s="9">
        <v>44035</v>
      </c>
      <c r="C1234" s="9">
        <v>44035</v>
      </c>
      <c r="D1234" t="s">
        <v>0</v>
      </c>
      <c r="E1234" t="s">
        <v>41</v>
      </c>
      <c r="F1234">
        <v>4</v>
      </c>
      <c r="G1234" t="s">
        <v>6</v>
      </c>
      <c r="H1234">
        <v>52</v>
      </c>
      <c r="I1234" t="s">
        <v>2</v>
      </c>
      <c r="K1234" s="1" t="s">
        <v>121</v>
      </c>
      <c r="M1234" t="s">
        <v>20</v>
      </c>
    </row>
    <row r="1235" spans="1:13" ht="15.75" customHeight="1" x14ac:dyDescent="0.2">
      <c r="A1235">
        <v>1365779</v>
      </c>
      <c r="B1235" s="9">
        <v>44026</v>
      </c>
      <c r="C1235" s="9">
        <v>44027</v>
      </c>
      <c r="D1235" t="s">
        <v>0</v>
      </c>
      <c r="E1235" t="s">
        <v>45</v>
      </c>
      <c r="F1235">
        <v>4</v>
      </c>
      <c r="G1235" t="s">
        <v>6</v>
      </c>
      <c r="H1235">
        <v>54</v>
      </c>
      <c r="I1235" t="s">
        <v>2</v>
      </c>
      <c r="K1235" s="1" t="s">
        <v>121</v>
      </c>
      <c r="M1235" t="s">
        <v>4</v>
      </c>
    </row>
    <row r="1236" spans="1:13" ht="15.75" customHeight="1" x14ac:dyDescent="0.2">
      <c r="A1236">
        <v>1367147</v>
      </c>
      <c r="B1236" s="9">
        <v>44027</v>
      </c>
      <c r="C1236" s="9">
        <v>44029</v>
      </c>
      <c r="D1236" t="s">
        <v>0</v>
      </c>
      <c r="E1236" t="s">
        <v>14</v>
      </c>
      <c r="F1236">
        <v>14</v>
      </c>
      <c r="G1236" t="s">
        <v>6</v>
      </c>
      <c r="H1236">
        <v>53</v>
      </c>
      <c r="I1236" t="s">
        <v>2</v>
      </c>
      <c r="K1236" s="1" t="s">
        <v>121</v>
      </c>
      <c r="M1236" t="s">
        <v>4</v>
      </c>
    </row>
    <row r="1237" spans="1:13" ht="15.75" customHeight="1" x14ac:dyDescent="0.2">
      <c r="A1237">
        <v>1367167</v>
      </c>
      <c r="B1237" s="9">
        <v>44027</v>
      </c>
      <c r="C1237" s="9">
        <v>44028</v>
      </c>
      <c r="D1237" t="s">
        <v>5</v>
      </c>
      <c r="E1237" s="1" t="s">
        <v>90</v>
      </c>
      <c r="F1237"/>
      <c r="G1237" t="s">
        <v>6</v>
      </c>
      <c r="H1237">
        <v>28</v>
      </c>
      <c r="I1237" t="s">
        <v>2</v>
      </c>
      <c r="K1237" s="1" t="s">
        <v>121</v>
      </c>
      <c r="M1237" t="s">
        <v>9</v>
      </c>
    </row>
    <row r="1238" spans="1:13" ht="15.75" customHeight="1" x14ac:dyDescent="0.2">
      <c r="A1238">
        <v>1368065</v>
      </c>
      <c r="B1238" s="9">
        <v>44027</v>
      </c>
      <c r="C1238" s="9">
        <v>44027</v>
      </c>
      <c r="D1238" t="s">
        <v>0</v>
      </c>
      <c r="E1238" t="s">
        <v>11</v>
      </c>
      <c r="F1238">
        <v>6</v>
      </c>
      <c r="G1238" t="s">
        <v>1</v>
      </c>
      <c r="H1238">
        <v>28</v>
      </c>
      <c r="I1238" t="s">
        <v>2</v>
      </c>
      <c r="K1238" s="1" t="s">
        <v>121</v>
      </c>
      <c r="M1238" t="s">
        <v>9</v>
      </c>
    </row>
    <row r="1239" spans="1:13" ht="15.75" customHeight="1" x14ac:dyDescent="0.2">
      <c r="A1239">
        <v>1368535</v>
      </c>
      <c r="B1239" s="9">
        <v>44027</v>
      </c>
      <c r="C1239" s="9">
        <v>44027</v>
      </c>
      <c r="D1239" t="s">
        <v>0</v>
      </c>
      <c r="E1239" t="s">
        <v>11</v>
      </c>
      <c r="F1239">
        <v>6</v>
      </c>
      <c r="G1239" t="s">
        <v>6</v>
      </c>
      <c r="H1239">
        <v>24</v>
      </c>
      <c r="I1239" t="s">
        <v>2</v>
      </c>
      <c r="K1239" s="1" t="s">
        <v>121</v>
      </c>
      <c r="M1239" t="s">
        <v>4</v>
      </c>
    </row>
    <row r="1240" spans="1:13" ht="15.75" customHeight="1" x14ac:dyDescent="0.2">
      <c r="A1240">
        <v>1370437</v>
      </c>
      <c r="B1240" s="9">
        <v>44027</v>
      </c>
      <c r="C1240" s="9">
        <v>44027</v>
      </c>
      <c r="D1240" t="s">
        <v>0</v>
      </c>
      <c r="E1240" t="s">
        <v>41</v>
      </c>
      <c r="F1240">
        <v>4</v>
      </c>
      <c r="G1240" t="s">
        <v>6</v>
      </c>
      <c r="H1240">
        <v>31</v>
      </c>
      <c r="I1240" t="s">
        <v>2</v>
      </c>
      <c r="K1240" s="1" t="s">
        <v>121</v>
      </c>
      <c r="M1240" t="s">
        <v>9</v>
      </c>
    </row>
    <row r="1241" spans="1:13" ht="15.75" customHeight="1" x14ac:dyDescent="0.2">
      <c r="A1241">
        <v>1372787</v>
      </c>
      <c r="B1241" s="9">
        <v>44027</v>
      </c>
      <c r="C1241" s="9">
        <v>44027</v>
      </c>
      <c r="D1241" t="s">
        <v>0</v>
      </c>
      <c r="E1241" t="s">
        <v>39</v>
      </c>
      <c r="F1241">
        <v>8</v>
      </c>
      <c r="G1241" t="s">
        <v>6</v>
      </c>
      <c r="H1241">
        <v>44</v>
      </c>
      <c r="I1241" t="s">
        <v>2</v>
      </c>
      <c r="K1241" s="1" t="s">
        <v>121</v>
      </c>
      <c r="M1241" t="s">
        <v>4</v>
      </c>
    </row>
    <row r="1242" spans="1:13" ht="15.75" customHeight="1" x14ac:dyDescent="0.2">
      <c r="A1242">
        <v>1372886</v>
      </c>
      <c r="B1242" s="9">
        <v>44026</v>
      </c>
      <c r="C1242" s="9">
        <v>44027</v>
      </c>
      <c r="D1242" t="s">
        <v>5</v>
      </c>
      <c r="E1242" t="s">
        <v>96</v>
      </c>
      <c r="F1242"/>
      <c r="G1242" t="s">
        <v>1</v>
      </c>
      <c r="H1242">
        <v>30</v>
      </c>
      <c r="I1242" t="s">
        <v>2</v>
      </c>
      <c r="K1242" s="1" t="s">
        <v>121</v>
      </c>
      <c r="M1242" t="s">
        <v>4</v>
      </c>
    </row>
    <row r="1243" spans="1:13" ht="15.75" customHeight="1" x14ac:dyDescent="0.2">
      <c r="A1243">
        <v>1374483</v>
      </c>
      <c r="B1243" s="9">
        <v>44026</v>
      </c>
      <c r="C1243" s="9">
        <v>44027</v>
      </c>
      <c r="D1243" t="s">
        <v>0</v>
      </c>
      <c r="E1243" t="s">
        <v>29</v>
      </c>
      <c r="F1243">
        <v>12</v>
      </c>
      <c r="G1243" t="s">
        <v>1</v>
      </c>
      <c r="H1243">
        <v>74</v>
      </c>
      <c r="I1243" t="s">
        <v>2</v>
      </c>
      <c r="K1243" s="1" t="s">
        <v>121</v>
      </c>
      <c r="M1243" t="s">
        <v>9</v>
      </c>
    </row>
    <row r="1244" spans="1:13" ht="15.75" customHeight="1" x14ac:dyDescent="0.2">
      <c r="A1244">
        <v>1376644</v>
      </c>
      <c r="B1244" s="9">
        <v>44027</v>
      </c>
      <c r="C1244" s="9">
        <v>44032</v>
      </c>
      <c r="D1244" t="s">
        <v>5</v>
      </c>
      <c r="E1244" t="s">
        <v>97</v>
      </c>
      <c r="F1244"/>
      <c r="G1244" t="s">
        <v>6</v>
      </c>
      <c r="H1244">
        <v>25</v>
      </c>
      <c r="I1244" t="s">
        <v>2</v>
      </c>
      <c r="K1244" s="1" t="s">
        <v>121</v>
      </c>
      <c r="M1244" t="s">
        <v>4</v>
      </c>
    </row>
    <row r="1245" spans="1:13" ht="15.75" customHeight="1" x14ac:dyDescent="0.2">
      <c r="A1245">
        <v>1381372</v>
      </c>
      <c r="B1245" s="9">
        <v>44027</v>
      </c>
      <c r="C1245" s="9">
        <v>44029</v>
      </c>
      <c r="D1245" t="s">
        <v>5</v>
      </c>
      <c r="E1245" s="1" t="s">
        <v>90</v>
      </c>
      <c r="F1245"/>
      <c r="G1245" t="s">
        <v>1</v>
      </c>
      <c r="H1245">
        <v>84</v>
      </c>
      <c r="I1245" t="s">
        <v>2</v>
      </c>
      <c r="K1245" s="1" t="s">
        <v>121</v>
      </c>
      <c r="M1245" t="s">
        <v>9</v>
      </c>
    </row>
    <row r="1246" spans="1:13" ht="15.75" customHeight="1" x14ac:dyDescent="0.2">
      <c r="A1246">
        <v>1381459</v>
      </c>
      <c r="B1246" s="9">
        <v>44028</v>
      </c>
      <c r="C1246" s="9">
        <v>44028</v>
      </c>
      <c r="D1246" t="s">
        <v>5</v>
      </c>
      <c r="E1246" t="s">
        <v>96</v>
      </c>
      <c r="F1246"/>
      <c r="G1246" t="s">
        <v>1</v>
      </c>
      <c r="H1246">
        <v>53</v>
      </c>
      <c r="I1246" t="s">
        <v>2</v>
      </c>
      <c r="K1246" s="1" t="s">
        <v>121</v>
      </c>
      <c r="M1246" t="s">
        <v>22</v>
      </c>
    </row>
    <row r="1247" spans="1:13" ht="15.75" customHeight="1" x14ac:dyDescent="0.2">
      <c r="A1247">
        <v>1388537</v>
      </c>
      <c r="B1247" s="9">
        <v>44028</v>
      </c>
      <c r="C1247" s="9">
        <v>44032</v>
      </c>
      <c r="D1247" t="s">
        <v>0</v>
      </c>
      <c r="E1247" t="s">
        <v>50</v>
      </c>
      <c r="F1247">
        <v>1</v>
      </c>
      <c r="G1247" t="s">
        <v>6</v>
      </c>
      <c r="H1247">
        <v>65</v>
      </c>
      <c r="I1247" t="s">
        <v>2</v>
      </c>
      <c r="K1247" s="1" t="s">
        <v>121</v>
      </c>
      <c r="M1247" t="s">
        <v>4</v>
      </c>
    </row>
    <row r="1248" spans="1:13" ht="15.75" customHeight="1" x14ac:dyDescent="0.2">
      <c r="A1248">
        <v>1389792</v>
      </c>
      <c r="B1248" s="9">
        <v>44027</v>
      </c>
      <c r="C1248" s="9">
        <v>44027</v>
      </c>
      <c r="D1248" t="s">
        <v>0</v>
      </c>
      <c r="E1248" t="s">
        <v>39</v>
      </c>
      <c r="F1248">
        <v>8</v>
      </c>
      <c r="G1248" t="s">
        <v>1</v>
      </c>
      <c r="H1248">
        <v>49</v>
      </c>
      <c r="I1248" t="s">
        <v>2</v>
      </c>
      <c r="K1248" s="1" t="s">
        <v>121</v>
      </c>
      <c r="M1248" t="s">
        <v>9</v>
      </c>
    </row>
    <row r="1249" spans="1:13" ht="15.75" customHeight="1" x14ac:dyDescent="0.2">
      <c r="A1249">
        <v>1390515</v>
      </c>
      <c r="B1249" s="9">
        <v>44029</v>
      </c>
      <c r="C1249" s="9">
        <v>44029</v>
      </c>
      <c r="D1249" t="s">
        <v>5</v>
      </c>
      <c r="E1249" t="s">
        <v>96</v>
      </c>
      <c r="F1249"/>
      <c r="G1249" t="s">
        <v>6</v>
      </c>
      <c r="H1249">
        <v>36</v>
      </c>
      <c r="I1249" t="s">
        <v>2</v>
      </c>
      <c r="K1249" s="1" t="s">
        <v>121</v>
      </c>
      <c r="M1249" t="s">
        <v>22</v>
      </c>
    </row>
    <row r="1250" spans="1:13" ht="15.75" customHeight="1" x14ac:dyDescent="0.2">
      <c r="A1250">
        <v>1400401</v>
      </c>
      <c r="B1250" s="9">
        <v>44039</v>
      </c>
      <c r="C1250" s="9">
        <v>44039</v>
      </c>
      <c r="D1250" t="s">
        <v>5</v>
      </c>
      <c r="E1250" s="5" t="s">
        <v>76</v>
      </c>
      <c r="F1250"/>
      <c r="G1250" t="s">
        <v>6</v>
      </c>
      <c r="H1250">
        <v>74</v>
      </c>
      <c r="I1250" t="s">
        <v>2</v>
      </c>
      <c r="K1250" s="1" t="s">
        <v>121</v>
      </c>
      <c r="M1250" t="s">
        <v>4</v>
      </c>
    </row>
    <row r="1251" spans="1:13" ht="15.75" customHeight="1" x14ac:dyDescent="0.2">
      <c r="A1251">
        <v>1404633</v>
      </c>
      <c r="B1251" s="9">
        <v>44036</v>
      </c>
      <c r="C1251" s="9">
        <v>44036</v>
      </c>
      <c r="D1251" t="s">
        <v>0</v>
      </c>
      <c r="E1251" t="s">
        <v>7</v>
      </c>
      <c r="F1251">
        <v>3</v>
      </c>
      <c r="G1251" t="s">
        <v>1</v>
      </c>
      <c r="H1251">
        <v>16</v>
      </c>
      <c r="I1251" t="s">
        <v>2</v>
      </c>
      <c r="K1251" s="1" t="s">
        <v>121</v>
      </c>
      <c r="M1251" t="s">
        <v>4</v>
      </c>
    </row>
    <row r="1252" spans="1:13" ht="15.75" customHeight="1" x14ac:dyDescent="0.2">
      <c r="A1252">
        <v>1404918</v>
      </c>
      <c r="B1252" s="9">
        <v>44028</v>
      </c>
      <c r="C1252" s="9">
        <v>44029</v>
      </c>
      <c r="D1252" t="s">
        <v>5</v>
      </c>
      <c r="E1252" t="s">
        <v>96</v>
      </c>
      <c r="F1252"/>
      <c r="G1252" t="s">
        <v>6</v>
      </c>
      <c r="H1252">
        <v>24</v>
      </c>
      <c r="I1252" t="s">
        <v>2</v>
      </c>
      <c r="K1252" s="1" t="s">
        <v>121</v>
      </c>
      <c r="M1252" t="s">
        <v>4</v>
      </c>
    </row>
    <row r="1253" spans="1:13" ht="15.75" customHeight="1" x14ac:dyDescent="0.2">
      <c r="A1253">
        <v>1405612</v>
      </c>
      <c r="B1253" s="9">
        <v>44029</v>
      </c>
      <c r="C1253" s="9">
        <v>44029</v>
      </c>
      <c r="D1253" t="s">
        <v>5</v>
      </c>
      <c r="E1253" t="s">
        <v>96</v>
      </c>
      <c r="F1253"/>
      <c r="G1253" t="s">
        <v>1</v>
      </c>
      <c r="H1253">
        <v>24</v>
      </c>
      <c r="I1253" t="s">
        <v>2</v>
      </c>
      <c r="K1253" s="1" t="s">
        <v>121</v>
      </c>
      <c r="M1253" t="s">
        <v>4</v>
      </c>
    </row>
    <row r="1254" spans="1:13" ht="15.75" customHeight="1" x14ac:dyDescent="0.2">
      <c r="A1254">
        <v>1405685</v>
      </c>
      <c r="B1254" s="9">
        <v>44030</v>
      </c>
      <c r="C1254" s="9">
        <v>44030</v>
      </c>
      <c r="D1254" t="s">
        <v>0</v>
      </c>
      <c r="E1254" t="s">
        <v>27</v>
      </c>
      <c r="F1254">
        <v>4</v>
      </c>
      <c r="G1254" t="s">
        <v>6</v>
      </c>
      <c r="H1254">
        <v>37</v>
      </c>
      <c r="I1254" t="s">
        <v>2</v>
      </c>
      <c r="K1254" s="1" t="s">
        <v>121</v>
      </c>
      <c r="M1254" t="s">
        <v>20</v>
      </c>
    </row>
    <row r="1255" spans="1:13" ht="15.75" customHeight="1" x14ac:dyDescent="0.2">
      <c r="A1255">
        <v>1406075</v>
      </c>
      <c r="B1255" s="9">
        <v>44030</v>
      </c>
      <c r="C1255" s="9">
        <v>44030</v>
      </c>
      <c r="D1255" t="s">
        <v>5</v>
      </c>
      <c r="E1255" t="s">
        <v>75</v>
      </c>
      <c r="F1255"/>
      <c r="G1255" t="s">
        <v>1</v>
      </c>
      <c r="H1255">
        <v>33</v>
      </c>
      <c r="I1255" t="s">
        <v>2</v>
      </c>
      <c r="K1255" s="1" t="s">
        <v>121</v>
      </c>
      <c r="M1255" t="s">
        <v>22</v>
      </c>
    </row>
    <row r="1256" spans="1:13" ht="15.75" customHeight="1" x14ac:dyDescent="0.2">
      <c r="A1256">
        <v>1406219</v>
      </c>
      <c r="B1256" s="9">
        <v>44030</v>
      </c>
      <c r="C1256" s="9">
        <v>44030</v>
      </c>
      <c r="D1256" t="s">
        <v>0</v>
      </c>
      <c r="E1256" t="s">
        <v>17</v>
      </c>
      <c r="F1256">
        <v>1</v>
      </c>
      <c r="G1256" t="s">
        <v>1</v>
      </c>
      <c r="H1256">
        <v>51</v>
      </c>
      <c r="I1256" t="s">
        <v>2</v>
      </c>
      <c r="K1256" s="1" t="s">
        <v>121</v>
      </c>
      <c r="M1256" t="s">
        <v>20</v>
      </c>
    </row>
    <row r="1257" spans="1:13" ht="15.75" customHeight="1" x14ac:dyDescent="0.2">
      <c r="A1257">
        <v>1406384</v>
      </c>
      <c r="B1257" s="9">
        <v>44028</v>
      </c>
      <c r="C1257" s="9">
        <v>44029</v>
      </c>
      <c r="D1257" t="s">
        <v>5</v>
      </c>
      <c r="E1257" s="5" t="s">
        <v>95</v>
      </c>
      <c r="F1257"/>
      <c r="G1257" t="s">
        <v>1</v>
      </c>
      <c r="H1257">
        <v>40</v>
      </c>
      <c r="I1257" t="s">
        <v>2</v>
      </c>
      <c r="K1257" s="1" t="s">
        <v>121</v>
      </c>
      <c r="M1257" t="s">
        <v>9</v>
      </c>
    </row>
    <row r="1258" spans="1:13" ht="15.75" customHeight="1" x14ac:dyDescent="0.2">
      <c r="A1258">
        <v>1407051</v>
      </c>
      <c r="B1258" s="9">
        <v>44029</v>
      </c>
      <c r="C1258" s="9">
        <v>44029</v>
      </c>
      <c r="D1258" t="s">
        <v>0</v>
      </c>
      <c r="E1258" t="s">
        <v>27</v>
      </c>
      <c r="F1258">
        <v>4</v>
      </c>
      <c r="G1258" t="s">
        <v>1</v>
      </c>
      <c r="H1258">
        <v>56</v>
      </c>
      <c r="I1258" t="s">
        <v>2</v>
      </c>
      <c r="K1258" s="1" t="s">
        <v>121</v>
      </c>
      <c r="M1258" t="s">
        <v>9</v>
      </c>
    </row>
    <row r="1259" spans="1:13" ht="15.75" customHeight="1" x14ac:dyDescent="0.2">
      <c r="A1259">
        <v>1407171</v>
      </c>
      <c r="B1259" s="9">
        <v>44028</v>
      </c>
      <c r="C1259" s="9">
        <v>44029</v>
      </c>
      <c r="D1259" t="s">
        <v>0</v>
      </c>
      <c r="E1259" t="s">
        <v>35</v>
      </c>
      <c r="F1259">
        <v>3</v>
      </c>
      <c r="G1259" t="s">
        <v>6</v>
      </c>
      <c r="H1259">
        <v>55</v>
      </c>
      <c r="I1259" t="s">
        <v>2</v>
      </c>
      <c r="K1259" s="1" t="s">
        <v>121</v>
      </c>
      <c r="M1259" t="s">
        <v>4</v>
      </c>
    </row>
    <row r="1260" spans="1:13" ht="15.75" customHeight="1" x14ac:dyDescent="0.2">
      <c r="A1260">
        <v>1407648</v>
      </c>
      <c r="B1260" s="9">
        <v>44029</v>
      </c>
      <c r="C1260" s="9">
        <v>44030</v>
      </c>
      <c r="D1260" t="s">
        <v>0</v>
      </c>
      <c r="E1260" t="s">
        <v>8</v>
      </c>
      <c r="F1260">
        <v>7</v>
      </c>
      <c r="G1260" t="s">
        <v>1</v>
      </c>
      <c r="H1260">
        <v>18</v>
      </c>
      <c r="I1260" t="s">
        <v>2</v>
      </c>
      <c r="K1260" s="1" t="s">
        <v>121</v>
      </c>
      <c r="M1260" t="s">
        <v>9</v>
      </c>
    </row>
    <row r="1261" spans="1:13" ht="15.75" customHeight="1" x14ac:dyDescent="0.2">
      <c r="A1261">
        <v>1407760</v>
      </c>
      <c r="B1261" s="9">
        <v>44029</v>
      </c>
      <c r="C1261" s="9">
        <v>44030</v>
      </c>
      <c r="D1261" t="s">
        <v>0</v>
      </c>
      <c r="E1261" t="s">
        <v>8</v>
      </c>
      <c r="F1261">
        <v>7</v>
      </c>
      <c r="G1261" t="s">
        <v>1</v>
      </c>
      <c r="H1261">
        <v>48</v>
      </c>
      <c r="I1261" t="s">
        <v>2</v>
      </c>
      <c r="K1261" s="1" t="s">
        <v>121</v>
      </c>
      <c r="M1261" t="s">
        <v>9</v>
      </c>
    </row>
    <row r="1262" spans="1:13" ht="15.75" customHeight="1" x14ac:dyDescent="0.2">
      <c r="A1262">
        <v>1410471</v>
      </c>
      <c r="B1262" s="9">
        <v>44030</v>
      </c>
      <c r="C1262" s="9">
        <v>44030</v>
      </c>
      <c r="D1262" t="s">
        <v>5</v>
      </c>
      <c r="E1262" s="5" t="s">
        <v>95</v>
      </c>
      <c r="F1262"/>
      <c r="G1262" t="s">
        <v>6</v>
      </c>
      <c r="H1262">
        <v>12</v>
      </c>
      <c r="I1262" t="s">
        <v>2</v>
      </c>
      <c r="K1262" s="1" t="s">
        <v>121</v>
      </c>
      <c r="M1262" t="s">
        <v>9</v>
      </c>
    </row>
    <row r="1263" spans="1:13" ht="15.75" customHeight="1" x14ac:dyDescent="0.2">
      <c r="A1263">
        <v>1410656</v>
      </c>
      <c r="B1263" s="9">
        <v>44030</v>
      </c>
      <c r="C1263" s="9">
        <v>44030</v>
      </c>
      <c r="D1263" t="s">
        <v>0</v>
      </c>
      <c r="E1263" t="s">
        <v>27</v>
      </c>
      <c r="F1263">
        <v>4</v>
      </c>
      <c r="G1263" t="s">
        <v>6</v>
      </c>
      <c r="H1263">
        <v>7</v>
      </c>
      <c r="I1263" t="s">
        <v>2</v>
      </c>
      <c r="K1263" s="1" t="s">
        <v>121</v>
      </c>
      <c r="M1263" t="s">
        <v>9</v>
      </c>
    </row>
    <row r="1264" spans="1:13" ht="15.75" customHeight="1" x14ac:dyDescent="0.2">
      <c r="A1264">
        <v>1410716</v>
      </c>
      <c r="B1264" s="9">
        <v>44029</v>
      </c>
      <c r="C1264" s="9">
        <v>44029</v>
      </c>
      <c r="D1264" t="s">
        <v>0</v>
      </c>
      <c r="E1264" t="s">
        <v>13</v>
      </c>
      <c r="F1264">
        <v>2</v>
      </c>
      <c r="G1264" t="s">
        <v>6</v>
      </c>
      <c r="H1264">
        <v>76</v>
      </c>
      <c r="I1264" t="s">
        <v>2</v>
      </c>
      <c r="K1264" s="1" t="s">
        <v>121</v>
      </c>
      <c r="M1264" t="s">
        <v>4</v>
      </c>
    </row>
    <row r="1265" spans="1:13" ht="15.75" customHeight="1" x14ac:dyDescent="0.2">
      <c r="A1265">
        <v>1410718</v>
      </c>
      <c r="B1265" s="9">
        <v>44029</v>
      </c>
      <c r="C1265" s="9">
        <v>44029</v>
      </c>
      <c r="D1265" t="s">
        <v>0</v>
      </c>
      <c r="E1265" t="s">
        <v>41</v>
      </c>
      <c r="F1265">
        <v>4</v>
      </c>
      <c r="G1265" t="s">
        <v>1</v>
      </c>
      <c r="H1265">
        <v>52</v>
      </c>
      <c r="I1265" t="s">
        <v>2</v>
      </c>
      <c r="K1265" s="1" t="s">
        <v>121</v>
      </c>
      <c r="M1265" t="s">
        <v>4</v>
      </c>
    </row>
    <row r="1266" spans="1:13" ht="15.75" customHeight="1" x14ac:dyDescent="0.2">
      <c r="A1266">
        <v>1410736</v>
      </c>
      <c r="B1266" s="9">
        <v>44029</v>
      </c>
      <c r="C1266" s="9">
        <v>44030</v>
      </c>
      <c r="D1266" t="s">
        <v>0</v>
      </c>
      <c r="E1266" t="s">
        <v>39</v>
      </c>
      <c r="F1266">
        <v>8</v>
      </c>
      <c r="G1266" t="s">
        <v>1</v>
      </c>
      <c r="H1266">
        <v>69</v>
      </c>
      <c r="I1266" t="s">
        <v>2</v>
      </c>
      <c r="K1266" s="1" t="s">
        <v>121</v>
      </c>
      <c r="M1266" t="s">
        <v>9</v>
      </c>
    </row>
    <row r="1267" spans="1:13" ht="15.75" customHeight="1" x14ac:dyDescent="0.2">
      <c r="A1267">
        <v>1413348</v>
      </c>
      <c r="B1267" s="9">
        <v>44029</v>
      </c>
      <c r="C1267" s="9">
        <v>44033</v>
      </c>
      <c r="D1267" t="s">
        <v>5</v>
      </c>
      <c r="E1267" s="5" t="s">
        <v>76</v>
      </c>
      <c r="F1267"/>
      <c r="G1267" t="s">
        <v>1</v>
      </c>
      <c r="H1267">
        <v>34</v>
      </c>
      <c r="I1267" t="s">
        <v>2</v>
      </c>
      <c r="K1267" s="1" t="s">
        <v>121</v>
      </c>
      <c r="M1267" t="s">
        <v>9</v>
      </c>
    </row>
    <row r="1268" spans="1:13" ht="15.75" customHeight="1" x14ac:dyDescent="0.2">
      <c r="A1268">
        <v>1413489</v>
      </c>
      <c r="B1268" s="9">
        <v>44030</v>
      </c>
      <c r="C1268" s="9">
        <v>44031</v>
      </c>
      <c r="D1268" t="s">
        <v>0</v>
      </c>
      <c r="E1268" t="s">
        <v>10</v>
      </c>
      <c r="F1268">
        <v>5</v>
      </c>
      <c r="G1268" t="s">
        <v>6</v>
      </c>
      <c r="H1268">
        <v>75</v>
      </c>
      <c r="I1268" t="s">
        <v>2</v>
      </c>
      <c r="K1268" s="1" t="s">
        <v>121</v>
      </c>
      <c r="M1268" t="s">
        <v>20</v>
      </c>
    </row>
    <row r="1269" spans="1:13" ht="15.75" customHeight="1" x14ac:dyDescent="0.2">
      <c r="A1269">
        <v>1473864</v>
      </c>
      <c r="B1269" s="9">
        <v>44034</v>
      </c>
      <c r="C1269" s="9">
        <v>44034</v>
      </c>
      <c r="D1269" t="s">
        <v>0</v>
      </c>
      <c r="E1269" t="s">
        <v>8</v>
      </c>
      <c r="F1269">
        <v>7</v>
      </c>
      <c r="G1269" t="s">
        <v>1</v>
      </c>
      <c r="H1269">
        <v>53</v>
      </c>
      <c r="I1269" t="s">
        <v>2</v>
      </c>
      <c r="K1269" s="1" t="s">
        <v>121</v>
      </c>
      <c r="M1269" t="s">
        <v>20</v>
      </c>
    </row>
    <row r="1270" spans="1:13" ht="15.75" customHeight="1" x14ac:dyDescent="0.2">
      <c r="A1270">
        <v>1474266</v>
      </c>
      <c r="B1270" s="9">
        <v>44034</v>
      </c>
      <c r="C1270" s="9">
        <v>44034</v>
      </c>
      <c r="D1270" t="s">
        <v>5</v>
      </c>
      <c r="E1270" t="s">
        <v>96</v>
      </c>
      <c r="F1270"/>
      <c r="G1270" t="s">
        <v>6</v>
      </c>
      <c r="H1270">
        <v>30</v>
      </c>
      <c r="I1270" t="s">
        <v>2</v>
      </c>
      <c r="K1270" s="1" t="s">
        <v>121</v>
      </c>
      <c r="M1270" t="s">
        <v>20</v>
      </c>
    </row>
    <row r="1271" spans="1:13" ht="15.75" customHeight="1" x14ac:dyDescent="0.2">
      <c r="A1271">
        <v>1474453</v>
      </c>
      <c r="B1271" s="9">
        <v>44034</v>
      </c>
      <c r="C1271" s="9">
        <v>44034</v>
      </c>
      <c r="D1271" t="s">
        <v>0</v>
      </c>
      <c r="E1271" t="s">
        <v>24</v>
      </c>
      <c r="F1271">
        <v>9</v>
      </c>
      <c r="G1271" t="s">
        <v>1</v>
      </c>
      <c r="H1271">
        <v>7</v>
      </c>
      <c r="I1271" t="s">
        <v>2</v>
      </c>
      <c r="K1271" s="1" t="s">
        <v>121</v>
      </c>
      <c r="M1271" t="s">
        <v>9</v>
      </c>
    </row>
    <row r="1272" spans="1:13" ht="15.75" customHeight="1" x14ac:dyDescent="0.2">
      <c r="A1272">
        <v>1474492</v>
      </c>
      <c r="B1272" s="9">
        <v>44034</v>
      </c>
      <c r="C1272" s="9">
        <v>44034</v>
      </c>
      <c r="D1272" t="s">
        <v>0</v>
      </c>
      <c r="E1272" t="s">
        <v>24</v>
      </c>
      <c r="F1272">
        <v>9</v>
      </c>
      <c r="G1272" t="s">
        <v>1</v>
      </c>
      <c r="H1272">
        <v>29</v>
      </c>
      <c r="I1272" t="s">
        <v>2</v>
      </c>
      <c r="K1272" s="1" t="s">
        <v>121</v>
      </c>
      <c r="M1272" t="s">
        <v>9</v>
      </c>
    </row>
    <row r="1273" spans="1:13" ht="15.75" customHeight="1" x14ac:dyDescent="0.2">
      <c r="A1273">
        <v>1474507</v>
      </c>
      <c r="B1273" s="9">
        <v>44034</v>
      </c>
      <c r="C1273" s="9">
        <v>44034</v>
      </c>
      <c r="D1273" t="s">
        <v>0</v>
      </c>
      <c r="E1273" t="s">
        <v>13</v>
      </c>
      <c r="F1273">
        <v>2</v>
      </c>
      <c r="G1273" t="s">
        <v>6</v>
      </c>
      <c r="H1273">
        <v>26</v>
      </c>
      <c r="I1273" t="s">
        <v>2</v>
      </c>
      <c r="K1273" s="1" t="s">
        <v>121</v>
      </c>
      <c r="M1273" t="s">
        <v>4</v>
      </c>
    </row>
    <row r="1274" spans="1:13" ht="15.75" customHeight="1" x14ac:dyDescent="0.2">
      <c r="A1274">
        <v>1474531</v>
      </c>
      <c r="B1274" s="9">
        <v>44034</v>
      </c>
      <c r="C1274" s="9">
        <v>44034</v>
      </c>
      <c r="D1274" t="s">
        <v>0</v>
      </c>
      <c r="E1274" t="s">
        <v>24</v>
      </c>
      <c r="F1274">
        <v>9</v>
      </c>
      <c r="G1274" t="s">
        <v>1</v>
      </c>
      <c r="H1274">
        <v>12</v>
      </c>
      <c r="I1274" t="s">
        <v>2</v>
      </c>
      <c r="K1274" s="1" t="s">
        <v>121</v>
      </c>
      <c r="M1274" t="s">
        <v>9</v>
      </c>
    </row>
    <row r="1275" spans="1:13" ht="15.75" customHeight="1" x14ac:dyDescent="0.2">
      <c r="A1275">
        <v>1474532</v>
      </c>
      <c r="B1275" s="9">
        <v>44034</v>
      </c>
      <c r="C1275" s="9">
        <v>44034</v>
      </c>
      <c r="D1275" t="s">
        <v>0</v>
      </c>
      <c r="E1275" t="s">
        <v>8</v>
      </c>
      <c r="F1275">
        <v>7</v>
      </c>
      <c r="G1275" t="s">
        <v>6</v>
      </c>
      <c r="H1275">
        <v>21</v>
      </c>
      <c r="I1275" t="s">
        <v>2</v>
      </c>
      <c r="K1275" s="1" t="s">
        <v>121</v>
      </c>
      <c r="M1275" t="s">
        <v>4</v>
      </c>
    </row>
    <row r="1276" spans="1:13" ht="15.75" customHeight="1" x14ac:dyDescent="0.2">
      <c r="A1276">
        <v>1474561</v>
      </c>
      <c r="B1276" s="9">
        <v>44034</v>
      </c>
      <c r="C1276" s="9">
        <v>44034</v>
      </c>
      <c r="D1276" t="s">
        <v>5</v>
      </c>
      <c r="E1276" t="s">
        <v>96</v>
      </c>
      <c r="F1276"/>
      <c r="G1276" t="s">
        <v>1</v>
      </c>
      <c r="H1276">
        <v>27</v>
      </c>
      <c r="I1276" t="s">
        <v>2</v>
      </c>
      <c r="K1276" s="1" t="s">
        <v>121</v>
      </c>
      <c r="M1276" t="s">
        <v>9</v>
      </c>
    </row>
    <row r="1277" spans="1:13" ht="15.75" customHeight="1" x14ac:dyDescent="0.2">
      <c r="A1277">
        <v>1474573</v>
      </c>
      <c r="B1277" s="9">
        <v>44034</v>
      </c>
      <c r="C1277" s="9">
        <v>44034</v>
      </c>
      <c r="D1277" t="s">
        <v>5</v>
      </c>
      <c r="E1277" t="s">
        <v>96</v>
      </c>
      <c r="F1277"/>
      <c r="G1277" t="s">
        <v>1</v>
      </c>
      <c r="H1277">
        <v>34</v>
      </c>
      <c r="I1277" t="s">
        <v>2</v>
      </c>
      <c r="K1277" s="1" t="s">
        <v>121</v>
      </c>
      <c r="M1277" t="s">
        <v>9</v>
      </c>
    </row>
    <row r="1278" spans="1:13" ht="15.75" customHeight="1" x14ac:dyDescent="0.2">
      <c r="A1278">
        <v>1474645</v>
      </c>
      <c r="B1278" s="9">
        <v>44034</v>
      </c>
      <c r="C1278" s="9">
        <v>44035</v>
      </c>
      <c r="D1278" t="s">
        <v>0</v>
      </c>
      <c r="E1278" t="s">
        <v>14</v>
      </c>
      <c r="F1278">
        <v>14</v>
      </c>
      <c r="G1278" t="s">
        <v>1</v>
      </c>
      <c r="H1278">
        <v>91</v>
      </c>
      <c r="I1278" t="s">
        <v>2</v>
      </c>
      <c r="K1278" s="1" t="s">
        <v>121</v>
      </c>
      <c r="M1278" t="s">
        <v>4</v>
      </c>
    </row>
    <row r="1279" spans="1:13" ht="15.75" customHeight="1" x14ac:dyDescent="0.2">
      <c r="A1279">
        <v>1474668</v>
      </c>
      <c r="B1279" s="9">
        <v>44034</v>
      </c>
      <c r="C1279" s="9">
        <v>44035</v>
      </c>
      <c r="D1279" t="s">
        <v>0</v>
      </c>
      <c r="E1279" t="s">
        <v>16</v>
      </c>
      <c r="F1279">
        <v>15</v>
      </c>
      <c r="G1279" t="s">
        <v>6</v>
      </c>
      <c r="H1279">
        <v>31</v>
      </c>
      <c r="I1279" t="s">
        <v>2</v>
      </c>
      <c r="K1279" s="1" t="s">
        <v>121</v>
      </c>
      <c r="M1279" t="s">
        <v>4</v>
      </c>
    </row>
    <row r="1280" spans="1:13" ht="15.75" customHeight="1" x14ac:dyDescent="0.2">
      <c r="A1280">
        <v>1474680</v>
      </c>
      <c r="B1280" s="9">
        <v>44034</v>
      </c>
      <c r="C1280" s="9">
        <v>44034</v>
      </c>
      <c r="D1280" t="s">
        <v>0</v>
      </c>
      <c r="E1280" t="s">
        <v>31</v>
      </c>
      <c r="F1280">
        <v>10</v>
      </c>
      <c r="G1280" t="s">
        <v>1</v>
      </c>
      <c r="H1280">
        <v>23</v>
      </c>
      <c r="I1280" t="s">
        <v>2</v>
      </c>
      <c r="K1280" s="1" t="s">
        <v>121</v>
      </c>
      <c r="M1280" t="s">
        <v>4</v>
      </c>
    </row>
    <row r="1281" spans="1:13" ht="15.75" customHeight="1" x14ac:dyDescent="0.2">
      <c r="A1281">
        <v>1474694</v>
      </c>
      <c r="B1281" s="9">
        <v>44034</v>
      </c>
      <c r="C1281" s="9">
        <v>44034</v>
      </c>
      <c r="D1281" t="s">
        <v>0</v>
      </c>
      <c r="E1281" t="s">
        <v>26</v>
      </c>
      <c r="F1281">
        <v>4</v>
      </c>
      <c r="G1281" t="s">
        <v>6</v>
      </c>
      <c r="H1281">
        <v>63</v>
      </c>
      <c r="I1281" t="s">
        <v>2</v>
      </c>
      <c r="K1281" s="1" t="s">
        <v>121</v>
      </c>
      <c r="M1281" t="s">
        <v>20</v>
      </c>
    </row>
    <row r="1282" spans="1:13" ht="15.75" customHeight="1" x14ac:dyDescent="0.2">
      <c r="A1282">
        <v>1474810</v>
      </c>
      <c r="B1282" s="9">
        <v>44034</v>
      </c>
      <c r="C1282" s="9">
        <v>44035</v>
      </c>
      <c r="D1282" t="s">
        <v>0</v>
      </c>
      <c r="E1282" t="s">
        <v>7</v>
      </c>
      <c r="F1282">
        <v>3</v>
      </c>
      <c r="G1282" t="s">
        <v>6</v>
      </c>
      <c r="H1282">
        <v>52</v>
      </c>
      <c r="I1282" t="s">
        <v>2</v>
      </c>
      <c r="K1282" s="1" t="s">
        <v>121</v>
      </c>
      <c r="M1282" t="s">
        <v>20</v>
      </c>
    </row>
    <row r="1283" spans="1:13" ht="15.75" customHeight="1" x14ac:dyDescent="0.2">
      <c r="A1283">
        <v>1474953</v>
      </c>
      <c r="B1283" s="9">
        <v>44034</v>
      </c>
      <c r="C1283" s="9">
        <v>44034</v>
      </c>
      <c r="D1283" t="s">
        <v>0</v>
      </c>
      <c r="E1283" t="s">
        <v>51</v>
      </c>
      <c r="F1283">
        <v>15</v>
      </c>
      <c r="G1283" t="s">
        <v>1</v>
      </c>
      <c r="H1283">
        <v>57</v>
      </c>
      <c r="I1283" t="s">
        <v>2</v>
      </c>
      <c r="K1283" s="1" t="s">
        <v>121</v>
      </c>
      <c r="M1283" t="s">
        <v>9</v>
      </c>
    </row>
    <row r="1284" spans="1:13" ht="15.75" customHeight="1" x14ac:dyDescent="0.2">
      <c r="A1284">
        <v>1475090</v>
      </c>
      <c r="B1284" s="9">
        <v>44034</v>
      </c>
      <c r="C1284" s="9">
        <v>44034</v>
      </c>
      <c r="D1284" t="s">
        <v>0</v>
      </c>
      <c r="E1284" t="s">
        <v>18</v>
      </c>
      <c r="F1284">
        <v>8</v>
      </c>
      <c r="G1284" t="s">
        <v>1</v>
      </c>
      <c r="H1284">
        <v>15</v>
      </c>
      <c r="I1284" t="s">
        <v>2</v>
      </c>
      <c r="K1284" s="1" t="s">
        <v>121</v>
      </c>
      <c r="M1284" t="s">
        <v>9</v>
      </c>
    </row>
    <row r="1285" spans="1:13" ht="15.75" customHeight="1" x14ac:dyDescent="0.2">
      <c r="A1285">
        <v>1475131</v>
      </c>
      <c r="B1285" s="9">
        <v>44034</v>
      </c>
      <c r="C1285" s="9">
        <v>44034</v>
      </c>
      <c r="D1285" t="s">
        <v>0</v>
      </c>
      <c r="E1285" t="s">
        <v>39</v>
      </c>
      <c r="F1285">
        <v>8</v>
      </c>
      <c r="G1285" t="s">
        <v>1</v>
      </c>
      <c r="H1285">
        <v>19</v>
      </c>
      <c r="I1285" t="s">
        <v>2</v>
      </c>
      <c r="K1285" s="1" t="s">
        <v>121</v>
      </c>
      <c r="M1285" t="s">
        <v>9</v>
      </c>
    </row>
    <row r="1286" spans="1:13" ht="15.75" customHeight="1" x14ac:dyDescent="0.2">
      <c r="A1286">
        <v>1475140</v>
      </c>
      <c r="B1286" s="9">
        <v>44034</v>
      </c>
      <c r="C1286" s="9">
        <v>44034</v>
      </c>
      <c r="D1286" t="s">
        <v>0</v>
      </c>
      <c r="E1286" t="s">
        <v>18</v>
      </c>
      <c r="F1286">
        <v>8</v>
      </c>
      <c r="G1286" t="s">
        <v>1</v>
      </c>
      <c r="H1286">
        <v>37</v>
      </c>
      <c r="I1286" t="s">
        <v>2</v>
      </c>
      <c r="K1286" s="1" t="s">
        <v>121</v>
      </c>
      <c r="M1286" t="s">
        <v>9</v>
      </c>
    </row>
    <row r="1287" spans="1:13" ht="15.75" customHeight="1" x14ac:dyDescent="0.2">
      <c r="A1287">
        <v>1475219</v>
      </c>
      <c r="B1287" s="9">
        <v>44034</v>
      </c>
      <c r="C1287" s="9">
        <v>44035</v>
      </c>
      <c r="D1287" t="s">
        <v>0</v>
      </c>
      <c r="E1287" t="s">
        <v>7</v>
      </c>
      <c r="F1287">
        <v>3</v>
      </c>
      <c r="G1287" t="s">
        <v>6</v>
      </c>
      <c r="H1287">
        <v>28</v>
      </c>
      <c r="I1287" t="s">
        <v>2</v>
      </c>
      <c r="K1287" s="1" t="s">
        <v>121</v>
      </c>
      <c r="M1287" t="s">
        <v>9</v>
      </c>
    </row>
    <row r="1288" spans="1:13" ht="15.75" customHeight="1" x14ac:dyDescent="0.2">
      <c r="A1288">
        <v>1475240</v>
      </c>
      <c r="B1288" s="9">
        <v>44035</v>
      </c>
      <c r="C1288" s="9">
        <v>44035</v>
      </c>
      <c r="D1288" t="s">
        <v>0</v>
      </c>
      <c r="E1288" t="s">
        <v>27</v>
      </c>
      <c r="F1288">
        <v>4</v>
      </c>
      <c r="G1288" t="s">
        <v>1</v>
      </c>
      <c r="H1288">
        <v>20</v>
      </c>
      <c r="I1288" t="s">
        <v>2</v>
      </c>
      <c r="K1288" s="1" t="s">
        <v>121</v>
      </c>
      <c r="M1288" t="s">
        <v>4</v>
      </c>
    </row>
    <row r="1289" spans="1:13" ht="15.75" customHeight="1" x14ac:dyDescent="0.2">
      <c r="A1289">
        <v>1475241</v>
      </c>
      <c r="B1289" s="9">
        <v>44034</v>
      </c>
      <c r="C1289" s="9">
        <v>44035</v>
      </c>
      <c r="D1289" t="s">
        <v>5</v>
      </c>
      <c r="E1289" t="s">
        <v>96</v>
      </c>
      <c r="F1289"/>
      <c r="G1289" t="s">
        <v>1</v>
      </c>
      <c r="H1289">
        <v>35</v>
      </c>
      <c r="I1289" t="s">
        <v>2</v>
      </c>
      <c r="K1289" s="1" t="s">
        <v>121</v>
      </c>
      <c r="M1289" t="s">
        <v>9</v>
      </c>
    </row>
    <row r="1290" spans="1:13" ht="15.75" customHeight="1" x14ac:dyDescent="0.2">
      <c r="A1290">
        <v>1475245</v>
      </c>
      <c r="B1290" s="9">
        <v>44034</v>
      </c>
      <c r="C1290" s="9">
        <v>44034</v>
      </c>
      <c r="D1290" t="s">
        <v>5</v>
      </c>
      <c r="E1290" s="5" t="s">
        <v>76</v>
      </c>
      <c r="F1290"/>
      <c r="G1290" t="s">
        <v>6</v>
      </c>
      <c r="H1290">
        <v>66</v>
      </c>
      <c r="I1290" t="s">
        <v>2</v>
      </c>
      <c r="K1290" s="1" t="s">
        <v>121</v>
      </c>
      <c r="M1290" t="s">
        <v>9</v>
      </c>
    </row>
    <row r="1291" spans="1:13" ht="15.75" customHeight="1" x14ac:dyDescent="0.2">
      <c r="A1291">
        <v>1475349</v>
      </c>
      <c r="B1291" s="9">
        <v>44034</v>
      </c>
      <c r="C1291" s="9">
        <v>44034</v>
      </c>
      <c r="D1291" t="s">
        <v>0</v>
      </c>
      <c r="E1291" t="s">
        <v>36</v>
      </c>
      <c r="F1291">
        <v>1</v>
      </c>
      <c r="G1291" t="s">
        <v>6</v>
      </c>
      <c r="H1291">
        <v>6</v>
      </c>
      <c r="I1291" t="s">
        <v>2</v>
      </c>
      <c r="K1291" s="1" t="s">
        <v>121</v>
      </c>
      <c r="M1291" t="s">
        <v>20</v>
      </c>
    </row>
    <row r="1292" spans="1:13" ht="15.75" customHeight="1" x14ac:dyDescent="0.2">
      <c r="A1292">
        <v>1475491</v>
      </c>
      <c r="B1292" s="9">
        <v>44034</v>
      </c>
      <c r="C1292" s="9">
        <v>44034</v>
      </c>
      <c r="D1292" t="s">
        <v>0</v>
      </c>
      <c r="E1292" t="s">
        <v>7</v>
      </c>
      <c r="F1292">
        <v>3</v>
      </c>
      <c r="G1292" t="s">
        <v>6</v>
      </c>
      <c r="H1292">
        <v>33</v>
      </c>
      <c r="I1292" t="s">
        <v>2</v>
      </c>
      <c r="K1292" s="1" t="s">
        <v>121</v>
      </c>
      <c r="M1292" t="s">
        <v>4</v>
      </c>
    </row>
    <row r="1293" spans="1:13" ht="15.75" customHeight="1" x14ac:dyDescent="0.2">
      <c r="A1293">
        <v>1475560</v>
      </c>
      <c r="B1293" s="9">
        <v>44034</v>
      </c>
      <c r="C1293" s="9">
        <v>44034</v>
      </c>
      <c r="D1293" t="s">
        <v>0</v>
      </c>
      <c r="E1293" t="s">
        <v>17</v>
      </c>
      <c r="F1293">
        <v>1</v>
      </c>
      <c r="G1293" t="s">
        <v>1</v>
      </c>
      <c r="H1293">
        <v>59</v>
      </c>
      <c r="I1293" t="s">
        <v>2</v>
      </c>
      <c r="K1293" s="1" t="s">
        <v>121</v>
      </c>
      <c r="M1293" t="s">
        <v>9</v>
      </c>
    </row>
    <row r="1294" spans="1:13" ht="15.75" customHeight="1" x14ac:dyDescent="0.2">
      <c r="A1294">
        <v>1475572</v>
      </c>
      <c r="B1294" s="9">
        <v>44034</v>
      </c>
      <c r="C1294" s="9">
        <v>44034</v>
      </c>
      <c r="D1294" t="s">
        <v>0</v>
      </c>
      <c r="E1294" t="s">
        <v>8</v>
      </c>
      <c r="F1294">
        <v>7</v>
      </c>
      <c r="G1294" t="s">
        <v>6</v>
      </c>
      <c r="H1294">
        <v>25</v>
      </c>
      <c r="I1294" t="s">
        <v>2</v>
      </c>
      <c r="K1294" s="1" t="s">
        <v>121</v>
      </c>
      <c r="M1294" t="s">
        <v>9</v>
      </c>
    </row>
    <row r="1295" spans="1:13" ht="15.75" customHeight="1" x14ac:dyDescent="0.2">
      <c r="A1295">
        <v>1475602</v>
      </c>
      <c r="B1295" s="9">
        <v>44034</v>
      </c>
      <c r="C1295" s="9">
        <v>44034</v>
      </c>
      <c r="D1295" t="s">
        <v>0</v>
      </c>
      <c r="E1295" t="s">
        <v>13</v>
      </c>
      <c r="F1295">
        <v>2</v>
      </c>
      <c r="G1295" t="s">
        <v>6</v>
      </c>
      <c r="H1295">
        <v>23</v>
      </c>
      <c r="I1295" t="s">
        <v>2</v>
      </c>
      <c r="K1295" s="1" t="s">
        <v>121</v>
      </c>
      <c r="M1295" t="s">
        <v>9</v>
      </c>
    </row>
    <row r="1296" spans="1:13" ht="15.75" customHeight="1" x14ac:dyDescent="0.2">
      <c r="A1296">
        <v>1475643</v>
      </c>
      <c r="B1296" s="9">
        <v>44034</v>
      </c>
      <c r="C1296" s="9">
        <v>44034</v>
      </c>
      <c r="D1296" t="s">
        <v>0</v>
      </c>
      <c r="E1296" t="s">
        <v>53</v>
      </c>
      <c r="F1296">
        <v>11</v>
      </c>
      <c r="G1296" t="s">
        <v>6</v>
      </c>
      <c r="H1296">
        <v>29</v>
      </c>
      <c r="I1296" t="s">
        <v>2</v>
      </c>
      <c r="K1296" s="1" t="s">
        <v>121</v>
      </c>
      <c r="M1296" t="s">
        <v>20</v>
      </c>
    </row>
    <row r="1297" spans="1:13" ht="15.75" customHeight="1" x14ac:dyDescent="0.2">
      <c r="A1297">
        <v>1475720</v>
      </c>
      <c r="B1297" s="9">
        <v>44034</v>
      </c>
      <c r="C1297" s="9">
        <v>44035</v>
      </c>
      <c r="D1297" t="s">
        <v>0</v>
      </c>
      <c r="E1297" t="s">
        <v>53</v>
      </c>
      <c r="F1297">
        <v>11</v>
      </c>
      <c r="G1297" t="s">
        <v>1</v>
      </c>
      <c r="H1297">
        <v>28</v>
      </c>
      <c r="I1297" t="s">
        <v>2</v>
      </c>
      <c r="K1297" s="1" t="s">
        <v>121</v>
      </c>
      <c r="M1297" t="s">
        <v>9</v>
      </c>
    </row>
    <row r="1298" spans="1:13" ht="15.75" customHeight="1" x14ac:dyDescent="0.2">
      <c r="A1298">
        <v>1475808</v>
      </c>
      <c r="B1298" s="9">
        <v>44034</v>
      </c>
      <c r="C1298" s="9">
        <v>44035</v>
      </c>
      <c r="D1298" t="s">
        <v>0</v>
      </c>
      <c r="E1298" t="s">
        <v>53</v>
      </c>
      <c r="F1298">
        <v>11</v>
      </c>
      <c r="G1298" t="s">
        <v>1</v>
      </c>
      <c r="H1298">
        <v>30</v>
      </c>
      <c r="I1298" t="s">
        <v>2</v>
      </c>
      <c r="K1298" s="1" t="s">
        <v>121</v>
      </c>
      <c r="M1298" t="s">
        <v>9</v>
      </c>
    </row>
    <row r="1299" spans="1:13" ht="15.75" customHeight="1" x14ac:dyDescent="0.2">
      <c r="A1299">
        <v>1475833</v>
      </c>
      <c r="B1299" s="9">
        <v>44034</v>
      </c>
      <c r="C1299" s="9">
        <v>44035</v>
      </c>
      <c r="D1299" t="s">
        <v>0</v>
      </c>
      <c r="E1299" t="s">
        <v>8</v>
      </c>
      <c r="F1299">
        <v>7</v>
      </c>
      <c r="G1299" t="s">
        <v>6</v>
      </c>
      <c r="H1299">
        <v>56</v>
      </c>
      <c r="I1299" t="s">
        <v>2</v>
      </c>
      <c r="K1299" s="1" t="s">
        <v>121</v>
      </c>
      <c r="M1299" t="s">
        <v>20</v>
      </c>
    </row>
    <row r="1300" spans="1:13" ht="15.75" customHeight="1" x14ac:dyDescent="0.2">
      <c r="A1300">
        <v>1475853</v>
      </c>
      <c r="B1300" s="9">
        <v>44034</v>
      </c>
      <c r="C1300" s="9">
        <v>44035</v>
      </c>
      <c r="D1300" t="s">
        <v>5</v>
      </c>
      <c r="E1300" t="s">
        <v>96</v>
      </c>
      <c r="F1300"/>
      <c r="G1300" t="s">
        <v>6</v>
      </c>
      <c r="H1300">
        <v>69</v>
      </c>
      <c r="I1300" t="s">
        <v>2</v>
      </c>
      <c r="K1300" s="1" t="s">
        <v>121</v>
      </c>
      <c r="M1300" t="s">
        <v>9</v>
      </c>
    </row>
    <row r="1301" spans="1:13" ht="15.75" customHeight="1" x14ac:dyDescent="0.2">
      <c r="A1301">
        <v>1475862</v>
      </c>
      <c r="B1301" s="9">
        <v>44034</v>
      </c>
      <c r="C1301" s="9">
        <v>44035</v>
      </c>
      <c r="D1301" t="s">
        <v>0</v>
      </c>
      <c r="E1301" t="s">
        <v>53</v>
      </c>
      <c r="F1301">
        <v>11</v>
      </c>
      <c r="G1301" t="s">
        <v>6</v>
      </c>
      <c r="H1301">
        <v>32</v>
      </c>
      <c r="I1301" t="s">
        <v>2</v>
      </c>
      <c r="K1301" s="1" t="s">
        <v>121</v>
      </c>
      <c r="M1301" t="s">
        <v>9</v>
      </c>
    </row>
    <row r="1302" spans="1:13" ht="15.75" customHeight="1" x14ac:dyDescent="0.2">
      <c r="A1302">
        <v>1475873</v>
      </c>
      <c r="B1302" s="9">
        <v>44034</v>
      </c>
      <c r="C1302" s="9">
        <v>44034</v>
      </c>
      <c r="D1302" t="s">
        <v>0</v>
      </c>
      <c r="E1302" t="s">
        <v>8</v>
      </c>
      <c r="F1302">
        <v>7</v>
      </c>
      <c r="G1302" t="s">
        <v>1</v>
      </c>
      <c r="H1302">
        <v>29</v>
      </c>
      <c r="I1302" t="s">
        <v>2</v>
      </c>
      <c r="K1302" s="1" t="s">
        <v>121</v>
      </c>
      <c r="M1302" t="s">
        <v>9</v>
      </c>
    </row>
    <row r="1303" spans="1:13" ht="15.75" customHeight="1" x14ac:dyDescent="0.2">
      <c r="A1303">
        <v>1475875</v>
      </c>
      <c r="B1303" s="9">
        <v>44034</v>
      </c>
      <c r="C1303" s="9">
        <v>44035</v>
      </c>
      <c r="D1303" t="s">
        <v>0</v>
      </c>
      <c r="E1303" t="s">
        <v>14</v>
      </c>
      <c r="F1303">
        <v>14</v>
      </c>
      <c r="G1303" t="s">
        <v>1</v>
      </c>
      <c r="H1303">
        <v>24</v>
      </c>
      <c r="I1303" t="s">
        <v>2</v>
      </c>
      <c r="K1303" s="1" t="s">
        <v>121</v>
      </c>
      <c r="M1303" t="s">
        <v>9</v>
      </c>
    </row>
    <row r="1304" spans="1:13" ht="15.75" customHeight="1" x14ac:dyDescent="0.2">
      <c r="A1304">
        <v>1375754</v>
      </c>
      <c r="B1304" s="9">
        <v>44027</v>
      </c>
      <c r="C1304" s="9">
        <v>44028</v>
      </c>
      <c r="D1304" t="s">
        <v>5</v>
      </c>
      <c r="E1304" t="s">
        <v>96</v>
      </c>
      <c r="F1304"/>
      <c r="G1304" t="s">
        <v>1</v>
      </c>
      <c r="H1304">
        <v>57</v>
      </c>
      <c r="I1304" t="s">
        <v>2</v>
      </c>
      <c r="K1304" s="1" t="s">
        <v>121</v>
      </c>
      <c r="M1304" t="s">
        <v>4</v>
      </c>
    </row>
    <row r="1305" spans="1:13" ht="15.75" customHeight="1" x14ac:dyDescent="0.2">
      <c r="A1305">
        <v>924656</v>
      </c>
      <c r="B1305" s="9">
        <v>44024</v>
      </c>
      <c r="C1305" s="9">
        <v>44025</v>
      </c>
      <c r="D1305" t="s">
        <v>5</v>
      </c>
      <c r="E1305" t="s">
        <v>75</v>
      </c>
      <c r="F1305"/>
      <c r="G1305" t="s">
        <v>6</v>
      </c>
      <c r="H1305">
        <v>48</v>
      </c>
      <c r="I1305" t="s">
        <v>2</v>
      </c>
      <c r="K1305" s="1" t="s">
        <v>121</v>
      </c>
      <c r="M1305" t="s">
        <v>4</v>
      </c>
    </row>
    <row r="1306" spans="1:13" ht="15.75" customHeight="1" x14ac:dyDescent="0.2">
      <c r="A1306">
        <v>1333524</v>
      </c>
      <c r="B1306" s="9">
        <v>44030</v>
      </c>
      <c r="C1306" s="9">
        <v>44030</v>
      </c>
      <c r="D1306" t="s">
        <v>0</v>
      </c>
      <c r="E1306" t="s">
        <v>27</v>
      </c>
      <c r="F1306">
        <v>4</v>
      </c>
      <c r="G1306" t="s">
        <v>1</v>
      </c>
      <c r="H1306">
        <v>52</v>
      </c>
      <c r="I1306" t="s">
        <v>2</v>
      </c>
      <c r="K1306" s="1" t="s">
        <v>121</v>
      </c>
      <c r="M1306" t="s">
        <v>22</v>
      </c>
    </row>
    <row r="1307" spans="1:13" ht="15.75" customHeight="1" x14ac:dyDescent="0.2">
      <c r="A1307">
        <v>1374742</v>
      </c>
      <c r="B1307" s="9">
        <v>44025</v>
      </c>
      <c r="C1307" s="9">
        <v>44025</v>
      </c>
      <c r="D1307" t="s">
        <v>5</v>
      </c>
      <c r="E1307" s="1" t="s">
        <v>90</v>
      </c>
      <c r="F1307"/>
      <c r="G1307" t="s">
        <v>1</v>
      </c>
      <c r="H1307">
        <v>38</v>
      </c>
      <c r="I1307" t="s">
        <v>2</v>
      </c>
      <c r="K1307" s="1" t="s">
        <v>121</v>
      </c>
      <c r="M1307" t="s">
        <v>4</v>
      </c>
    </row>
    <row r="1308" spans="1:13" ht="15.75" customHeight="1" x14ac:dyDescent="0.2">
      <c r="A1308">
        <v>1414297</v>
      </c>
      <c r="B1308" s="9">
        <v>44030</v>
      </c>
      <c r="C1308" s="9">
        <v>44030</v>
      </c>
      <c r="D1308" t="s">
        <v>5</v>
      </c>
      <c r="E1308" t="s">
        <v>96</v>
      </c>
      <c r="F1308"/>
      <c r="G1308" t="s">
        <v>1</v>
      </c>
      <c r="H1308">
        <v>46</v>
      </c>
      <c r="I1308" t="s">
        <v>2</v>
      </c>
      <c r="K1308" s="1" t="s">
        <v>121</v>
      </c>
      <c r="M1308" t="s">
        <v>9</v>
      </c>
    </row>
    <row r="1309" spans="1:13" ht="15.75" customHeight="1" x14ac:dyDescent="0.2">
      <c r="A1309">
        <v>1416218</v>
      </c>
      <c r="B1309" s="9">
        <v>44030</v>
      </c>
      <c r="C1309" s="9">
        <v>44030</v>
      </c>
      <c r="D1309" t="s">
        <v>0</v>
      </c>
      <c r="E1309" t="s">
        <v>8</v>
      </c>
      <c r="F1309">
        <v>7</v>
      </c>
      <c r="G1309" t="s">
        <v>1</v>
      </c>
      <c r="H1309">
        <v>3</v>
      </c>
      <c r="I1309" t="s">
        <v>2</v>
      </c>
      <c r="K1309" s="1" t="s">
        <v>121</v>
      </c>
      <c r="M1309" t="s">
        <v>4</v>
      </c>
    </row>
    <row r="1310" spans="1:13" ht="15.75" customHeight="1" x14ac:dyDescent="0.2">
      <c r="A1310">
        <v>1429859</v>
      </c>
      <c r="B1310" s="9">
        <v>44028</v>
      </c>
      <c r="C1310" s="9">
        <v>44032</v>
      </c>
      <c r="D1310" t="s">
        <v>5</v>
      </c>
      <c r="E1310" t="s">
        <v>96</v>
      </c>
      <c r="F1310"/>
      <c r="G1310" t="s">
        <v>1</v>
      </c>
      <c r="H1310">
        <v>35</v>
      </c>
      <c r="I1310" t="s">
        <v>2</v>
      </c>
      <c r="K1310" s="1" t="s">
        <v>121</v>
      </c>
      <c r="M1310" t="s">
        <v>9</v>
      </c>
    </row>
    <row r="1311" spans="1:13" ht="15.75" customHeight="1" x14ac:dyDescent="0.2">
      <c r="A1311">
        <v>1479568</v>
      </c>
      <c r="B1311" s="9">
        <v>44035</v>
      </c>
      <c r="C1311" s="9">
        <v>44037</v>
      </c>
      <c r="D1311" t="s">
        <v>5</v>
      </c>
      <c r="E1311" t="s">
        <v>96</v>
      </c>
      <c r="F1311"/>
      <c r="G1311" t="s">
        <v>1</v>
      </c>
      <c r="H1311">
        <v>46</v>
      </c>
      <c r="I1311" t="s">
        <v>2</v>
      </c>
      <c r="K1311" s="1" t="s">
        <v>121</v>
      </c>
      <c r="M1311" t="s">
        <v>22</v>
      </c>
    </row>
    <row r="1312" spans="1:13" ht="15.75" customHeight="1" x14ac:dyDescent="0.2">
      <c r="A1312">
        <v>1529137</v>
      </c>
      <c r="B1312" s="9">
        <v>44034</v>
      </c>
      <c r="C1312" s="9">
        <v>44035</v>
      </c>
      <c r="D1312" t="s">
        <v>0</v>
      </c>
      <c r="E1312" t="s">
        <v>38</v>
      </c>
      <c r="F1312">
        <v>12</v>
      </c>
      <c r="G1312" t="s">
        <v>6</v>
      </c>
      <c r="H1312">
        <v>36</v>
      </c>
      <c r="I1312" t="s">
        <v>2</v>
      </c>
      <c r="K1312" s="1" t="s">
        <v>121</v>
      </c>
      <c r="M1312" t="s">
        <v>4</v>
      </c>
    </row>
    <row r="1313" spans="1:13" ht="15.75" customHeight="1" x14ac:dyDescent="0.2">
      <c r="A1313">
        <v>4684576</v>
      </c>
      <c r="B1313" s="9">
        <v>44157</v>
      </c>
      <c r="C1313" s="9">
        <v>44160</v>
      </c>
      <c r="D1313" t="s">
        <v>0</v>
      </c>
      <c r="E1313" t="s">
        <v>50</v>
      </c>
      <c r="F1313">
        <v>1</v>
      </c>
      <c r="G1313" t="s">
        <v>6</v>
      </c>
      <c r="H1313">
        <v>64</v>
      </c>
      <c r="I1313" t="s">
        <v>2</v>
      </c>
      <c r="K1313" s="1" t="s">
        <v>121</v>
      </c>
      <c r="M1313" t="s">
        <v>4</v>
      </c>
    </row>
    <row r="1314" spans="1:13" ht="15.75" customHeight="1" x14ac:dyDescent="0.2">
      <c r="A1314">
        <v>1165324</v>
      </c>
      <c r="B1314" s="9">
        <v>44016</v>
      </c>
      <c r="C1314" s="9">
        <v>44017</v>
      </c>
      <c r="D1314" t="s">
        <v>0</v>
      </c>
      <c r="E1314" t="s">
        <v>18</v>
      </c>
      <c r="F1314">
        <v>8</v>
      </c>
      <c r="G1314" t="s">
        <v>1</v>
      </c>
      <c r="H1314">
        <v>67</v>
      </c>
      <c r="I1314" t="s">
        <v>2</v>
      </c>
      <c r="K1314" s="1" t="s">
        <v>121</v>
      </c>
      <c r="M1314" t="s">
        <v>9</v>
      </c>
    </row>
    <row r="1315" spans="1:13" ht="15.75" customHeight="1" x14ac:dyDescent="0.2">
      <c r="A1315">
        <v>1165385</v>
      </c>
      <c r="B1315" s="9">
        <v>44007</v>
      </c>
      <c r="C1315" s="9">
        <v>44011</v>
      </c>
      <c r="D1315" t="s">
        <v>0</v>
      </c>
      <c r="E1315" t="s">
        <v>18</v>
      </c>
      <c r="F1315">
        <v>8</v>
      </c>
      <c r="G1315" t="s">
        <v>1</v>
      </c>
      <c r="H1315">
        <v>32</v>
      </c>
      <c r="I1315" t="s">
        <v>2</v>
      </c>
      <c r="K1315" s="1" t="s">
        <v>121</v>
      </c>
      <c r="M1315" t="s">
        <v>9</v>
      </c>
    </row>
    <row r="1316" spans="1:13" ht="15.75" customHeight="1" x14ac:dyDescent="0.2">
      <c r="A1316">
        <v>1166684</v>
      </c>
      <c r="B1316" s="9">
        <v>44016</v>
      </c>
      <c r="C1316" s="9">
        <v>44017</v>
      </c>
      <c r="D1316" t="s">
        <v>0</v>
      </c>
      <c r="E1316" t="s">
        <v>18</v>
      </c>
      <c r="F1316">
        <v>8</v>
      </c>
      <c r="G1316" t="s">
        <v>1</v>
      </c>
      <c r="H1316">
        <v>26</v>
      </c>
      <c r="I1316" t="s">
        <v>2</v>
      </c>
      <c r="K1316" s="1" t="s">
        <v>121</v>
      </c>
      <c r="M1316" t="s">
        <v>9</v>
      </c>
    </row>
    <row r="1317" spans="1:13" ht="15.75" customHeight="1" x14ac:dyDescent="0.2">
      <c r="A1317">
        <v>2762478</v>
      </c>
      <c r="B1317" s="9">
        <v>44094</v>
      </c>
      <c r="C1317" s="9">
        <v>44095</v>
      </c>
      <c r="D1317" t="s">
        <v>5</v>
      </c>
      <c r="E1317" s="5" t="s">
        <v>76</v>
      </c>
      <c r="F1317"/>
      <c r="G1317" t="s">
        <v>1</v>
      </c>
      <c r="H1317">
        <v>42</v>
      </c>
      <c r="I1317" t="s">
        <v>2</v>
      </c>
      <c r="K1317" s="1" t="s">
        <v>121</v>
      </c>
      <c r="M1317" t="s">
        <v>4</v>
      </c>
    </row>
    <row r="1318" spans="1:13" ht="15.75" customHeight="1" x14ac:dyDescent="0.2">
      <c r="A1318">
        <v>2773577</v>
      </c>
      <c r="B1318" s="9">
        <v>44095</v>
      </c>
      <c r="C1318" s="9">
        <v>44095</v>
      </c>
      <c r="D1318" t="s">
        <v>0</v>
      </c>
      <c r="E1318" t="s">
        <v>7</v>
      </c>
      <c r="F1318">
        <v>3</v>
      </c>
      <c r="G1318" t="s">
        <v>6</v>
      </c>
      <c r="H1318">
        <v>24</v>
      </c>
      <c r="I1318" t="s">
        <v>2</v>
      </c>
      <c r="K1318" s="1" t="s">
        <v>121</v>
      </c>
      <c r="M1318" t="s">
        <v>20</v>
      </c>
    </row>
    <row r="1319" spans="1:13" ht="15.75" customHeight="1" x14ac:dyDescent="0.2">
      <c r="A1319">
        <v>2786864</v>
      </c>
      <c r="B1319" s="9">
        <v>44095</v>
      </c>
      <c r="C1319" s="9">
        <v>44095</v>
      </c>
      <c r="D1319" t="s">
        <v>5</v>
      </c>
      <c r="E1319" t="s">
        <v>96</v>
      </c>
      <c r="F1319"/>
      <c r="G1319" t="s">
        <v>1</v>
      </c>
      <c r="H1319">
        <v>60</v>
      </c>
      <c r="I1319" t="s">
        <v>2</v>
      </c>
      <c r="K1319" s="1" t="s">
        <v>121</v>
      </c>
      <c r="M1319" t="s">
        <v>20</v>
      </c>
    </row>
    <row r="1320" spans="1:13" ht="15.75" customHeight="1" x14ac:dyDescent="0.2">
      <c r="A1320">
        <v>2786915</v>
      </c>
      <c r="B1320" s="9">
        <v>44095</v>
      </c>
      <c r="C1320" s="9">
        <v>44095</v>
      </c>
      <c r="D1320" t="s">
        <v>0</v>
      </c>
      <c r="E1320" t="s">
        <v>19</v>
      </c>
      <c r="F1320">
        <v>15</v>
      </c>
      <c r="G1320" t="s">
        <v>6</v>
      </c>
      <c r="H1320">
        <v>52</v>
      </c>
      <c r="I1320" t="s">
        <v>2</v>
      </c>
      <c r="K1320" s="1" t="s">
        <v>121</v>
      </c>
      <c r="M1320" t="s">
        <v>4</v>
      </c>
    </row>
    <row r="1321" spans="1:13" ht="15.75" customHeight="1" x14ac:dyDescent="0.2">
      <c r="A1321">
        <v>2788244</v>
      </c>
      <c r="B1321" s="9">
        <v>44095</v>
      </c>
      <c r="C1321" s="9">
        <v>44095</v>
      </c>
      <c r="D1321" t="s">
        <v>0</v>
      </c>
      <c r="E1321" t="s">
        <v>41</v>
      </c>
      <c r="F1321">
        <v>4</v>
      </c>
      <c r="G1321" t="s">
        <v>1</v>
      </c>
      <c r="H1321">
        <v>41</v>
      </c>
      <c r="I1321" t="s">
        <v>2</v>
      </c>
      <c r="K1321" s="1" t="s">
        <v>121</v>
      </c>
      <c r="M1321" t="s">
        <v>22</v>
      </c>
    </row>
    <row r="1322" spans="1:13" ht="15.75" customHeight="1" x14ac:dyDescent="0.2">
      <c r="A1322">
        <v>2802359</v>
      </c>
      <c r="B1322" s="9">
        <v>44095</v>
      </c>
      <c r="C1322" s="9">
        <v>44095</v>
      </c>
      <c r="D1322" t="s">
        <v>5</v>
      </c>
      <c r="E1322" s="1" t="s">
        <v>90</v>
      </c>
      <c r="F1322"/>
      <c r="G1322" t="s">
        <v>1</v>
      </c>
      <c r="H1322">
        <v>31</v>
      </c>
      <c r="I1322" t="s">
        <v>2</v>
      </c>
      <c r="K1322" s="1" t="s">
        <v>121</v>
      </c>
      <c r="M1322" t="s">
        <v>20</v>
      </c>
    </row>
    <row r="1323" spans="1:13" ht="15.75" customHeight="1" x14ac:dyDescent="0.2">
      <c r="A1323">
        <v>2827697</v>
      </c>
      <c r="B1323" s="9">
        <v>44097</v>
      </c>
      <c r="C1323" s="9">
        <v>44097</v>
      </c>
      <c r="D1323" t="s">
        <v>5</v>
      </c>
      <c r="E1323" t="s">
        <v>75</v>
      </c>
      <c r="F1323"/>
      <c r="G1323" t="s">
        <v>1</v>
      </c>
      <c r="H1323">
        <v>27</v>
      </c>
      <c r="I1323" t="s">
        <v>2</v>
      </c>
      <c r="K1323" s="1" t="s">
        <v>121</v>
      </c>
      <c r="M1323" t="s">
        <v>4</v>
      </c>
    </row>
    <row r="1324" spans="1:13" ht="15.75" customHeight="1" x14ac:dyDescent="0.2">
      <c r="A1324">
        <v>2844811</v>
      </c>
      <c r="B1324" s="9">
        <v>44097</v>
      </c>
      <c r="C1324" s="9">
        <v>44147</v>
      </c>
      <c r="D1324" t="s">
        <v>0</v>
      </c>
      <c r="E1324" t="s">
        <v>33</v>
      </c>
      <c r="F1324">
        <v>13</v>
      </c>
      <c r="G1324" t="s">
        <v>1</v>
      </c>
      <c r="H1324">
        <v>78</v>
      </c>
      <c r="I1324" t="s">
        <v>2</v>
      </c>
      <c r="K1324" s="1" t="s">
        <v>121</v>
      </c>
      <c r="M1324" t="s">
        <v>4</v>
      </c>
    </row>
    <row r="1325" spans="1:13" ht="15.75" customHeight="1" x14ac:dyDescent="0.2">
      <c r="A1325">
        <v>2847294</v>
      </c>
      <c r="B1325" s="9">
        <v>44097</v>
      </c>
      <c r="C1325" s="9">
        <v>44097</v>
      </c>
      <c r="D1325" t="s">
        <v>0</v>
      </c>
      <c r="E1325" t="s">
        <v>10</v>
      </c>
      <c r="F1325">
        <v>5</v>
      </c>
      <c r="G1325" t="s">
        <v>6</v>
      </c>
      <c r="H1325">
        <v>57</v>
      </c>
      <c r="I1325" t="s">
        <v>2</v>
      </c>
      <c r="K1325" s="1" t="s">
        <v>121</v>
      </c>
      <c r="M1325" t="s">
        <v>20</v>
      </c>
    </row>
    <row r="1326" spans="1:13" ht="15.75" customHeight="1" x14ac:dyDescent="0.2">
      <c r="A1326">
        <v>2850700</v>
      </c>
      <c r="B1326" s="9">
        <v>44098</v>
      </c>
      <c r="C1326" s="9">
        <v>44098</v>
      </c>
      <c r="D1326" t="s">
        <v>5</v>
      </c>
      <c r="E1326" t="s">
        <v>96</v>
      </c>
      <c r="F1326"/>
      <c r="G1326" t="s">
        <v>6</v>
      </c>
      <c r="H1326">
        <v>37</v>
      </c>
      <c r="I1326" t="s">
        <v>2</v>
      </c>
      <c r="K1326" s="1" t="s">
        <v>121</v>
      </c>
      <c r="M1326" t="s">
        <v>4</v>
      </c>
    </row>
    <row r="1327" spans="1:13" ht="15.75" customHeight="1" x14ac:dyDescent="0.2">
      <c r="A1327">
        <v>2851288</v>
      </c>
      <c r="B1327" s="9">
        <v>44097</v>
      </c>
      <c r="C1327" s="9">
        <v>44097</v>
      </c>
      <c r="D1327" t="s">
        <v>5</v>
      </c>
      <c r="E1327" s="5" t="s">
        <v>95</v>
      </c>
      <c r="F1327"/>
      <c r="G1327" t="s">
        <v>1</v>
      </c>
      <c r="H1327">
        <v>11</v>
      </c>
      <c r="I1327" t="s">
        <v>2</v>
      </c>
      <c r="K1327" s="1" t="s">
        <v>121</v>
      </c>
      <c r="M1327" t="s">
        <v>4</v>
      </c>
    </row>
    <row r="1328" spans="1:13" ht="15.75" customHeight="1" x14ac:dyDescent="0.2">
      <c r="A1328">
        <v>2858566</v>
      </c>
      <c r="B1328" s="9">
        <v>44097</v>
      </c>
      <c r="C1328" s="9">
        <v>44097</v>
      </c>
      <c r="D1328" t="s">
        <v>5</v>
      </c>
      <c r="E1328" s="5" t="s">
        <v>95</v>
      </c>
      <c r="F1328"/>
      <c r="G1328" t="s">
        <v>1</v>
      </c>
      <c r="H1328">
        <v>25</v>
      </c>
      <c r="I1328" t="s">
        <v>2</v>
      </c>
      <c r="K1328" s="1" t="s">
        <v>121</v>
      </c>
      <c r="M1328" t="s">
        <v>4</v>
      </c>
    </row>
    <row r="1329" spans="1:13" ht="15.75" customHeight="1" x14ac:dyDescent="0.2">
      <c r="A1329">
        <v>2858622</v>
      </c>
      <c r="B1329" s="9">
        <v>44097</v>
      </c>
      <c r="C1329" s="9">
        <v>44097</v>
      </c>
      <c r="D1329" t="s">
        <v>5</v>
      </c>
      <c r="E1329" t="s">
        <v>96</v>
      </c>
      <c r="F1329"/>
      <c r="G1329" t="s">
        <v>6</v>
      </c>
      <c r="H1329">
        <v>27</v>
      </c>
      <c r="I1329" t="s">
        <v>2</v>
      </c>
      <c r="K1329" s="1" t="s">
        <v>121</v>
      </c>
      <c r="M1329" t="s">
        <v>4</v>
      </c>
    </row>
    <row r="1330" spans="1:13" ht="15.75" customHeight="1" x14ac:dyDescent="0.2">
      <c r="A1330">
        <v>2858928</v>
      </c>
      <c r="B1330" s="9">
        <v>44097</v>
      </c>
      <c r="C1330" s="9">
        <v>44097</v>
      </c>
      <c r="D1330" t="s">
        <v>0</v>
      </c>
      <c r="E1330" t="s">
        <v>47</v>
      </c>
      <c r="F1330">
        <v>12</v>
      </c>
      <c r="G1330" t="s">
        <v>6</v>
      </c>
      <c r="H1330">
        <v>35</v>
      </c>
      <c r="I1330" t="s">
        <v>2</v>
      </c>
      <c r="K1330" s="1" t="s">
        <v>121</v>
      </c>
      <c r="M1330" t="s">
        <v>4</v>
      </c>
    </row>
    <row r="1331" spans="1:13" ht="15.75" customHeight="1" x14ac:dyDescent="0.2">
      <c r="A1331">
        <v>2863796</v>
      </c>
      <c r="B1331" s="9">
        <v>44097</v>
      </c>
      <c r="C1331" s="9">
        <v>44097</v>
      </c>
      <c r="D1331" t="s">
        <v>0</v>
      </c>
      <c r="E1331" t="s">
        <v>16</v>
      </c>
      <c r="F1331">
        <v>15</v>
      </c>
      <c r="G1331" t="s">
        <v>1</v>
      </c>
      <c r="H1331">
        <v>25</v>
      </c>
      <c r="I1331" t="s">
        <v>2</v>
      </c>
      <c r="K1331" s="1" t="s">
        <v>121</v>
      </c>
      <c r="M1331" t="s">
        <v>20</v>
      </c>
    </row>
    <row r="1332" spans="1:13" ht="15.75" customHeight="1" x14ac:dyDescent="0.2">
      <c r="A1332">
        <v>2863958</v>
      </c>
      <c r="B1332" s="9">
        <v>44097</v>
      </c>
      <c r="C1332" s="9">
        <v>44097</v>
      </c>
      <c r="D1332" t="s">
        <v>5</v>
      </c>
      <c r="E1332" t="s">
        <v>75</v>
      </c>
      <c r="F1332"/>
      <c r="G1332" t="s">
        <v>6</v>
      </c>
      <c r="H1332">
        <v>34</v>
      </c>
      <c r="I1332" t="s">
        <v>2</v>
      </c>
      <c r="K1332" s="1" t="s">
        <v>121</v>
      </c>
      <c r="M1332" t="s">
        <v>20</v>
      </c>
    </row>
    <row r="1333" spans="1:13" ht="15.75" customHeight="1" x14ac:dyDescent="0.2">
      <c r="A1333">
        <v>2864075</v>
      </c>
      <c r="B1333" s="9">
        <v>44097</v>
      </c>
      <c r="C1333" s="9">
        <v>44097</v>
      </c>
      <c r="D1333" t="s">
        <v>0</v>
      </c>
      <c r="E1333" t="s">
        <v>16</v>
      </c>
      <c r="F1333">
        <v>15</v>
      </c>
      <c r="G1333" t="s">
        <v>6</v>
      </c>
      <c r="H1333">
        <v>43</v>
      </c>
      <c r="I1333" t="s">
        <v>2</v>
      </c>
      <c r="K1333" s="1" t="s">
        <v>121</v>
      </c>
      <c r="M1333" t="s">
        <v>20</v>
      </c>
    </row>
    <row r="1334" spans="1:13" ht="15.75" customHeight="1" x14ac:dyDescent="0.2">
      <c r="A1334">
        <v>2871359</v>
      </c>
      <c r="B1334" s="9">
        <v>44098</v>
      </c>
      <c r="C1334" s="9">
        <v>44100</v>
      </c>
      <c r="D1334" t="s">
        <v>5</v>
      </c>
      <c r="E1334" t="s">
        <v>96</v>
      </c>
      <c r="F1334"/>
      <c r="G1334" t="s">
        <v>6</v>
      </c>
      <c r="H1334">
        <v>78</v>
      </c>
      <c r="I1334" t="s">
        <v>2</v>
      </c>
      <c r="K1334" s="1" t="s">
        <v>121</v>
      </c>
      <c r="M1334" t="s">
        <v>9</v>
      </c>
    </row>
    <row r="1335" spans="1:13" ht="15.75" customHeight="1" x14ac:dyDescent="0.2">
      <c r="A1335">
        <v>2871902</v>
      </c>
      <c r="B1335" s="9">
        <v>44098</v>
      </c>
      <c r="C1335" s="9">
        <v>44098</v>
      </c>
      <c r="D1335" t="s">
        <v>0</v>
      </c>
      <c r="E1335" t="s">
        <v>38</v>
      </c>
      <c r="F1335">
        <v>12</v>
      </c>
      <c r="G1335" t="s">
        <v>1</v>
      </c>
      <c r="H1335">
        <v>82</v>
      </c>
      <c r="I1335" t="s">
        <v>2</v>
      </c>
      <c r="K1335" s="1" t="s">
        <v>121</v>
      </c>
      <c r="M1335" t="s">
        <v>9</v>
      </c>
    </row>
    <row r="1336" spans="1:13" ht="15.75" customHeight="1" x14ac:dyDescent="0.2">
      <c r="A1336">
        <v>2871970</v>
      </c>
      <c r="B1336" s="9">
        <v>44098</v>
      </c>
      <c r="C1336" s="9">
        <v>44098</v>
      </c>
      <c r="D1336" t="s">
        <v>5</v>
      </c>
      <c r="E1336" t="s">
        <v>96</v>
      </c>
      <c r="F1336"/>
      <c r="G1336" t="s">
        <v>1</v>
      </c>
      <c r="H1336">
        <v>75</v>
      </c>
      <c r="I1336" t="s">
        <v>2</v>
      </c>
      <c r="K1336" s="1" t="s">
        <v>121</v>
      </c>
      <c r="M1336" t="s">
        <v>4</v>
      </c>
    </row>
    <row r="1337" spans="1:13" ht="15.75" customHeight="1" x14ac:dyDescent="0.2">
      <c r="A1337">
        <v>2512039</v>
      </c>
      <c r="B1337" s="9">
        <v>44091</v>
      </c>
      <c r="C1337" s="9">
        <v>44091</v>
      </c>
      <c r="D1337" t="s">
        <v>0</v>
      </c>
      <c r="E1337" t="s">
        <v>10</v>
      </c>
      <c r="F1337">
        <v>5</v>
      </c>
      <c r="G1337" t="s">
        <v>6</v>
      </c>
      <c r="H1337">
        <v>29</v>
      </c>
      <c r="I1337" t="s">
        <v>2</v>
      </c>
      <c r="K1337" s="1" t="s">
        <v>121</v>
      </c>
      <c r="M1337" t="s">
        <v>9</v>
      </c>
    </row>
    <row r="1338" spans="1:13" ht="15.75" customHeight="1" x14ac:dyDescent="0.2">
      <c r="A1338">
        <v>2872051</v>
      </c>
      <c r="B1338" s="9">
        <v>44097</v>
      </c>
      <c r="C1338" s="9">
        <v>44097</v>
      </c>
      <c r="D1338" t="s">
        <v>0</v>
      </c>
      <c r="E1338" t="s">
        <v>10</v>
      </c>
      <c r="F1338">
        <v>5</v>
      </c>
      <c r="G1338" t="s">
        <v>6</v>
      </c>
      <c r="H1338">
        <v>62</v>
      </c>
      <c r="I1338" t="s">
        <v>2</v>
      </c>
      <c r="K1338" s="1" t="s">
        <v>121</v>
      </c>
      <c r="M1338" t="s">
        <v>9</v>
      </c>
    </row>
    <row r="1339" spans="1:13" ht="15.75" customHeight="1" x14ac:dyDescent="0.2">
      <c r="A1339">
        <v>2872903</v>
      </c>
      <c r="B1339" s="9">
        <v>44097</v>
      </c>
      <c r="C1339" s="9">
        <v>44097</v>
      </c>
      <c r="D1339" t="s">
        <v>0</v>
      </c>
      <c r="E1339" t="s">
        <v>31</v>
      </c>
      <c r="F1339">
        <v>10</v>
      </c>
      <c r="G1339" t="s">
        <v>6</v>
      </c>
      <c r="H1339">
        <v>61</v>
      </c>
      <c r="I1339" t="s">
        <v>2</v>
      </c>
      <c r="K1339" s="1" t="s">
        <v>121</v>
      </c>
      <c r="M1339" t="s">
        <v>20</v>
      </c>
    </row>
    <row r="1340" spans="1:13" ht="15.75" customHeight="1" x14ac:dyDescent="0.2">
      <c r="A1340">
        <v>2879039</v>
      </c>
      <c r="B1340" s="9">
        <v>44098</v>
      </c>
      <c r="C1340" s="9">
        <v>44099</v>
      </c>
      <c r="D1340" t="s">
        <v>0</v>
      </c>
      <c r="E1340" t="s">
        <v>33</v>
      </c>
      <c r="F1340">
        <v>13</v>
      </c>
      <c r="G1340" t="s">
        <v>6</v>
      </c>
      <c r="H1340">
        <v>33</v>
      </c>
      <c r="I1340" t="s">
        <v>2</v>
      </c>
      <c r="K1340" s="1" t="s">
        <v>121</v>
      </c>
      <c r="M1340" t="s">
        <v>4</v>
      </c>
    </row>
    <row r="1341" spans="1:13" ht="15.75" customHeight="1" x14ac:dyDescent="0.2">
      <c r="A1341">
        <v>2879098</v>
      </c>
      <c r="B1341" s="9">
        <v>44098</v>
      </c>
      <c r="C1341" s="9">
        <v>44098</v>
      </c>
      <c r="D1341" t="s">
        <v>0</v>
      </c>
      <c r="E1341" t="s">
        <v>42</v>
      </c>
      <c r="F1341">
        <v>11</v>
      </c>
      <c r="G1341" t="s">
        <v>6</v>
      </c>
      <c r="H1341">
        <v>27</v>
      </c>
      <c r="I1341" t="s">
        <v>2</v>
      </c>
      <c r="K1341" s="1" t="s">
        <v>121</v>
      </c>
      <c r="M1341" t="s">
        <v>4</v>
      </c>
    </row>
    <row r="1342" spans="1:13" ht="15.75" customHeight="1" x14ac:dyDescent="0.2">
      <c r="A1342">
        <v>2879053</v>
      </c>
      <c r="B1342" s="9">
        <v>44098</v>
      </c>
      <c r="C1342" s="9">
        <v>44099</v>
      </c>
      <c r="D1342" t="s">
        <v>0</v>
      </c>
      <c r="E1342" t="s">
        <v>47</v>
      </c>
      <c r="F1342">
        <v>12</v>
      </c>
      <c r="G1342" t="s">
        <v>6</v>
      </c>
      <c r="H1342">
        <v>70</v>
      </c>
      <c r="I1342" t="s">
        <v>2</v>
      </c>
      <c r="K1342" s="1" t="s">
        <v>121</v>
      </c>
      <c r="M1342" t="s">
        <v>4</v>
      </c>
    </row>
    <row r="1343" spans="1:13" ht="15.75" customHeight="1" x14ac:dyDescent="0.2">
      <c r="A1343">
        <v>2909208</v>
      </c>
      <c r="B1343" s="9">
        <v>44098</v>
      </c>
      <c r="C1343" s="9">
        <v>44098</v>
      </c>
      <c r="D1343" t="s">
        <v>0</v>
      </c>
      <c r="E1343" t="s">
        <v>28</v>
      </c>
      <c r="F1343">
        <v>11</v>
      </c>
      <c r="G1343" t="s">
        <v>6</v>
      </c>
      <c r="H1343">
        <v>46</v>
      </c>
      <c r="I1343" t="s">
        <v>2</v>
      </c>
      <c r="K1343" s="1" t="s">
        <v>121</v>
      </c>
      <c r="M1343" t="s">
        <v>4</v>
      </c>
    </row>
    <row r="1344" spans="1:13" ht="15.75" customHeight="1" x14ac:dyDescent="0.2">
      <c r="A1344">
        <v>2909291</v>
      </c>
      <c r="B1344" s="9">
        <v>44099</v>
      </c>
      <c r="C1344" s="9">
        <v>44099</v>
      </c>
      <c r="D1344" t="s">
        <v>0</v>
      </c>
      <c r="E1344" t="s">
        <v>7</v>
      </c>
      <c r="F1344">
        <v>3</v>
      </c>
      <c r="G1344" t="s">
        <v>6</v>
      </c>
      <c r="H1344">
        <v>51</v>
      </c>
      <c r="I1344" t="s">
        <v>2</v>
      </c>
      <c r="K1344" s="1" t="s">
        <v>121</v>
      </c>
      <c r="M1344" t="s">
        <v>4</v>
      </c>
    </row>
    <row r="1345" spans="1:13" ht="15.75" customHeight="1" x14ac:dyDescent="0.2">
      <c r="A1345">
        <v>2926827</v>
      </c>
      <c r="B1345" s="9">
        <v>44100</v>
      </c>
      <c r="C1345" s="9">
        <v>44100</v>
      </c>
      <c r="D1345" t="s">
        <v>5</v>
      </c>
      <c r="E1345" s="1" t="s">
        <v>90</v>
      </c>
      <c r="F1345"/>
      <c r="G1345" t="s">
        <v>1</v>
      </c>
      <c r="H1345">
        <v>78</v>
      </c>
      <c r="I1345" t="s">
        <v>2</v>
      </c>
      <c r="K1345" s="1" t="s">
        <v>121</v>
      </c>
      <c r="M1345" t="s">
        <v>4</v>
      </c>
    </row>
    <row r="1346" spans="1:13" ht="15.75" customHeight="1" x14ac:dyDescent="0.2">
      <c r="A1346">
        <v>3006704</v>
      </c>
      <c r="B1346" s="9">
        <v>44095</v>
      </c>
      <c r="C1346" s="9">
        <v>44095</v>
      </c>
      <c r="D1346" t="s">
        <v>5</v>
      </c>
      <c r="E1346" s="5" t="s">
        <v>95</v>
      </c>
      <c r="F1346"/>
      <c r="G1346" t="s">
        <v>6</v>
      </c>
      <c r="H1346">
        <v>32</v>
      </c>
      <c r="I1346" t="s">
        <v>2</v>
      </c>
      <c r="K1346" s="1" t="s">
        <v>121</v>
      </c>
      <c r="M1346" t="s">
        <v>4</v>
      </c>
    </row>
    <row r="1347" spans="1:13" ht="15.75" customHeight="1" x14ac:dyDescent="0.2">
      <c r="A1347">
        <v>3013670</v>
      </c>
      <c r="B1347" s="9">
        <v>44103</v>
      </c>
      <c r="C1347" s="9">
        <v>44103</v>
      </c>
      <c r="D1347" t="s">
        <v>5</v>
      </c>
      <c r="E1347" t="s">
        <v>96</v>
      </c>
      <c r="F1347"/>
      <c r="G1347" t="s">
        <v>1</v>
      </c>
      <c r="H1347">
        <v>35</v>
      </c>
      <c r="I1347" t="s">
        <v>2</v>
      </c>
      <c r="K1347" s="1" t="s">
        <v>121</v>
      </c>
      <c r="M1347" t="s">
        <v>9</v>
      </c>
    </row>
    <row r="1348" spans="1:13" ht="15.75" customHeight="1" x14ac:dyDescent="0.2">
      <c r="A1348">
        <v>1500787</v>
      </c>
      <c r="B1348" s="9">
        <v>44035</v>
      </c>
      <c r="C1348" s="9">
        <v>44040</v>
      </c>
      <c r="D1348" t="s">
        <v>0</v>
      </c>
      <c r="E1348" s="5" t="s">
        <v>19</v>
      </c>
      <c r="F1348">
        <v>15</v>
      </c>
      <c r="G1348" t="s">
        <v>1</v>
      </c>
      <c r="H1348">
        <v>48</v>
      </c>
      <c r="I1348" t="s">
        <v>2</v>
      </c>
      <c r="K1348" s="1" t="s">
        <v>121</v>
      </c>
      <c r="M1348" t="s">
        <v>4</v>
      </c>
    </row>
    <row r="1349" spans="1:13" ht="15.75" customHeight="1" x14ac:dyDescent="0.2">
      <c r="A1349">
        <v>1876407</v>
      </c>
      <c r="B1349" s="9">
        <v>44095</v>
      </c>
      <c r="C1349" s="9">
        <v>44095</v>
      </c>
      <c r="D1349" t="s">
        <v>5</v>
      </c>
      <c r="E1349" s="5" t="s">
        <v>95</v>
      </c>
      <c r="F1349"/>
      <c r="G1349" t="s">
        <v>6</v>
      </c>
      <c r="H1349">
        <v>42</v>
      </c>
      <c r="I1349" t="s">
        <v>2</v>
      </c>
      <c r="K1349" s="1" t="s">
        <v>121</v>
      </c>
      <c r="M1349" t="s">
        <v>4</v>
      </c>
    </row>
    <row r="1350" spans="1:13" ht="15.75" customHeight="1" x14ac:dyDescent="0.2">
      <c r="A1350">
        <v>1993180</v>
      </c>
      <c r="B1350" s="9">
        <v>44058</v>
      </c>
      <c r="C1350" s="9">
        <v>44063</v>
      </c>
      <c r="D1350" t="s">
        <v>5</v>
      </c>
      <c r="E1350" s="5" t="s">
        <v>76</v>
      </c>
      <c r="F1350"/>
      <c r="G1350" t="s">
        <v>6</v>
      </c>
      <c r="H1350">
        <v>30</v>
      </c>
      <c r="I1350" t="s">
        <v>2</v>
      </c>
      <c r="K1350" s="1" t="s">
        <v>121</v>
      </c>
      <c r="M1350" t="s">
        <v>4</v>
      </c>
    </row>
    <row r="1351" spans="1:13" ht="15.75" customHeight="1" x14ac:dyDescent="0.2">
      <c r="A1351">
        <v>2056436</v>
      </c>
      <c r="B1351" s="9">
        <v>44069</v>
      </c>
      <c r="C1351" s="9">
        <v>44070</v>
      </c>
      <c r="D1351" t="s">
        <v>0</v>
      </c>
      <c r="E1351" t="s">
        <v>12</v>
      </c>
      <c r="F1351">
        <v>1</v>
      </c>
      <c r="G1351" t="s">
        <v>1</v>
      </c>
      <c r="H1351">
        <v>45</v>
      </c>
      <c r="I1351" t="s">
        <v>2</v>
      </c>
      <c r="K1351" s="1" t="s">
        <v>121</v>
      </c>
      <c r="M1351" t="s">
        <v>20</v>
      </c>
    </row>
    <row r="1352" spans="1:13" ht="15.75" customHeight="1" x14ac:dyDescent="0.2">
      <c r="A1352">
        <v>2612548</v>
      </c>
      <c r="B1352" s="9">
        <v>44088</v>
      </c>
      <c r="C1352" s="9">
        <v>44088</v>
      </c>
      <c r="D1352" t="s">
        <v>0</v>
      </c>
      <c r="E1352" t="s">
        <v>51</v>
      </c>
      <c r="F1352">
        <v>15</v>
      </c>
      <c r="G1352" t="s">
        <v>6</v>
      </c>
      <c r="H1352">
        <v>34</v>
      </c>
      <c r="I1352" t="s">
        <v>2</v>
      </c>
      <c r="K1352" s="1" t="s">
        <v>121</v>
      </c>
      <c r="M1352" t="s">
        <v>4</v>
      </c>
    </row>
    <row r="1353" spans="1:13" ht="15.75" customHeight="1" x14ac:dyDescent="0.2">
      <c r="A1353">
        <v>2623851</v>
      </c>
      <c r="B1353" s="9">
        <v>44089</v>
      </c>
      <c r="C1353" s="9">
        <v>44089</v>
      </c>
      <c r="D1353" t="s">
        <v>0</v>
      </c>
      <c r="E1353" t="s">
        <v>14</v>
      </c>
      <c r="F1353">
        <v>14</v>
      </c>
      <c r="G1353" t="s">
        <v>6</v>
      </c>
      <c r="H1353">
        <v>76</v>
      </c>
      <c r="I1353" t="s">
        <v>2</v>
      </c>
      <c r="K1353" s="1" t="s">
        <v>121</v>
      </c>
      <c r="M1353" t="s">
        <v>4</v>
      </c>
    </row>
    <row r="1354" spans="1:13" ht="15.75" customHeight="1" x14ac:dyDescent="0.2">
      <c r="A1354">
        <v>2626378</v>
      </c>
      <c r="B1354" s="9">
        <v>44088</v>
      </c>
      <c r="C1354" s="9">
        <v>44088</v>
      </c>
      <c r="D1354" t="s">
        <v>0</v>
      </c>
      <c r="E1354" t="s">
        <v>14</v>
      </c>
      <c r="F1354">
        <v>14</v>
      </c>
      <c r="G1354" t="s">
        <v>1</v>
      </c>
      <c r="H1354">
        <v>73</v>
      </c>
      <c r="I1354" t="s">
        <v>2</v>
      </c>
      <c r="K1354" s="1" t="s">
        <v>121</v>
      </c>
      <c r="M1354" t="s">
        <v>22</v>
      </c>
    </row>
    <row r="1355" spans="1:13" ht="15.75" customHeight="1" x14ac:dyDescent="0.2">
      <c r="A1355">
        <v>2627481</v>
      </c>
      <c r="B1355" s="9">
        <v>44088</v>
      </c>
      <c r="C1355" s="9">
        <v>44088</v>
      </c>
      <c r="D1355" t="s">
        <v>0</v>
      </c>
      <c r="E1355" t="s">
        <v>55</v>
      </c>
      <c r="F1355">
        <v>15</v>
      </c>
      <c r="G1355" t="s">
        <v>6</v>
      </c>
      <c r="H1355">
        <v>41</v>
      </c>
      <c r="I1355" t="s">
        <v>2</v>
      </c>
      <c r="K1355" s="1" t="s">
        <v>121</v>
      </c>
      <c r="M1355" t="s">
        <v>4</v>
      </c>
    </row>
    <row r="1356" spans="1:13" ht="15.75" customHeight="1" x14ac:dyDescent="0.2">
      <c r="A1356">
        <v>2628183</v>
      </c>
      <c r="B1356" s="9">
        <v>44092</v>
      </c>
      <c r="C1356" s="9">
        <v>44092</v>
      </c>
      <c r="D1356" t="s">
        <v>0</v>
      </c>
      <c r="E1356" t="s">
        <v>45</v>
      </c>
      <c r="F1356">
        <v>4</v>
      </c>
      <c r="G1356" t="s">
        <v>1</v>
      </c>
      <c r="H1356">
        <v>23</v>
      </c>
      <c r="I1356" t="s">
        <v>2</v>
      </c>
      <c r="K1356" s="1" t="s">
        <v>121</v>
      </c>
      <c r="M1356" t="s">
        <v>4</v>
      </c>
    </row>
    <row r="1357" spans="1:13" ht="15.75" customHeight="1" x14ac:dyDescent="0.2">
      <c r="A1357">
        <v>2658731</v>
      </c>
      <c r="B1357" s="9">
        <v>44089</v>
      </c>
      <c r="C1357" s="9">
        <v>44089</v>
      </c>
      <c r="D1357" t="s">
        <v>0</v>
      </c>
      <c r="E1357" t="s">
        <v>10</v>
      </c>
      <c r="F1357">
        <v>5</v>
      </c>
      <c r="G1357" t="s">
        <v>1</v>
      </c>
      <c r="H1357">
        <v>14</v>
      </c>
      <c r="I1357" t="s">
        <v>2</v>
      </c>
      <c r="K1357" s="1" t="s">
        <v>121</v>
      </c>
      <c r="M1357" t="s">
        <v>4</v>
      </c>
    </row>
    <row r="1358" spans="1:13" ht="15.75" customHeight="1" x14ac:dyDescent="0.2">
      <c r="A1358">
        <v>2658732</v>
      </c>
      <c r="B1358" s="9">
        <v>44089</v>
      </c>
      <c r="C1358" s="9">
        <v>44089</v>
      </c>
      <c r="D1358" t="s">
        <v>0</v>
      </c>
      <c r="E1358" t="s">
        <v>10</v>
      </c>
      <c r="F1358">
        <v>5</v>
      </c>
      <c r="G1358" t="s">
        <v>1</v>
      </c>
      <c r="H1358">
        <v>61</v>
      </c>
      <c r="I1358" t="s">
        <v>2</v>
      </c>
      <c r="K1358" s="1" t="s">
        <v>121</v>
      </c>
      <c r="M1358" t="s">
        <v>4</v>
      </c>
    </row>
    <row r="1359" spans="1:13" ht="15.75" customHeight="1" x14ac:dyDescent="0.2">
      <c r="A1359">
        <v>2658735</v>
      </c>
      <c r="B1359" s="9">
        <v>44089</v>
      </c>
      <c r="C1359" s="9">
        <v>44089</v>
      </c>
      <c r="D1359" t="s">
        <v>0</v>
      </c>
      <c r="E1359" t="s">
        <v>10</v>
      </c>
      <c r="F1359">
        <v>5</v>
      </c>
      <c r="G1359" t="s">
        <v>6</v>
      </c>
      <c r="H1359">
        <v>56</v>
      </c>
      <c r="I1359" t="s">
        <v>2</v>
      </c>
      <c r="K1359" s="1" t="s">
        <v>121</v>
      </c>
      <c r="M1359" t="s">
        <v>4</v>
      </c>
    </row>
    <row r="1360" spans="1:13" ht="15.75" customHeight="1" x14ac:dyDescent="0.2">
      <c r="A1360">
        <v>2658753</v>
      </c>
      <c r="B1360" s="9">
        <v>44089</v>
      </c>
      <c r="C1360" s="9">
        <v>44089</v>
      </c>
      <c r="D1360" t="s">
        <v>5</v>
      </c>
      <c r="E1360" t="s">
        <v>75</v>
      </c>
      <c r="F1360"/>
      <c r="G1360" t="s">
        <v>1</v>
      </c>
      <c r="H1360">
        <v>52</v>
      </c>
      <c r="I1360" t="s">
        <v>2</v>
      </c>
      <c r="K1360" s="1" t="s">
        <v>121</v>
      </c>
      <c r="M1360" t="s">
        <v>9</v>
      </c>
    </row>
    <row r="1361" spans="1:13" ht="15.75" customHeight="1" x14ac:dyDescent="0.2">
      <c r="A1361">
        <v>2669709</v>
      </c>
      <c r="B1361" s="9">
        <v>44090</v>
      </c>
      <c r="C1361" s="9">
        <v>44090</v>
      </c>
      <c r="D1361" t="s">
        <v>0</v>
      </c>
      <c r="E1361" t="s">
        <v>24</v>
      </c>
      <c r="F1361">
        <v>9</v>
      </c>
      <c r="G1361" t="s">
        <v>6</v>
      </c>
      <c r="H1361">
        <v>69</v>
      </c>
      <c r="I1361" t="s">
        <v>2</v>
      </c>
      <c r="K1361" s="1" t="s">
        <v>121</v>
      </c>
      <c r="M1361" t="s">
        <v>9</v>
      </c>
    </row>
    <row r="1362" spans="1:13" ht="15.75" customHeight="1" x14ac:dyDescent="0.2">
      <c r="A1362">
        <v>2671943</v>
      </c>
      <c r="B1362" s="9">
        <v>44090</v>
      </c>
      <c r="C1362" s="9">
        <v>44091</v>
      </c>
      <c r="D1362" t="s">
        <v>0</v>
      </c>
      <c r="E1362" t="s">
        <v>7</v>
      </c>
      <c r="F1362">
        <v>3</v>
      </c>
      <c r="G1362" t="s">
        <v>6</v>
      </c>
      <c r="H1362">
        <v>22</v>
      </c>
      <c r="I1362" t="s">
        <v>2</v>
      </c>
      <c r="K1362" s="1" t="s">
        <v>121</v>
      </c>
      <c r="M1362" t="s">
        <v>4</v>
      </c>
    </row>
    <row r="1363" spans="1:13" ht="15.75" customHeight="1" x14ac:dyDescent="0.2">
      <c r="A1363">
        <v>2671965</v>
      </c>
      <c r="B1363" s="9">
        <v>44090</v>
      </c>
      <c r="C1363" s="9">
        <v>44091</v>
      </c>
      <c r="D1363" t="s">
        <v>0</v>
      </c>
      <c r="E1363" t="s">
        <v>7</v>
      </c>
      <c r="F1363">
        <v>3</v>
      </c>
      <c r="G1363" t="s">
        <v>1</v>
      </c>
      <c r="H1363">
        <v>48</v>
      </c>
      <c r="I1363" t="s">
        <v>2</v>
      </c>
      <c r="K1363" s="1" t="s">
        <v>121</v>
      </c>
      <c r="M1363" t="s">
        <v>4</v>
      </c>
    </row>
    <row r="1364" spans="1:13" ht="15.75" customHeight="1" x14ac:dyDescent="0.2">
      <c r="A1364">
        <v>2687421</v>
      </c>
      <c r="B1364" s="9">
        <v>44090</v>
      </c>
      <c r="C1364" s="9">
        <v>44091</v>
      </c>
      <c r="D1364" t="s">
        <v>5</v>
      </c>
      <c r="E1364" s="5" t="s">
        <v>95</v>
      </c>
      <c r="F1364"/>
      <c r="G1364" t="s">
        <v>6</v>
      </c>
      <c r="H1364">
        <v>23</v>
      </c>
      <c r="I1364" t="s">
        <v>2</v>
      </c>
      <c r="K1364" s="1" t="s">
        <v>121</v>
      </c>
      <c r="M1364" t="s">
        <v>4</v>
      </c>
    </row>
    <row r="1365" spans="1:13" ht="15.75" customHeight="1" x14ac:dyDescent="0.2">
      <c r="A1365">
        <v>2700311</v>
      </c>
      <c r="B1365" s="9">
        <v>44091</v>
      </c>
      <c r="C1365" s="9">
        <v>44091</v>
      </c>
      <c r="D1365" t="s">
        <v>0</v>
      </c>
      <c r="E1365" t="s">
        <v>37</v>
      </c>
      <c r="F1365">
        <v>13</v>
      </c>
      <c r="G1365" t="s">
        <v>1</v>
      </c>
      <c r="H1365">
        <v>46</v>
      </c>
      <c r="I1365" t="s">
        <v>2</v>
      </c>
      <c r="K1365" s="1" t="s">
        <v>121</v>
      </c>
      <c r="M1365" t="s">
        <v>4</v>
      </c>
    </row>
    <row r="1366" spans="1:13" ht="15.75" customHeight="1" x14ac:dyDescent="0.2">
      <c r="A1366">
        <v>2708637</v>
      </c>
      <c r="B1366" s="9">
        <v>44092</v>
      </c>
      <c r="C1366" s="9">
        <v>44096</v>
      </c>
      <c r="D1366" t="s">
        <v>5</v>
      </c>
      <c r="E1366" t="s">
        <v>76</v>
      </c>
      <c r="F1366"/>
      <c r="G1366" t="s">
        <v>6</v>
      </c>
      <c r="H1366">
        <v>30</v>
      </c>
      <c r="I1366" t="s">
        <v>2</v>
      </c>
      <c r="K1366" s="1" t="s">
        <v>121</v>
      </c>
      <c r="M1366" t="s">
        <v>9</v>
      </c>
    </row>
    <row r="1367" spans="1:13" ht="15.75" customHeight="1" x14ac:dyDescent="0.2">
      <c r="A1367">
        <v>2712581</v>
      </c>
      <c r="B1367" s="9">
        <v>44091</v>
      </c>
      <c r="C1367" s="9">
        <v>44092</v>
      </c>
      <c r="D1367" t="s">
        <v>5</v>
      </c>
      <c r="E1367" s="5" t="s">
        <v>95</v>
      </c>
      <c r="F1367"/>
      <c r="G1367" t="s">
        <v>1</v>
      </c>
      <c r="H1367">
        <v>54</v>
      </c>
      <c r="I1367" t="s">
        <v>2</v>
      </c>
      <c r="K1367" s="1" t="s">
        <v>121</v>
      </c>
      <c r="M1367" t="s">
        <v>4</v>
      </c>
    </row>
    <row r="1368" spans="1:13" ht="15.75" customHeight="1" x14ac:dyDescent="0.2">
      <c r="A1368">
        <v>2713864</v>
      </c>
      <c r="B1368" s="9">
        <v>44100</v>
      </c>
      <c r="C1368" s="9">
        <v>44100</v>
      </c>
      <c r="D1368" t="s">
        <v>5</v>
      </c>
      <c r="E1368" t="s">
        <v>95</v>
      </c>
      <c r="F1368"/>
      <c r="G1368" t="s">
        <v>1</v>
      </c>
      <c r="H1368">
        <v>25</v>
      </c>
      <c r="I1368" t="s">
        <v>2</v>
      </c>
      <c r="K1368" s="1" t="s">
        <v>121</v>
      </c>
      <c r="M1368" t="s">
        <v>22</v>
      </c>
    </row>
    <row r="1369" spans="1:13" ht="15.75" customHeight="1" x14ac:dyDescent="0.2">
      <c r="A1369">
        <v>2715668</v>
      </c>
      <c r="B1369" s="9">
        <v>44092</v>
      </c>
      <c r="C1369" s="9">
        <v>44092</v>
      </c>
      <c r="D1369" t="s">
        <v>0</v>
      </c>
      <c r="E1369" t="s">
        <v>14</v>
      </c>
      <c r="F1369">
        <v>14</v>
      </c>
      <c r="G1369" t="s">
        <v>1</v>
      </c>
      <c r="H1369">
        <v>59</v>
      </c>
      <c r="I1369" t="s">
        <v>2</v>
      </c>
      <c r="K1369" s="1" t="s">
        <v>121</v>
      </c>
      <c r="M1369" t="s">
        <v>4</v>
      </c>
    </row>
    <row r="1370" spans="1:13" ht="15.75" customHeight="1" x14ac:dyDescent="0.2">
      <c r="A1370">
        <v>2716408</v>
      </c>
      <c r="B1370" s="9">
        <v>44091</v>
      </c>
      <c r="C1370" s="9">
        <v>44092</v>
      </c>
      <c r="D1370" t="s">
        <v>5</v>
      </c>
      <c r="E1370" s="1" t="s">
        <v>90</v>
      </c>
      <c r="F1370"/>
      <c r="G1370" t="s">
        <v>1</v>
      </c>
      <c r="H1370">
        <v>48</v>
      </c>
      <c r="I1370" t="s">
        <v>2</v>
      </c>
      <c r="K1370" s="1" t="s">
        <v>121</v>
      </c>
      <c r="M1370" t="s">
        <v>4</v>
      </c>
    </row>
    <row r="1371" spans="1:13" ht="15.75" customHeight="1" x14ac:dyDescent="0.2">
      <c r="A1371">
        <v>2729224</v>
      </c>
      <c r="B1371" s="9">
        <v>44092</v>
      </c>
      <c r="C1371" s="9">
        <v>44092</v>
      </c>
      <c r="D1371" t="s">
        <v>0</v>
      </c>
      <c r="E1371" t="s">
        <v>45</v>
      </c>
      <c r="F1371">
        <v>4</v>
      </c>
      <c r="G1371" t="s">
        <v>1</v>
      </c>
      <c r="H1371">
        <v>69</v>
      </c>
      <c r="I1371" t="s">
        <v>2</v>
      </c>
      <c r="K1371" s="1" t="s">
        <v>121</v>
      </c>
      <c r="M1371" t="s">
        <v>4</v>
      </c>
    </row>
    <row r="1372" spans="1:13" ht="15.75" customHeight="1" x14ac:dyDescent="0.2">
      <c r="A1372">
        <v>2729226</v>
      </c>
      <c r="B1372" s="9">
        <v>44092</v>
      </c>
      <c r="C1372" s="9">
        <v>44092</v>
      </c>
      <c r="D1372" t="s">
        <v>0</v>
      </c>
      <c r="E1372" t="s">
        <v>7</v>
      </c>
      <c r="F1372">
        <v>3</v>
      </c>
      <c r="G1372" t="s">
        <v>1</v>
      </c>
      <c r="H1372">
        <v>67</v>
      </c>
      <c r="I1372" t="s">
        <v>2</v>
      </c>
      <c r="K1372" s="1" t="s">
        <v>121</v>
      </c>
      <c r="M1372" t="s">
        <v>4</v>
      </c>
    </row>
    <row r="1373" spans="1:13" ht="15.75" customHeight="1" x14ac:dyDescent="0.2">
      <c r="A1373">
        <v>2729235</v>
      </c>
      <c r="B1373" s="9">
        <v>44092</v>
      </c>
      <c r="C1373" s="9">
        <v>44092</v>
      </c>
      <c r="D1373" t="s">
        <v>5</v>
      </c>
      <c r="E1373" t="s">
        <v>91</v>
      </c>
      <c r="F1373"/>
      <c r="G1373" t="s">
        <v>1</v>
      </c>
      <c r="H1373">
        <v>37</v>
      </c>
      <c r="I1373" t="s">
        <v>2</v>
      </c>
      <c r="K1373" s="1" t="s">
        <v>121</v>
      </c>
      <c r="M1373" t="s">
        <v>22</v>
      </c>
    </row>
    <row r="1374" spans="1:13" ht="15.75" customHeight="1" x14ac:dyDescent="0.2">
      <c r="A1374">
        <v>2729275</v>
      </c>
      <c r="B1374" s="9">
        <v>44092</v>
      </c>
      <c r="C1374" s="9">
        <v>44092</v>
      </c>
      <c r="D1374" t="s">
        <v>62</v>
      </c>
      <c r="E1374" s="5" t="s">
        <v>107</v>
      </c>
      <c r="F1374"/>
      <c r="G1374" t="s">
        <v>6</v>
      </c>
      <c r="H1374">
        <v>28</v>
      </c>
      <c r="I1374" t="s">
        <v>2</v>
      </c>
      <c r="K1374" s="1" t="s">
        <v>121</v>
      </c>
      <c r="M1374" t="s">
        <v>9</v>
      </c>
    </row>
    <row r="1375" spans="1:13" ht="15.75" customHeight="1" x14ac:dyDescent="0.2">
      <c r="A1375">
        <v>2729276</v>
      </c>
      <c r="B1375" s="9">
        <v>44092</v>
      </c>
      <c r="C1375" s="9">
        <v>44092</v>
      </c>
      <c r="D1375" t="s">
        <v>5</v>
      </c>
      <c r="E1375" s="5" t="s">
        <v>76</v>
      </c>
      <c r="F1375"/>
      <c r="G1375" t="s">
        <v>6</v>
      </c>
      <c r="H1375">
        <v>28</v>
      </c>
      <c r="I1375" t="s">
        <v>2</v>
      </c>
      <c r="K1375" s="1" t="s">
        <v>121</v>
      </c>
      <c r="M1375" t="s">
        <v>20</v>
      </c>
    </row>
    <row r="1376" spans="1:13" ht="15.75" customHeight="1" x14ac:dyDescent="0.2">
      <c r="A1376">
        <v>2729279</v>
      </c>
      <c r="B1376" s="9">
        <v>44092</v>
      </c>
      <c r="C1376" s="9">
        <v>44092</v>
      </c>
      <c r="D1376" t="s">
        <v>0</v>
      </c>
      <c r="E1376" t="s">
        <v>46</v>
      </c>
      <c r="F1376">
        <v>5</v>
      </c>
      <c r="G1376" t="s">
        <v>6</v>
      </c>
      <c r="H1376">
        <v>3</v>
      </c>
      <c r="I1376" t="s">
        <v>2</v>
      </c>
      <c r="K1376" s="1" t="s">
        <v>121</v>
      </c>
      <c r="M1376" t="s">
        <v>9</v>
      </c>
    </row>
    <row r="1377" spans="1:13" ht="15.75" customHeight="1" x14ac:dyDescent="0.2">
      <c r="A1377">
        <v>2729280</v>
      </c>
      <c r="B1377" s="9">
        <v>44092</v>
      </c>
      <c r="C1377" s="9">
        <v>44092</v>
      </c>
      <c r="D1377" t="s">
        <v>5</v>
      </c>
      <c r="E1377" s="5" t="s">
        <v>95</v>
      </c>
      <c r="F1377"/>
      <c r="G1377" t="s">
        <v>1</v>
      </c>
      <c r="H1377">
        <v>31</v>
      </c>
      <c r="I1377" t="s">
        <v>2</v>
      </c>
      <c r="K1377" s="1" t="s">
        <v>121</v>
      </c>
      <c r="M1377" t="s">
        <v>22</v>
      </c>
    </row>
    <row r="1378" spans="1:13" ht="15.75" customHeight="1" x14ac:dyDescent="0.2">
      <c r="A1378">
        <v>2731717</v>
      </c>
      <c r="B1378" s="9">
        <v>44092</v>
      </c>
      <c r="C1378" s="9">
        <v>44092</v>
      </c>
      <c r="D1378" t="s">
        <v>0</v>
      </c>
      <c r="E1378" t="s">
        <v>46</v>
      </c>
      <c r="F1378">
        <v>5</v>
      </c>
      <c r="G1378" t="s">
        <v>6</v>
      </c>
      <c r="H1378">
        <v>27</v>
      </c>
      <c r="I1378" t="s">
        <v>2</v>
      </c>
      <c r="K1378" s="1" t="s">
        <v>121</v>
      </c>
      <c r="M1378" t="s">
        <v>9</v>
      </c>
    </row>
    <row r="1379" spans="1:13" ht="15.75" customHeight="1" x14ac:dyDescent="0.2">
      <c r="A1379">
        <v>2731783</v>
      </c>
      <c r="B1379" s="9">
        <v>44092</v>
      </c>
      <c r="C1379" s="9">
        <v>44092</v>
      </c>
      <c r="D1379" t="s">
        <v>0</v>
      </c>
      <c r="E1379" t="s">
        <v>39</v>
      </c>
      <c r="F1379">
        <v>8</v>
      </c>
      <c r="G1379" t="s">
        <v>1</v>
      </c>
      <c r="H1379">
        <v>27</v>
      </c>
      <c r="I1379" t="s">
        <v>2</v>
      </c>
      <c r="K1379" s="1" t="s">
        <v>121</v>
      </c>
      <c r="M1379" t="s">
        <v>4</v>
      </c>
    </row>
    <row r="1380" spans="1:13" ht="15.75" customHeight="1" x14ac:dyDescent="0.2">
      <c r="A1380">
        <v>2731853</v>
      </c>
      <c r="B1380" s="9">
        <v>44092</v>
      </c>
      <c r="C1380" s="9">
        <v>44092</v>
      </c>
      <c r="D1380" t="s">
        <v>0</v>
      </c>
      <c r="E1380" t="s">
        <v>46</v>
      </c>
      <c r="F1380">
        <v>5</v>
      </c>
      <c r="G1380" t="s">
        <v>1</v>
      </c>
      <c r="H1380">
        <v>24</v>
      </c>
      <c r="I1380" t="s">
        <v>2</v>
      </c>
      <c r="K1380" s="1" t="s">
        <v>121</v>
      </c>
      <c r="M1380" t="s">
        <v>9</v>
      </c>
    </row>
    <row r="1381" spans="1:13" ht="15.75" customHeight="1" x14ac:dyDescent="0.2">
      <c r="A1381">
        <v>2730911</v>
      </c>
      <c r="B1381" s="9">
        <v>44092</v>
      </c>
      <c r="C1381" s="9">
        <v>44092</v>
      </c>
      <c r="D1381" t="s">
        <v>0</v>
      </c>
      <c r="E1381" t="s">
        <v>16</v>
      </c>
      <c r="F1381">
        <v>15</v>
      </c>
      <c r="G1381" t="s">
        <v>1</v>
      </c>
      <c r="H1381">
        <v>51</v>
      </c>
      <c r="I1381" t="s">
        <v>2</v>
      </c>
      <c r="K1381" s="1" t="s">
        <v>121</v>
      </c>
      <c r="M1381" t="s">
        <v>9</v>
      </c>
    </row>
    <row r="1382" spans="1:13" ht="15.75" customHeight="1" x14ac:dyDescent="0.2">
      <c r="A1382">
        <v>2730932</v>
      </c>
      <c r="B1382" s="9">
        <v>44092</v>
      </c>
      <c r="C1382" s="9">
        <v>44092</v>
      </c>
      <c r="D1382" t="s">
        <v>0</v>
      </c>
      <c r="E1382" t="s">
        <v>38</v>
      </c>
      <c r="F1382">
        <v>12</v>
      </c>
      <c r="G1382" t="s">
        <v>6</v>
      </c>
      <c r="H1382">
        <v>28</v>
      </c>
      <c r="I1382" t="s">
        <v>2</v>
      </c>
      <c r="K1382" s="1" t="s">
        <v>121</v>
      </c>
      <c r="M1382" t="s">
        <v>20</v>
      </c>
    </row>
    <row r="1383" spans="1:13" ht="15.75" customHeight="1" x14ac:dyDescent="0.2">
      <c r="A1383">
        <v>2730945</v>
      </c>
      <c r="B1383" s="9">
        <v>44092</v>
      </c>
      <c r="C1383" s="9">
        <v>44092</v>
      </c>
      <c r="D1383" t="s">
        <v>5</v>
      </c>
      <c r="E1383" t="s">
        <v>74</v>
      </c>
      <c r="F1383"/>
      <c r="G1383" t="s">
        <v>1</v>
      </c>
      <c r="H1383">
        <v>11</v>
      </c>
      <c r="I1383" t="s">
        <v>2</v>
      </c>
      <c r="K1383" s="1" t="s">
        <v>121</v>
      </c>
      <c r="M1383" t="s">
        <v>4</v>
      </c>
    </row>
    <row r="1384" spans="1:13" ht="15.75" customHeight="1" x14ac:dyDescent="0.2">
      <c r="A1384">
        <v>2730946</v>
      </c>
      <c r="B1384" s="9">
        <v>44092</v>
      </c>
      <c r="C1384" s="9">
        <v>44092</v>
      </c>
      <c r="D1384" t="s">
        <v>5</v>
      </c>
      <c r="E1384" s="5" t="s">
        <v>95</v>
      </c>
      <c r="F1384"/>
      <c r="G1384" t="s">
        <v>1</v>
      </c>
      <c r="H1384">
        <v>32</v>
      </c>
      <c r="I1384" t="s">
        <v>2</v>
      </c>
      <c r="K1384" s="1" t="s">
        <v>121</v>
      </c>
      <c r="M1384" t="s">
        <v>4</v>
      </c>
    </row>
    <row r="1385" spans="1:13" ht="15.75" customHeight="1" x14ac:dyDescent="0.2">
      <c r="A1385">
        <v>2730947</v>
      </c>
      <c r="B1385" s="9">
        <v>44092</v>
      </c>
      <c r="C1385" s="9">
        <v>44092</v>
      </c>
      <c r="D1385" t="s">
        <v>0</v>
      </c>
      <c r="E1385" t="s">
        <v>7</v>
      </c>
      <c r="F1385">
        <v>3</v>
      </c>
      <c r="G1385" t="s">
        <v>6</v>
      </c>
      <c r="H1385">
        <v>64</v>
      </c>
      <c r="I1385" t="s">
        <v>2</v>
      </c>
      <c r="K1385" s="1" t="s">
        <v>121</v>
      </c>
      <c r="M1385" t="s">
        <v>4</v>
      </c>
    </row>
    <row r="1386" spans="1:13" ht="15.75" customHeight="1" x14ac:dyDescent="0.2">
      <c r="A1386">
        <v>2749278</v>
      </c>
      <c r="B1386" s="9">
        <v>44093</v>
      </c>
      <c r="C1386" s="9">
        <v>44093</v>
      </c>
      <c r="D1386" t="s">
        <v>0</v>
      </c>
      <c r="E1386" t="s">
        <v>29</v>
      </c>
      <c r="F1386">
        <v>12</v>
      </c>
      <c r="G1386" t="s">
        <v>1</v>
      </c>
      <c r="H1386">
        <v>36</v>
      </c>
      <c r="I1386" t="s">
        <v>2</v>
      </c>
      <c r="K1386" s="1" t="s">
        <v>121</v>
      </c>
      <c r="M1386" t="s">
        <v>4</v>
      </c>
    </row>
    <row r="1387" spans="1:13" ht="15.75" customHeight="1" x14ac:dyDescent="0.2">
      <c r="A1387">
        <v>2755210</v>
      </c>
      <c r="B1387" s="9">
        <v>44093</v>
      </c>
      <c r="C1387" s="9">
        <v>44095</v>
      </c>
      <c r="D1387" t="s">
        <v>0</v>
      </c>
      <c r="E1387" t="s">
        <v>54</v>
      </c>
      <c r="F1387">
        <v>7</v>
      </c>
      <c r="G1387" t="s">
        <v>1</v>
      </c>
      <c r="H1387">
        <v>70</v>
      </c>
      <c r="I1387" t="s">
        <v>2</v>
      </c>
      <c r="K1387" s="1" t="s">
        <v>121</v>
      </c>
      <c r="M1387" t="s">
        <v>4</v>
      </c>
    </row>
    <row r="1388" spans="1:13" ht="15.75" customHeight="1" x14ac:dyDescent="0.2">
      <c r="A1388">
        <v>2755273</v>
      </c>
      <c r="B1388" s="9">
        <v>44092</v>
      </c>
      <c r="C1388" s="9">
        <v>44093</v>
      </c>
      <c r="D1388" t="s">
        <v>0</v>
      </c>
      <c r="E1388" t="s">
        <v>7</v>
      </c>
      <c r="F1388">
        <v>3</v>
      </c>
      <c r="G1388" t="s">
        <v>6</v>
      </c>
      <c r="H1388">
        <v>24</v>
      </c>
      <c r="I1388" t="s">
        <v>2</v>
      </c>
      <c r="K1388" s="1" t="s">
        <v>121</v>
      </c>
      <c r="M1388" t="s">
        <v>9</v>
      </c>
    </row>
    <row r="1389" spans="1:13" ht="15.75" customHeight="1" x14ac:dyDescent="0.2">
      <c r="A1389">
        <v>2755759</v>
      </c>
      <c r="B1389" s="9">
        <v>44093</v>
      </c>
      <c r="C1389" s="9">
        <v>44093</v>
      </c>
      <c r="D1389" t="s">
        <v>0</v>
      </c>
      <c r="E1389" t="s">
        <v>16</v>
      </c>
      <c r="F1389">
        <v>15</v>
      </c>
      <c r="G1389" t="s">
        <v>1</v>
      </c>
      <c r="H1389">
        <v>57</v>
      </c>
      <c r="I1389" t="s">
        <v>2</v>
      </c>
      <c r="K1389" s="1" t="s">
        <v>121</v>
      </c>
      <c r="M1389" t="s">
        <v>9</v>
      </c>
    </row>
    <row r="1390" spans="1:13" ht="15.75" customHeight="1" x14ac:dyDescent="0.2">
      <c r="A1390">
        <v>2755846</v>
      </c>
      <c r="B1390" s="9">
        <v>44093</v>
      </c>
      <c r="C1390" s="9">
        <v>44093</v>
      </c>
      <c r="D1390" t="s">
        <v>0</v>
      </c>
      <c r="E1390" t="s">
        <v>10</v>
      </c>
      <c r="F1390">
        <v>5</v>
      </c>
      <c r="G1390" t="s">
        <v>6</v>
      </c>
      <c r="H1390">
        <v>33</v>
      </c>
      <c r="I1390" t="s">
        <v>2</v>
      </c>
      <c r="K1390" s="1" t="s">
        <v>121</v>
      </c>
      <c r="M1390" t="s">
        <v>9</v>
      </c>
    </row>
    <row r="1391" spans="1:13" ht="15.75" customHeight="1" x14ac:dyDescent="0.2">
      <c r="A1391">
        <v>2756596</v>
      </c>
      <c r="B1391" s="9">
        <v>44094</v>
      </c>
      <c r="C1391" s="9">
        <v>44095</v>
      </c>
      <c r="D1391" t="s">
        <v>0</v>
      </c>
      <c r="E1391" t="s">
        <v>14</v>
      </c>
      <c r="F1391">
        <v>14</v>
      </c>
      <c r="G1391" t="s">
        <v>1</v>
      </c>
      <c r="H1391">
        <v>90</v>
      </c>
      <c r="I1391" t="s">
        <v>2</v>
      </c>
      <c r="K1391" s="1" t="s">
        <v>121</v>
      </c>
      <c r="M1391" t="s">
        <v>4</v>
      </c>
    </row>
    <row r="1392" spans="1:13" ht="15.75" customHeight="1" x14ac:dyDescent="0.2">
      <c r="A1392">
        <v>2871992</v>
      </c>
      <c r="B1392" s="9">
        <v>44098</v>
      </c>
      <c r="C1392" s="9">
        <v>44098</v>
      </c>
      <c r="D1392" t="s">
        <v>5</v>
      </c>
      <c r="E1392" t="s">
        <v>75</v>
      </c>
      <c r="F1392"/>
      <c r="G1392" t="s">
        <v>6</v>
      </c>
      <c r="H1392">
        <v>3</v>
      </c>
      <c r="I1392" t="s">
        <v>2</v>
      </c>
      <c r="K1392" s="1" t="s">
        <v>121</v>
      </c>
      <c r="M1392" t="s">
        <v>9</v>
      </c>
    </row>
    <row r="1393" spans="1:13" ht="15.75" customHeight="1" x14ac:dyDescent="0.2">
      <c r="A1393">
        <v>2902413</v>
      </c>
      <c r="B1393" s="9">
        <v>44099</v>
      </c>
      <c r="C1393" s="9">
        <v>44099</v>
      </c>
      <c r="D1393" t="s">
        <v>5</v>
      </c>
      <c r="E1393" s="1" t="s">
        <v>90</v>
      </c>
      <c r="F1393"/>
      <c r="G1393" t="s">
        <v>1</v>
      </c>
      <c r="H1393">
        <v>42</v>
      </c>
      <c r="I1393" t="s">
        <v>2</v>
      </c>
      <c r="K1393" s="1" t="s">
        <v>121</v>
      </c>
      <c r="M1393" t="s">
        <v>9</v>
      </c>
    </row>
    <row r="1394" spans="1:13" ht="15.75" customHeight="1" x14ac:dyDescent="0.2">
      <c r="A1394">
        <v>2909322</v>
      </c>
      <c r="B1394" s="9">
        <v>44099</v>
      </c>
      <c r="C1394" s="9">
        <v>44099</v>
      </c>
      <c r="D1394" t="s">
        <v>0</v>
      </c>
      <c r="E1394" t="s">
        <v>7</v>
      </c>
      <c r="F1394">
        <v>3</v>
      </c>
      <c r="G1394" t="s">
        <v>1</v>
      </c>
      <c r="H1394">
        <v>14</v>
      </c>
      <c r="I1394" t="s">
        <v>2</v>
      </c>
      <c r="K1394" s="1" t="s">
        <v>121</v>
      </c>
      <c r="M1394" t="s">
        <v>9</v>
      </c>
    </row>
    <row r="1395" spans="1:13" ht="15.75" customHeight="1" x14ac:dyDescent="0.2">
      <c r="A1395">
        <v>2909326</v>
      </c>
      <c r="B1395" s="9">
        <v>44099</v>
      </c>
      <c r="C1395" s="9">
        <v>44099</v>
      </c>
      <c r="D1395" t="s">
        <v>0</v>
      </c>
      <c r="E1395" t="s">
        <v>7</v>
      </c>
      <c r="F1395">
        <v>3</v>
      </c>
      <c r="G1395" t="s">
        <v>1</v>
      </c>
      <c r="H1395">
        <v>22</v>
      </c>
      <c r="I1395" t="s">
        <v>2</v>
      </c>
      <c r="K1395" s="1" t="s">
        <v>121</v>
      </c>
      <c r="M1395" t="s">
        <v>9</v>
      </c>
    </row>
    <row r="1396" spans="1:13" ht="15.75" customHeight="1" x14ac:dyDescent="0.2">
      <c r="A1396">
        <v>2910306</v>
      </c>
      <c r="B1396" s="9">
        <v>44099</v>
      </c>
      <c r="C1396" s="9">
        <v>44099</v>
      </c>
      <c r="D1396" t="s">
        <v>0</v>
      </c>
      <c r="E1396" t="s">
        <v>7</v>
      </c>
      <c r="F1396">
        <v>3</v>
      </c>
      <c r="G1396" t="s">
        <v>6</v>
      </c>
      <c r="H1396">
        <v>25</v>
      </c>
      <c r="I1396" t="s">
        <v>2</v>
      </c>
      <c r="K1396" s="1" t="s">
        <v>121</v>
      </c>
      <c r="M1396" t="s">
        <v>20</v>
      </c>
    </row>
    <row r="1397" spans="1:13" ht="15.75" customHeight="1" x14ac:dyDescent="0.2">
      <c r="A1397">
        <v>2924973</v>
      </c>
      <c r="B1397" s="9">
        <v>44099</v>
      </c>
      <c r="C1397" s="9">
        <v>44099</v>
      </c>
      <c r="D1397" t="s">
        <v>0</v>
      </c>
      <c r="E1397" t="s">
        <v>7</v>
      </c>
      <c r="F1397">
        <v>3</v>
      </c>
      <c r="G1397" t="s">
        <v>6</v>
      </c>
      <c r="H1397">
        <v>47</v>
      </c>
      <c r="I1397" t="s">
        <v>2</v>
      </c>
      <c r="K1397" s="1" t="s">
        <v>121</v>
      </c>
      <c r="M1397" t="s">
        <v>9</v>
      </c>
    </row>
    <row r="1398" spans="1:13" ht="15.75" customHeight="1" x14ac:dyDescent="0.2">
      <c r="A1398">
        <v>2924974</v>
      </c>
      <c r="B1398" s="9">
        <v>44099</v>
      </c>
      <c r="C1398" s="9">
        <v>44099</v>
      </c>
      <c r="D1398" t="s">
        <v>0</v>
      </c>
      <c r="E1398" t="s">
        <v>43</v>
      </c>
      <c r="F1398">
        <v>10</v>
      </c>
      <c r="G1398" t="s">
        <v>1</v>
      </c>
      <c r="H1398">
        <v>48</v>
      </c>
      <c r="I1398" t="s">
        <v>2</v>
      </c>
      <c r="K1398" s="1" t="s">
        <v>121</v>
      </c>
      <c r="M1398" t="s">
        <v>9</v>
      </c>
    </row>
    <row r="1399" spans="1:13" ht="15.75" customHeight="1" x14ac:dyDescent="0.2">
      <c r="A1399">
        <v>3781868</v>
      </c>
      <c r="B1399" s="9">
        <v>44090</v>
      </c>
      <c r="C1399" s="9">
        <v>44090</v>
      </c>
      <c r="D1399" t="s">
        <v>0</v>
      </c>
      <c r="E1399" t="s">
        <v>7</v>
      </c>
      <c r="F1399">
        <v>3</v>
      </c>
      <c r="G1399" t="s">
        <v>6</v>
      </c>
      <c r="H1399">
        <v>42</v>
      </c>
      <c r="I1399" t="s">
        <v>2</v>
      </c>
      <c r="K1399" s="1" t="s">
        <v>121</v>
      </c>
      <c r="M1399" t="s">
        <v>4</v>
      </c>
    </row>
    <row r="1400" spans="1:13" ht="15.75" customHeight="1" x14ac:dyDescent="0.2">
      <c r="A1400">
        <v>1411493</v>
      </c>
      <c r="B1400" s="9">
        <v>44029</v>
      </c>
      <c r="C1400" s="9">
        <v>44030</v>
      </c>
      <c r="D1400" t="s">
        <v>5</v>
      </c>
      <c r="E1400" s="5" t="s">
        <v>95</v>
      </c>
      <c r="F1400"/>
      <c r="G1400" t="s">
        <v>1</v>
      </c>
      <c r="H1400">
        <v>30</v>
      </c>
      <c r="I1400" t="s">
        <v>2</v>
      </c>
      <c r="K1400" s="1" t="s">
        <v>121</v>
      </c>
      <c r="M1400" t="s">
        <v>4</v>
      </c>
    </row>
    <row r="1401" spans="1:13" ht="15.75" customHeight="1" x14ac:dyDescent="0.2">
      <c r="A1401">
        <v>1636721</v>
      </c>
      <c r="B1401" s="9">
        <v>44045</v>
      </c>
      <c r="C1401" s="9">
        <v>44045</v>
      </c>
      <c r="D1401" t="s">
        <v>0</v>
      </c>
      <c r="E1401" t="s">
        <v>45</v>
      </c>
      <c r="F1401">
        <v>4</v>
      </c>
      <c r="G1401" t="s">
        <v>6</v>
      </c>
      <c r="H1401">
        <v>89</v>
      </c>
      <c r="I1401" t="s">
        <v>2</v>
      </c>
      <c r="K1401" s="1" t="s">
        <v>121</v>
      </c>
      <c r="M1401" t="s">
        <v>9</v>
      </c>
    </row>
    <row r="1402" spans="1:13" ht="15.75" customHeight="1" x14ac:dyDescent="0.2">
      <c r="A1402">
        <v>1819522</v>
      </c>
      <c r="B1402" s="9">
        <v>44054</v>
      </c>
      <c r="C1402" s="9">
        <v>44055</v>
      </c>
      <c r="D1402" t="s">
        <v>0</v>
      </c>
      <c r="E1402" t="s">
        <v>18</v>
      </c>
      <c r="F1402">
        <v>8</v>
      </c>
      <c r="G1402" t="s">
        <v>6</v>
      </c>
      <c r="H1402">
        <v>61</v>
      </c>
      <c r="I1402" t="s">
        <v>2</v>
      </c>
      <c r="K1402" s="1" t="s">
        <v>121</v>
      </c>
      <c r="M1402" t="s">
        <v>4</v>
      </c>
    </row>
    <row r="1403" spans="1:13" ht="15.75" customHeight="1" x14ac:dyDescent="0.2">
      <c r="A1403">
        <v>2251225</v>
      </c>
      <c r="B1403" s="9">
        <v>44093</v>
      </c>
      <c r="C1403" s="9">
        <v>44094</v>
      </c>
      <c r="D1403" t="s">
        <v>5</v>
      </c>
      <c r="E1403" t="s">
        <v>99</v>
      </c>
      <c r="F1403"/>
      <c r="G1403" t="s">
        <v>6</v>
      </c>
      <c r="H1403">
        <v>88</v>
      </c>
      <c r="I1403" t="s">
        <v>2</v>
      </c>
      <c r="K1403" s="1" t="s">
        <v>121</v>
      </c>
      <c r="M1403" t="s">
        <v>20</v>
      </c>
    </row>
    <row r="1404" spans="1:13" ht="15.75" customHeight="1" x14ac:dyDescent="0.2">
      <c r="A1404">
        <v>2307003</v>
      </c>
      <c r="B1404" s="9">
        <v>44076</v>
      </c>
      <c r="C1404" s="9">
        <v>44076</v>
      </c>
      <c r="D1404" t="s">
        <v>5</v>
      </c>
      <c r="E1404" s="5" t="s">
        <v>95</v>
      </c>
      <c r="F1404"/>
      <c r="G1404" t="s">
        <v>6</v>
      </c>
      <c r="H1404">
        <v>54</v>
      </c>
      <c r="I1404" t="s">
        <v>2</v>
      </c>
      <c r="K1404" s="1" t="s">
        <v>121</v>
      </c>
      <c r="M1404" t="s">
        <v>4</v>
      </c>
    </row>
    <row r="1405" spans="1:13" ht="15.75" customHeight="1" x14ac:dyDescent="0.2">
      <c r="A1405">
        <v>2381676</v>
      </c>
      <c r="B1405" s="9">
        <v>44079</v>
      </c>
      <c r="C1405" s="9">
        <v>44080</v>
      </c>
      <c r="D1405" t="s">
        <v>5</v>
      </c>
      <c r="E1405" t="s">
        <v>76</v>
      </c>
      <c r="F1405"/>
      <c r="G1405" t="s">
        <v>6</v>
      </c>
      <c r="H1405">
        <v>67</v>
      </c>
      <c r="I1405" t="s">
        <v>2</v>
      </c>
      <c r="K1405" s="1" t="s">
        <v>121</v>
      </c>
      <c r="M1405" t="s">
        <v>9</v>
      </c>
    </row>
    <row r="1406" spans="1:13" ht="15.75" customHeight="1" x14ac:dyDescent="0.2">
      <c r="A1406">
        <v>2465073</v>
      </c>
      <c r="B1406" s="9">
        <v>44082</v>
      </c>
      <c r="C1406" s="9">
        <v>44084</v>
      </c>
      <c r="D1406" t="s">
        <v>5</v>
      </c>
      <c r="E1406" t="s">
        <v>75</v>
      </c>
      <c r="F1406"/>
      <c r="G1406" t="s">
        <v>1</v>
      </c>
      <c r="H1406">
        <v>70</v>
      </c>
      <c r="I1406" t="s">
        <v>2</v>
      </c>
      <c r="K1406" s="1" t="s">
        <v>121</v>
      </c>
      <c r="M1406" t="s">
        <v>20</v>
      </c>
    </row>
    <row r="1407" spans="1:13" ht="15.75" customHeight="1" x14ac:dyDescent="0.2">
      <c r="A1407">
        <v>2490810</v>
      </c>
      <c r="B1407" s="9">
        <v>44093</v>
      </c>
      <c r="C1407" s="9">
        <v>44093</v>
      </c>
      <c r="D1407" t="s">
        <v>0</v>
      </c>
      <c r="E1407" t="s">
        <v>122</v>
      </c>
      <c r="F1407">
        <v>15</v>
      </c>
      <c r="G1407" t="s">
        <v>1</v>
      </c>
      <c r="H1407">
        <v>63</v>
      </c>
      <c r="I1407" t="s">
        <v>2</v>
      </c>
      <c r="K1407" s="1" t="s">
        <v>121</v>
      </c>
      <c r="M1407" t="s">
        <v>22</v>
      </c>
    </row>
    <row r="1408" spans="1:13" ht="15.75" customHeight="1" x14ac:dyDescent="0.2">
      <c r="A1408">
        <v>2491858</v>
      </c>
      <c r="B1408" s="9">
        <v>44084</v>
      </c>
      <c r="C1408" s="9">
        <v>44085</v>
      </c>
      <c r="D1408" t="s">
        <v>5</v>
      </c>
      <c r="E1408" t="s">
        <v>75</v>
      </c>
      <c r="F1408"/>
      <c r="G1408" t="s">
        <v>6</v>
      </c>
      <c r="H1408">
        <v>69</v>
      </c>
      <c r="I1408" t="s">
        <v>2</v>
      </c>
      <c r="K1408" s="1" t="s">
        <v>121</v>
      </c>
      <c r="M1408" t="s">
        <v>4</v>
      </c>
    </row>
    <row r="1409" spans="1:13" ht="15.75" customHeight="1" x14ac:dyDescent="0.2">
      <c r="A1409">
        <v>2494307</v>
      </c>
      <c r="B1409" s="9">
        <v>44082</v>
      </c>
      <c r="C1409" s="9">
        <v>44083</v>
      </c>
      <c r="D1409" t="s">
        <v>5</v>
      </c>
      <c r="E1409" t="s">
        <v>76</v>
      </c>
      <c r="F1409"/>
      <c r="G1409" t="s">
        <v>1</v>
      </c>
      <c r="H1409">
        <v>75</v>
      </c>
      <c r="I1409" t="s">
        <v>2</v>
      </c>
      <c r="K1409" s="1" t="s">
        <v>121</v>
      </c>
      <c r="M1409" t="s">
        <v>4</v>
      </c>
    </row>
    <row r="1410" spans="1:13" ht="15.75" customHeight="1" x14ac:dyDescent="0.2">
      <c r="A1410">
        <v>2512384</v>
      </c>
      <c r="B1410" s="9">
        <v>44084</v>
      </c>
      <c r="C1410" s="9">
        <v>44085</v>
      </c>
      <c r="D1410" t="s">
        <v>0</v>
      </c>
      <c r="E1410" t="s">
        <v>33</v>
      </c>
      <c r="F1410">
        <v>13</v>
      </c>
      <c r="G1410" t="s">
        <v>1</v>
      </c>
      <c r="H1410">
        <v>88</v>
      </c>
      <c r="I1410" t="s">
        <v>2</v>
      </c>
      <c r="K1410" s="1" t="s">
        <v>121</v>
      </c>
      <c r="M1410" t="s">
        <v>4</v>
      </c>
    </row>
    <row r="1411" spans="1:13" ht="15.75" customHeight="1" x14ac:dyDescent="0.2">
      <c r="A1411">
        <v>2522670</v>
      </c>
      <c r="B1411" s="9">
        <v>44084</v>
      </c>
      <c r="C1411" s="9">
        <v>44085</v>
      </c>
      <c r="D1411" t="s">
        <v>0</v>
      </c>
      <c r="E1411" t="s">
        <v>56</v>
      </c>
      <c r="F1411">
        <v>10</v>
      </c>
      <c r="G1411" t="s">
        <v>1</v>
      </c>
      <c r="H1411">
        <v>74</v>
      </c>
      <c r="I1411" t="s">
        <v>2</v>
      </c>
      <c r="K1411" s="1" t="s">
        <v>121</v>
      </c>
      <c r="M1411" t="s">
        <v>4</v>
      </c>
    </row>
    <row r="1412" spans="1:13" ht="15.75" customHeight="1" x14ac:dyDescent="0.2">
      <c r="A1412">
        <v>2524209</v>
      </c>
      <c r="B1412" s="9">
        <v>44089</v>
      </c>
      <c r="C1412" s="9">
        <v>44090</v>
      </c>
      <c r="D1412" t="s">
        <v>5</v>
      </c>
      <c r="E1412" s="1" t="s">
        <v>90</v>
      </c>
      <c r="F1412"/>
      <c r="G1412" t="s">
        <v>1</v>
      </c>
      <c r="H1412">
        <v>31</v>
      </c>
      <c r="I1412" t="s">
        <v>2</v>
      </c>
      <c r="K1412" s="1" t="s">
        <v>121</v>
      </c>
      <c r="M1412" t="s">
        <v>9</v>
      </c>
    </row>
    <row r="1413" spans="1:13" ht="15.75" customHeight="1" x14ac:dyDescent="0.2">
      <c r="A1413">
        <v>2537884</v>
      </c>
      <c r="B1413" s="9">
        <v>44085</v>
      </c>
      <c r="C1413" s="9">
        <v>44087</v>
      </c>
      <c r="D1413" t="s">
        <v>5</v>
      </c>
      <c r="E1413" t="s">
        <v>74</v>
      </c>
      <c r="F1413"/>
      <c r="G1413" t="s">
        <v>6</v>
      </c>
      <c r="H1413">
        <v>43</v>
      </c>
      <c r="I1413" t="s">
        <v>2</v>
      </c>
      <c r="K1413" s="1" t="s">
        <v>121</v>
      </c>
      <c r="M1413" t="s">
        <v>4</v>
      </c>
    </row>
    <row r="1414" spans="1:13" ht="15.75" customHeight="1" x14ac:dyDescent="0.2">
      <c r="A1414">
        <v>2541961</v>
      </c>
      <c r="B1414" s="9">
        <v>44085</v>
      </c>
      <c r="C1414" s="9">
        <v>44086</v>
      </c>
      <c r="D1414" t="s">
        <v>0</v>
      </c>
      <c r="E1414" t="s">
        <v>28</v>
      </c>
      <c r="F1414">
        <v>11</v>
      </c>
      <c r="G1414" t="s">
        <v>6</v>
      </c>
      <c r="H1414">
        <v>79</v>
      </c>
      <c r="I1414" t="s">
        <v>2</v>
      </c>
      <c r="K1414" s="1" t="s">
        <v>121</v>
      </c>
      <c r="M1414" t="s">
        <v>20</v>
      </c>
    </row>
    <row r="1415" spans="1:13" ht="15.75" customHeight="1" x14ac:dyDescent="0.2">
      <c r="A1415">
        <v>2550736</v>
      </c>
      <c r="B1415" s="9">
        <v>44090</v>
      </c>
      <c r="C1415" s="9">
        <v>44090</v>
      </c>
      <c r="D1415" t="s">
        <v>0</v>
      </c>
      <c r="E1415" t="s">
        <v>36</v>
      </c>
      <c r="F1415">
        <v>1</v>
      </c>
      <c r="G1415" t="s">
        <v>1</v>
      </c>
      <c r="H1415">
        <v>42</v>
      </c>
      <c r="I1415" t="s">
        <v>2</v>
      </c>
      <c r="K1415" s="1" t="s">
        <v>121</v>
      </c>
      <c r="M1415" t="s">
        <v>4</v>
      </c>
    </row>
    <row r="1416" spans="1:13" ht="15.75" customHeight="1" x14ac:dyDescent="0.2">
      <c r="A1416">
        <v>2551316</v>
      </c>
      <c r="B1416" s="9">
        <v>44085</v>
      </c>
      <c r="C1416" s="9">
        <v>44086</v>
      </c>
      <c r="D1416" t="s">
        <v>0</v>
      </c>
      <c r="E1416" t="s">
        <v>14</v>
      </c>
      <c r="F1416">
        <v>14</v>
      </c>
      <c r="G1416" t="s">
        <v>1</v>
      </c>
      <c r="H1416">
        <v>48</v>
      </c>
      <c r="I1416" t="s">
        <v>2</v>
      </c>
      <c r="K1416" s="1" t="s">
        <v>121</v>
      </c>
      <c r="M1416" t="s">
        <v>4</v>
      </c>
    </row>
    <row r="1417" spans="1:13" ht="15.75" customHeight="1" x14ac:dyDescent="0.2">
      <c r="A1417">
        <v>2556356</v>
      </c>
      <c r="B1417" s="9">
        <v>44085</v>
      </c>
      <c r="C1417" s="9">
        <v>44085</v>
      </c>
      <c r="D1417" t="s">
        <v>0</v>
      </c>
      <c r="E1417" t="s">
        <v>53</v>
      </c>
      <c r="F1417">
        <v>11</v>
      </c>
      <c r="G1417" t="s">
        <v>6</v>
      </c>
      <c r="H1417">
        <v>21</v>
      </c>
      <c r="I1417" t="s">
        <v>2</v>
      </c>
      <c r="K1417" s="1" t="s">
        <v>121</v>
      </c>
      <c r="M1417" t="s">
        <v>9</v>
      </c>
    </row>
    <row r="1418" spans="1:13" ht="15.75" customHeight="1" x14ac:dyDescent="0.2">
      <c r="A1418">
        <v>2559176</v>
      </c>
      <c r="B1418" s="9">
        <v>44081</v>
      </c>
      <c r="C1418" s="9">
        <v>44081</v>
      </c>
      <c r="D1418" t="s">
        <v>5</v>
      </c>
      <c r="E1418" t="s">
        <v>75</v>
      </c>
      <c r="F1418"/>
      <c r="G1418" t="s">
        <v>6</v>
      </c>
      <c r="H1418">
        <v>55</v>
      </c>
      <c r="I1418" t="s">
        <v>2</v>
      </c>
      <c r="K1418" s="1" t="s">
        <v>121</v>
      </c>
      <c r="M1418" t="s">
        <v>4</v>
      </c>
    </row>
    <row r="1419" spans="1:13" ht="15.75" customHeight="1" x14ac:dyDescent="0.2">
      <c r="A1419">
        <v>1573576</v>
      </c>
      <c r="B1419" s="9">
        <v>44042</v>
      </c>
      <c r="C1419" s="9">
        <v>44042</v>
      </c>
      <c r="D1419" t="s">
        <v>5</v>
      </c>
      <c r="E1419" s="5" t="s">
        <v>95</v>
      </c>
      <c r="F1419"/>
      <c r="G1419" t="s">
        <v>6</v>
      </c>
      <c r="H1419">
        <v>40</v>
      </c>
      <c r="I1419" t="s">
        <v>2</v>
      </c>
      <c r="K1419" s="1" t="s">
        <v>121</v>
      </c>
      <c r="M1419" t="s">
        <v>4</v>
      </c>
    </row>
    <row r="1420" spans="1:13" ht="15.75" customHeight="1" x14ac:dyDescent="0.2">
      <c r="A1420">
        <v>2097399</v>
      </c>
      <c r="B1420" s="9">
        <v>44075</v>
      </c>
      <c r="C1420" s="9">
        <v>44076</v>
      </c>
      <c r="D1420" t="s">
        <v>0</v>
      </c>
      <c r="E1420" t="s">
        <v>25</v>
      </c>
      <c r="F1420">
        <v>13</v>
      </c>
      <c r="G1420" t="s">
        <v>6</v>
      </c>
      <c r="H1420">
        <v>89</v>
      </c>
      <c r="I1420" t="s">
        <v>2</v>
      </c>
      <c r="K1420" s="1" t="s">
        <v>121</v>
      </c>
      <c r="M1420" t="s">
        <v>4</v>
      </c>
    </row>
    <row r="1421" spans="1:13" ht="15.75" customHeight="1" x14ac:dyDescent="0.2">
      <c r="A1421">
        <v>2341607</v>
      </c>
      <c r="B1421" s="9">
        <v>44091</v>
      </c>
      <c r="C1421" s="9">
        <v>44091</v>
      </c>
      <c r="D1421" t="s">
        <v>0</v>
      </c>
      <c r="E1421" t="s">
        <v>33</v>
      </c>
      <c r="F1421">
        <v>13</v>
      </c>
      <c r="G1421" t="s">
        <v>1</v>
      </c>
      <c r="H1421">
        <v>33</v>
      </c>
      <c r="I1421" t="s">
        <v>2</v>
      </c>
      <c r="K1421" s="1" t="s">
        <v>121</v>
      </c>
      <c r="M1421" t="s">
        <v>22</v>
      </c>
    </row>
    <row r="1422" spans="1:13" ht="15.75" customHeight="1" x14ac:dyDescent="0.2">
      <c r="A1422">
        <v>2346156</v>
      </c>
      <c r="B1422" s="9">
        <v>44087</v>
      </c>
      <c r="C1422" s="9">
        <v>44087</v>
      </c>
      <c r="D1422" t="s">
        <v>0</v>
      </c>
      <c r="E1422" t="s">
        <v>28</v>
      </c>
      <c r="F1422">
        <v>11</v>
      </c>
      <c r="G1422" t="s">
        <v>1</v>
      </c>
      <c r="H1422">
        <v>28</v>
      </c>
      <c r="I1422" t="s">
        <v>2</v>
      </c>
      <c r="K1422" s="1" t="s">
        <v>121</v>
      </c>
      <c r="M1422" t="s">
        <v>4</v>
      </c>
    </row>
    <row r="1423" spans="1:13" ht="15.75" customHeight="1" x14ac:dyDescent="0.2">
      <c r="A1423">
        <v>2399690</v>
      </c>
      <c r="B1423" s="9">
        <v>44097</v>
      </c>
      <c r="C1423" s="9">
        <v>44097</v>
      </c>
      <c r="D1423" t="s">
        <v>0</v>
      </c>
      <c r="E1423" t="s">
        <v>33</v>
      </c>
      <c r="F1423">
        <v>13</v>
      </c>
      <c r="G1423" t="s">
        <v>1</v>
      </c>
      <c r="H1423">
        <v>51</v>
      </c>
      <c r="I1423" t="s">
        <v>2</v>
      </c>
      <c r="K1423" s="1" t="s">
        <v>121</v>
      </c>
      <c r="M1423" t="s">
        <v>4</v>
      </c>
    </row>
    <row r="1424" spans="1:13" ht="15.75" customHeight="1" x14ac:dyDescent="0.2">
      <c r="A1424">
        <v>2418077</v>
      </c>
      <c r="B1424" s="9">
        <v>44089</v>
      </c>
      <c r="C1424" s="9">
        <v>44089</v>
      </c>
      <c r="D1424" t="s">
        <v>5</v>
      </c>
      <c r="E1424" s="1" t="s">
        <v>90</v>
      </c>
      <c r="F1424"/>
      <c r="G1424" t="s">
        <v>6</v>
      </c>
      <c r="H1424">
        <v>33</v>
      </c>
      <c r="I1424" t="s">
        <v>2</v>
      </c>
      <c r="K1424" s="1" t="s">
        <v>121</v>
      </c>
      <c r="M1424" t="s">
        <v>9</v>
      </c>
    </row>
    <row r="1425" spans="1:13" ht="15.75" customHeight="1" x14ac:dyDescent="0.2">
      <c r="A1425">
        <v>2488031</v>
      </c>
      <c r="B1425" s="9">
        <v>44088</v>
      </c>
      <c r="C1425" s="9">
        <v>44088</v>
      </c>
      <c r="D1425" t="s">
        <v>5</v>
      </c>
      <c r="E1425" t="s">
        <v>91</v>
      </c>
      <c r="F1425"/>
      <c r="G1425" t="s">
        <v>6</v>
      </c>
      <c r="H1425">
        <v>11</v>
      </c>
      <c r="I1425" t="s">
        <v>2</v>
      </c>
      <c r="K1425" s="1" t="s">
        <v>121</v>
      </c>
      <c r="M1425" t="s">
        <v>4</v>
      </c>
    </row>
    <row r="1426" spans="1:13" ht="15.75" customHeight="1" x14ac:dyDescent="0.2">
      <c r="A1426">
        <v>2499313</v>
      </c>
      <c r="B1426" s="9">
        <v>44083</v>
      </c>
      <c r="C1426" s="9">
        <v>44084</v>
      </c>
      <c r="D1426" t="s">
        <v>5</v>
      </c>
      <c r="E1426" t="s">
        <v>76</v>
      </c>
      <c r="F1426"/>
      <c r="G1426" t="s">
        <v>1</v>
      </c>
      <c r="H1426">
        <v>57</v>
      </c>
      <c r="I1426" t="s">
        <v>2</v>
      </c>
      <c r="K1426" s="1" t="s">
        <v>121</v>
      </c>
      <c r="M1426" t="s">
        <v>9</v>
      </c>
    </row>
    <row r="1427" spans="1:13" ht="15.75" customHeight="1" x14ac:dyDescent="0.2">
      <c r="A1427">
        <v>2552851</v>
      </c>
      <c r="B1427" s="9">
        <v>44088</v>
      </c>
      <c r="C1427" s="9">
        <v>44088</v>
      </c>
      <c r="D1427" t="s">
        <v>0</v>
      </c>
      <c r="E1427" t="s">
        <v>34</v>
      </c>
      <c r="F1427">
        <v>9</v>
      </c>
      <c r="G1427" t="s">
        <v>6</v>
      </c>
      <c r="H1427">
        <v>23</v>
      </c>
      <c r="I1427" t="s">
        <v>2</v>
      </c>
      <c r="K1427" s="1" t="s">
        <v>121</v>
      </c>
      <c r="M1427" t="s">
        <v>4</v>
      </c>
    </row>
    <row r="1428" spans="1:13" ht="15.75" customHeight="1" x14ac:dyDescent="0.2">
      <c r="A1428">
        <v>2555339</v>
      </c>
      <c r="B1428" s="9">
        <v>44085</v>
      </c>
      <c r="C1428" s="9">
        <v>44086</v>
      </c>
      <c r="D1428" t="s">
        <v>5</v>
      </c>
      <c r="E1428" s="5" t="s">
        <v>76</v>
      </c>
      <c r="F1428"/>
      <c r="G1428" t="s">
        <v>6</v>
      </c>
      <c r="H1428">
        <v>83</v>
      </c>
      <c r="I1428" t="s">
        <v>2</v>
      </c>
      <c r="K1428" s="1" t="s">
        <v>121</v>
      </c>
      <c r="M1428" t="s">
        <v>20</v>
      </c>
    </row>
    <row r="1429" spans="1:13" ht="15.75" customHeight="1" x14ac:dyDescent="0.2">
      <c r="A1429">
        <v>2555521</v>
      </c>
      <c r="B1429" s="9">
        <v>44089</v>
      </c>
      <c r="C1429" s="9">
        <v>44090</v>
      </c>
      <c r="D1429" t="s">
        <v>0</v>
      </c>
      <c r="E1429" t="s">
        <v>14</v>
      </c>
      <c r="F1429">
        <v>14</v>
      </c>
      <c r="G1429" t="s">
        <v>1</v>
      </c>
      <c r="H1429">
        <v>67</v>
      </c>
      <c r="I1429" t="s">
        <v>2</v>
      </c>
      <c r="K1429" s="1" t="s">
        <v>121</v>
      </c>
      <c r="M1429" t="s">
        <v>4</v>
      </c>
    </row>
    <row r="1430" spans="1:13" ht="15.75" customHeight="1" x14ac:dyDescent="0.2">
      <c r="A1430">
        <v>2556456</v>
      </c>
      <c r="B1430" s="9">
        <v>44085</v>
      </c>
      <c r="C1430" s="9">
        <v>44086</v>
      </c>
      <c r="D1430" t="s">
        <v>0</v>
      </c>
      <c r="E1430" t="s">
        <v>10</v>
      </c>
      <c r="F1430">
        <v>5</v>
      </c>
      <c r="G1430" t="s">
        <v>1</v>
      </c>
      <c r="H1430">
        <v>59</v>
      </c>
      <c r="I1430" t="s">
        <v>2</v>
      </c>
      <c r="K1430" s="1" t="s">
        <v>121</v>
      </c>
      <c r="M1430" t="s">
        <v>9</v>
      </c>
    </row>
    <row r="1431" spans="1:13" ht="15.75" customHeight="1" x14ac:dyDescent="0.2">
      <c r="A1431">
        <v>2557819</v>
      </c>
      <c r="B1431" s="9">
        <v>44085</v>
      </c>
      <c r="C1431" s="9">
        <v>44085</v>
      </c>
      <c r="D1431" t="s">
        <v>0</v>
      </c>
      <c r="E1431" t="s">
        <v>42</v>
      </c>
      <c r="F1431">
        <v>11</v>
      </c>
      <c r="G1431" t="s">
        <v>1</v>
      </c>
      <c r="H1431">
        <v>28</v>
      </c>
      <c r="I1431" t="s">
        <v>2</v>
      </c>
      <c r="K1431" s="1" t="s">
        <v>121</v>
      </c>
      <c r="M1431" t="s">
        <v>9</v>
      </c>
    </row>
    <row r="1432" spans="1:13" ht="15.75" customHeight="1" x14ac:dyDescent="0.2">
      <c r="A1432">
        <v>2581398</v>
      </c>
      <c r="B1432" s="9">
        <v>44087</v>
      </c>
      <c r="C1432" s="9">
        <v>44087</v>
      </c>
      <c r="D1432" t="s">
        <v>0</v>
      </c>
      <c r="E1432" t="s">
        <v>40</v>
      </c>
      <c r="F1432">
        <v>1</v>
      </c>
      <c r="G1432" t="s">
        <v>1</v>
      </c>
      <c r="H1432">
        <v>43</v>
      </c>
      <c r="I1432" t="s">
        <v>2</v>
      </c>
      <c r="K1432" s="1" t="s">
        <v>121</v>
      </c>
      <c r="M1432" t="s">
        <v>20</v>
      </c>
    </row>
    <row r="1433" spans="1:13" ht="15.75" customHeight="1" x14ac:dyDescent="0.2">
      <c r="A1433">
        <v>2583496</v>
      </c>
      <c r="B1433" s="9">
        <v>44087</v>
      </c>
      <c r="C1433" s="9">
        <v>44087</v>
      </c>
      <c r="D1433" t="s">
        <v>5</v>
      </c>
      <c r="E1433" t="s">
        <v>74</v>
      </c>
      <c r="F1433"/>
      <c r="G1433" t="s">
        <v>1</v>
      </c>
      <c r="H1433">
        <v>57</v>
      </c>
      <c r="I1433" t="s">
        <v>2</v>
      </c>
      <c r="K1433" s="1" t="s">
        <v>121</v>
      </c>
      <c r="M1433" t="s">
        <v>9</v>
      </c>
    </row>
    <row r="1434" spans="1:13" ht="15.75" customHeight="1" x14ac:dyDescent="0.2">
      <c r="A1434">
        <v>2586855</v>
      </c>
      <c r="B1434" s="9">
        <v>44087</v>
      </c>
      <c r="C1434" s="9">
        <v>44088</v>
      </c>
      <c r="D1434" t="s">
        <v>0</v>
      </c>
      <c r="E1434" t="s">
        <v>7</v>
      </c>
      <c r="F1434">
        <v>3</v>
      </c>
      <c r="G1434" t="s">
        <v>1</v>
      </c>
      <c r="H1434">
        <v>20</v>
      </c>
      <c r="I1434" t="s">
        <v>2</v>
      </c>
      <c r="K1434" s="1" t="s">
        <v>121</v>
      </c>
      <c r="M1434" t="s">
        <v>20</v>
      </c>
    </row>
    <row r="1435" spans="1:13" ht="15.75" customHeight="1" x14ac:dyDescent="0.2">
      <c r="A1435">
        <v>2595733</v>
      </c>
      <c r="B1435" s="9">
        <v>44087</v>
      </c>
      <c r="C1435" s="9">
        <v>44087</v>
      </c>
      <c r="D1435" t="s">
        <v>0</v>
      </c>
      <c r="E1435" t="s">
        <v>28</v>
      </c>
      <c r="F1435">
        <v>11</v>
      </c>
      <c r="G1435" t="s">
        <v>1</v>
      </c>
      <c r="H1435">
        <v>19</v>
      </c>
      <c r="I1435" t="s">
        <v>2</v>
      </c>
      <c r="K1435" s="1" t="s">
        <v>121</v>
      </c>
      <c r="M1435" t="s">
        <v>4</v>
      </c>
    </row>
    <row r="1436" spans="1:13" ht="15.75" customHeight="1" x14ac:dyDescent="0.2">
      <c r="A1436">
        <v>2606772</v>
      </c>
      <c r="B1436" s="9">
        <v>44088</v>
      </c>
      <c r="C1436" s="9">
        <v>44088</v>
      </c>
      <c r="D1436" t="s">
        <v>0</v>
      </c>
      <c r="E1436" t="s">
        <v>14</v>
      </c>
      <c r="F1436">
        <v>14</v>
      </c>
      <c r="G1436" t="s">
        <v>1</v>
      </c>
      <c r="H1436">
        <v>53</v>
      </c>
      <c r="I1436" t="s">
        <v>2</v>
      </c>
      <c r="K1436" s="1" t="s">
        <v>121</v>
      </c>
      <c r="M1436" t="s">
        <v>9</v>
      </c>
    </row>
    <row r="1437" spans="1:13" ht="15.75" customHeight="1" x14ac:dyDescent="0.2">
      <c r="A1437">
        <v>2606919</v>
      </c>
      <c r="B1437" s="9">
        <v>44088</v>
      </c>
      <c r="C1437" s="9">
        <v>44088</v>
      </c>
      <c r="D1437" t="s">
        <v>0</v>
      </c>
      <c r="E1437" t="s">
        <v>38</v>
      </c>
      <c r="F1437">
        <v>12</v>
      </c>
      <c r="G1437" t="s">
        <v>6</v>
      </c>
      <c r="H1437">
        <v>22</v>
      </c>
      <c r="I1437" t="s">
        <v>2</v>
      </c>
      <c r="K1437" s="1" t="s">
        <v>121</v>
      </c>
      <c r="M1437" t="s">
        <v>20</v>
      </c>
    </row>
    <row r="1438" spans="1:13" ht="15.75" customHeight="1" x14ac:dyDescent="0.2">
      <c r="A1438">
        <v>2611504</v>
      </c>
      <c r="B1438" s="9">
        <v>44088</v>
      </c>
      <c r="C1438" s="9">
        <v>44088</v>
      </c>
      <c r="D1438" t="s">
        <v>5</v>
      </c>
      <c r="E1438" t="s">
        <v>75</v>
      </c>
      <c r="F1438"/>
      <c r="G1438" t="s">
        <v>1</v>
      </c>
      <c r="H1438">
        <v>43</v>
      </c>
      <c r="I1438" t="s">
        <v>2</v>
      </c>
      <c r="K1438" s="1" t="s">
        <v>121</v>
      </c>
      <c r="M1438" t="s">
        <v>22</v>
      </c>
    </row>
    <row r="1439" spans="1:13" ht="15.75" customHeight="1" x14ac:dyDescent="0.2">
      <c r="A1439">
        <v>2612426</v>
      </c>
      <c r="B1439" s="9">
        <v>44088</v>
      </c>
      <c r="C1439" s="9">
        <v>44088</v>
      </c>
      <c r="D1439" t="s">
        <v>0</v>
      </c>
      <c r="E1439" t="s">
        <v>38</v>
      </c>
      <c r="F1439">
        <v>12</v>
      </c>
      <c r="G1439" t="s">
        <v>6</v>
      </c>
      <c r="H1439">
        <v>58</v>
      </c>
      <c r="I1439" t="s">
        <v>2</v>
      </c>
      <c r="K1439" s="1" t="s">
        <v>121</v>
      </c>
      <c r="M1439" t="s">
        <v>20</v>
      </c>
    </row>
    <row r="1440" spans="1:13" ht="15.75" customHeight="1" x14ac:dyDescent="0.2">
      <c r="A1440">
        <v>2612489</v>
      </c>
      <c r="B1440" s="9">
        <v>44088</v>
      </c>
      <c r="C1440" s="9">
        <v>44088</v>
      </c>
      <c r="D1440" t="s">
        <v>0</v>
      </c>
      <c r="E1440" t="s">
        <v>17</v>
      </c>
      <c r="F1440">
        <v>1</v>
      </c>
      <c r="G1440" t="s">
        <v>6</v>
      </c>
      <c r="H1440">
        <v>21</v>
      </c>
      <c r="I1440" t="s">
        <v>2</v>
      </c>
      <c r="K1440" s="1" t="s">
        <v>121</v>
      </c>
      <c r="M1440" t="s">
        <v>9</v>
      </c>
    </row>
    <row r="1441" spans="1:13" ht="15.75" customHeight="1" x14ac:dyDescent="0.2">
      <c r="A1441">
        <v>2612599</v>
      </c>
      <c r="B1441" s="9">
        <v>44088</v>
      </c>
      <c r="C1441" s="9">
        <v>44088</v>
      </c>
      <c r="D1441" t="s">
        <v>0</v>
      </c>
      <c r="E1441" t="s">
        <v>42</v>
      </c>
      <c r="F1441">
        <v>11</v>
      </c>
      <c r="G1441" t="s">
        <v>6</v>
      </c>
      <c r="H1441">
        <v>41</v>
      </c>
      <c r="I1441" t="s">
        <v>2</v>
      </c>
      <c r="K1441" s="1" t="s">
        <v>121</v>
      </c>
      <c r="M1441" t="s">
        <v>4</v>
      </c>
    </row>
    <row r="1442" spans="1:13" ht="15.75" customHeight="1" x14ac:dyDescent="0.2">
      <c r="A1442">
        <v>2612618</v>
      </c>
      <c r="B1442" s="9">
        <v>44088</v>
      </c>
      <c r="C1442" s="9">
        <v>44088</v>
      </c>
      <c r="D1442" t="s">
        <v>0</v>
      </c>
      <c r="E1442" t="s">
        <v>41</v>
      </c>
      <c r="F1442">
        <v>4</v>
      </c>
      <c r="G1442" t="s">
        <v>1</v>
      </c>
      <c r="H1442">
        <v>62</v>
      </c>
      <c r="I1442" t="s">
        <v>2</v>
      </c>
      <c r="K1442" s="1" t="s">
        <v>121</v>
      </c>
      <c r="M1442" t="s">
        <v>9</v>
      </c>
    </row>
    <row r="1443" spans="1:13" ht="15.75" customHeight="1" x14ac:dyDescent="0.2">
      <c r="A1443">
        <v>2613036</v>
      </c>
      <c r="B1443" s="9">
        <v>44088</v>
      </c>
      <c r="C1443" s="9">
        <v>44088</v>
      </c>
      <c r="D1443" t="s">
        <v>0</v>
      </c>
      <c r="E1443" t="s">
        <v>10</v>
      </c>
      <c r="F1443">
        <v>5</v>
      </c>
      <c r="G1443" t="s">
        <v>6</v>
      </c>
      <c r="H1443">
        <v>37</v>
      </c>
      <c r="I1443" t="s">
        <v>2</v>
      </c>
      <c r="K1443" s="1" t="s">
        <v>121</v>
      </c>
      <c r="M1443" t="s">
        <v>20</v>
      </c>
    </row>
    <row r="1444" spans="1:13" ht="15.75" customHeight="1" x14ac:dyDescent="0.2">
      <c r="A1444">
        <v>2613960</v>
      </c>
      <c r="B1444" s="9">
        <v>44088</v>
      </c>
      <c r="C1444" s="9">
        <v>44088</v>
      </c>
      <c r="D1444" t="s">
        <v>0</v>
      </c>
      <c r="E1444" t="s">
        <v>39</v>
      </c>
      <c r="F1444">
        <v>8</v>
      </c>
      <c r="G1444" t="s">
        <v>1</v>
      </c>
      <c r="H1444">
        <v>30</v>
      </c>
      <c r="I1444" t="s">
        <v>2</v>
      </c>
      <c r="K1444" s="1" t="s">
        <v>121</v>
      </c>
      <c r="M1444" t="s">
        <v>4</v>
      </c>
    </row>
    <row r="1445" spans="1:13" ht="15.75" customHeight="1" x14ac:dyDescent="0.2">
      <c r="A1445">
        <v>2618611</v>
      </c>
      <c r="B1445" s="9">
        <v>44088</v>
      </c>
      <c r="C1445" s="9">
        <v>44089</v>
      </c>
      <c r="D1445" t="s">
        <v>0</v>
      </c>
      <c r="E1445" t="s">
        <v>25</v>
      </c>
      <c r="F1445">
        <v>13</v>
      </c>
      <c r="G1445" t="s">
        <v>6</v>
      </c>
      <c r="H1445">
        <v>74</v>
      </c>
      <c r="I1445" t="s">
        <v>2</v>
      </c>
      <c r="K1445" s="1" t="s">
        <v>121</v>
      </c>
      <c r="M1445" t="s">
        <v>4</v>
      </c>
    </row>
    <row r="1446" spans="1:13" ht="15.75" customHeight="1" x14ac:dyDescent="0.2">
      <c r="A1446">
        <v>2618925</v>
      </c>
      <c r="B1446" s="9">
        <v>44089</v>
      </c>
      <c r="C1446" s="9">
        <v>44089</v>
      </c>
      <c r="D1446" t="s">
        <v>0</v>
      </c>
      <c r="E1446" t="s">
        <v>45</v>
      </c>
      <c r="F1446">
        <v>4</v>
      </c>
      <c r="G1446" t="s">
        <v>6</v>
      </c>
      <c r="H1446">
        <v>22</v>
      </c>
      <c r="I1446" t="s">
        <v>2</v>
      </c>
      <c r="K1446" s="1" t="s">
        <v>121</v>
      </c>
      <c r="M1446" t="s">
        <v>4</v>
      </c>
    </row>
    <row r="1447" spans="1:13" ht="15.75" customHeight="1" x14ac:dyDescent="0.2">
      <c r="A1447">
        <v>2619059</v>
      </c>
      <c r="B1447" s="9">
        <v>44089</v>
      </c>
      <c r="C1447" s="9">
        <v>44089</v>
      </c>
      <c r="D1447" t="s">
        <v>0</v>
      </c>
      <c r="E1447" t="s">
        <v>27</v>
      </c>
      <c r="F1447">
        <v>4</v>
      </c>
      <c r="G1447" t="s">
        <v>6</v>
      </c>
      <c r="H1447">
        <v>44</v>
      </c>
      <c r="I1447" t="s">
        <v>2</v>
      </c>
      <c r="K1447" s="1" t="s">
        <v>121</v>
      </c>
      <c r="M1447" t="s">
        <v>4</v>
      </c>
    </row>
    <row r="1448" spans="1:13" ht="15.75" customHeight="1" x14ac:dyDescent="0.2">
      <c r="A1448">
        <v>2619081</v>
      </c>
      <c r="B1448" s="9">
        <v>44089</v>
      </c>
      <c r="C1448" s="9">
        <v>44089</v>
      </c>
      <c r="D1448" t="s">
        <v>0</v>
      </c>
      <c r="E1448" t="s">
        <v>45</v>
      </c>
      <c r="F1448">
        <v>4</v>
      </c>
      <c r="G1448" t="s">
        <v>1</v>
      </c>
      <c r="H1448">
        <v>46</v>
      </c>
      <c r="I1448" t="s">
        <v>2</v>
      </c>
      <c r="K1448" s="1" t="s">
        <v>121</v>
      </c>
      <c r="M1448" t="s">
        <v>9</v>
      </c>
    </row>
    <row r="1449" spans="1:13" ht="15.75" customHeight="1" x14ac:dyDescent="0.2">
      <c r="A1449">
        <v>2619083</v>
      </c>
      <c r="B1449" s="9">
        <v>44089</v>
      </c>
      <c r="C1449" s="9">
        <v>44089</v>
      </c>
      <c r="D1449" t="s">
        <v>0</v>
      </c>
      <c r="E1449" t="s">
        <v>45</v>
      </c>
      <c r="F1449">
        <v>4</v>
      </c>
      <c r="G1449" t="s">
        <v>1</v>
      </c>
      <c r="H1449">
        <v>12</v>
      </c>
      <c r="I1449" t="s">
        <v>2</v>
      </c>
      <c r="K1449" s="1" t="s">
        <v>121</v>
      </c>
      <c r="M1449" t="s">
        <v>9</v>
      </c>
    </row>
    <row r="1450" spans="1:13" ht="15.75" customHeight="1" x14ac:dyDescent="0.2">
      <c r="A1450">
        <v>2619136</v>
      </c>
      <c r="B1450" s="9">
        <v>44089</v>
      </c>
      <c r="C1450" s="9">
        <v>44089</v>
      </c>
      <c r="D1450" t="s">
        <v>5</v>
      </c>
      <c r="E1450" t="s">
        <v>76</v>
      </c>
      <c r="F1450"/>
      <c r="G1450" t="s">
        <v>6</v>
      </c>
      <c r="H1450">
        <v>24</v>
      </c>
      <c r="I1450" t="s">
        <v>2</v>
      </c>
      <c r="K1450" s="1" t="s">
        <v>121</v>
      </c>
      <c r="M1450" t="s">
        <v>9</v>
      </c>
    </row>
    <row r="1451" spans="1:13" ht="15.75" customHeight="1" x14ac:dyDescent="0.2">
      <c r="A1451">
        <v>2669808</v>
      </c>
      <c r="B1451" s="9">
        <v>44089</v>
      </c>
      <c r="C1451" s="9">
        <v>44090</v>
      </c>
      <c r="D1451" t="s">
        <v>0</v>
      </c>
      <c r="E1451" t="s">
        <v>24</v>
      </c>
      <c r="F1451">
        <v>9</v>
      </c>
      <c r="G1451" t="s">
        <v>1</v>
      </c>
      <c r="H1451">
        <v>42</v>
      </c>
      <c r="I1451" t="s">
        <v>2</v>
      </c>
      <c r="K1451" s="1" t="s">
        <v>121</v>
      </c>
      <c r="M1451" t="s">
        <v>4</v>
      </c>
    </row>
    <row r="1452" spans="1:13" ht="15.75" customHeight="1" x14ac:dyDescent="0.2">
      <c r="A1452">
        <v>2669809</v>
      </c>
      <c r="B1452" s="9">
        <v>44090</v>
      </c>
      <c r="C1452" s="9">
        <v>44090</v>
      </c>
      <c r="D1452" t="s">
        <v>0</v>
      </c>
      <c r="E1452" t="s">
        <v>17</v>
      </c>
      <c r="F1452">
        <v>1</v>
      </c>
      <c r="G1452" t="s">
        <v>1</v>
      </c>
      <c r="H1452">
        <v>60</v>
      </c>
      <c r="I1452" t="s">
        <v>2</v>
      </c>
      <c r="K1452" s="1" t="s">
        <v>121</v>
      </c>
      <c r="M1452" t="s">
        <v>4</v>
      </c>
    </row>
    <row r="1453" spans="1:13" ht="15.75" customHeight="1" x14ac:dyDescent="0.2">
      <c r="A1453">
        <v>2669837</v>
      </c>
      <c r="B1453" s="9">
        <v>44090</v>
      </c>
      <c r="C1453" s="9">
        <v>44090</v>
      </c>
      <c r="D1453" t="s">
        <v>5</v>
      </c>
      <c r="E1453" s="5" t="s">
        <v>95</v>
      </c>
      <c r="F1453"/>
      <c r="G1453" t="s">
        <v>6</v>
      </c>
      <c r="H1453">
        <v>47</v>
      </c>
      <c r="I1453" t="s">
        <v>2</v>
      </c>
      <c r="K1453" s="1" t="s">
        <v>121</v>
      </c>
      <c r="M1453" t="s">
        <v>4</v>
      </c>
    </row>
    <row r="1454" spans="1:13" ht="15.75" customHeight="1" x14ac:dyDescent="0.2">
      <c r="A1454">
        <v>2669845</v>
      </c>
      <c r="B1454" s="9">
        <v>44089</v>
      </c>
      <c r="C1454" s="9">
        <v>44090</v>
      </c>
      <c r="D1454" t="s">
        <v>0</v>
      </c>
      <c r="E1454" t="s">
        <v>24</v>
      </c>
      <c r="F1454">
        <v>9</v>
      </c>
      <c r="G1454" t="s">
        <v>6</v>
      </c>
      <c r="H1454">
        <v>12</v>
      </c>
      <c r="I1454" t="s">
        <v>2</v>
      </c>
      <c r="K1454" s="1" t="s">
        <v>121</v>
      </c>
      <c r="M1454" t="s">
        <v>4</v>
      </c>
    </row>
    <row r="1455" spans="1:13" ht="15.75" customHeight="1" x14ac:dyDescent="0.2">
      <c r="A1455">
        <v>2669913</v>
      </c>
      <c r="B1455" s="9">
        <v>44090</v>
      </c>
      <c r="C1455" s="9">
        <v>44090</v>
      </c>
      <c r="D1455" t="s">
        <v>0</v>
      </c>
      <c r="E1455" t="s">
        <v>11</v>
      </c>
      <c r="F1455">
        <v>6</v>
      </c>
      <c r="G1455" t="s">
        <v>1</v>
      </c>
      <c r="H1455">
        <v>37</v>
      </c>
      <c r="I1455" t="s">
        <v>2</v>
      </c>
      <c r="K1455" s="1" t="s">
        <v>121</v>
      </c>
      <c r="M1455" t="s">
        <v>4</v>
      </c>
    </row>
    <row r="1456" spans="1:13" ht="15.75" customHeight="1" x14ac:dyDescent="0.2">
      <c r="A1456">
        <v>2669956</v>
      </c>
      <c r="B1456" s="9">
        <v>44089</v>
      </c>
      <c r="C1456" s="9">
        <v>44090</v>
      </c>
      <c r="D1456" t="s">
        <v>0</v>
      </c>
      <c r="E1456" t="s">
        <v>24</v>
      </c>
      <c r="F1456">
        <v>9</v>
      </c>
      <c r="G1456" t="s">
        <v>6</v>
      </c>
      <c r="H1456">
        <v>19</v>
      </c>
      <c r="I1456" t="s">
        <v>2</v>
      </c>
      <c r="K1456" s="1" t="s">
        <v>121</v>
      </c>
      <c r="M1456" t="s">
        <v>4</v>
      </c>
    </row>
    <row r="1457" spans="1:13" ht="15.75" customHeight="1" x14ac:dyDescent="0.2">
      <c r="A1457">
        <v>2669959</v>
      </c>
      <c r="B1457" s="9">
        <v>44090</v>
      </c>
      <c r="C1457" s="9">
        <v>44090</v>
      </c>
      <c r="D1457" t="s">
        <v>5</v>
      </c>
      <c r="E1457" s="1" t="s">
        <v>90</v>
      </c>
      <c r="F1457"/>
      <c r="G1457" t="s">
        <v>1</v>
      </c>
      <c r="H1457">
        <v>44</v>
      </c>
      <c r="I1457" t="s">
        <v>2</v>
      </c>
      <c r="K1457" s="1" t="s">
        <v>121</v>
      </c>
      <c r="M1457" t="s">
        <v>9</v>
      </c>
    </row>
    <row r="1458" spans="1:13" ht="15.75" customHeight="1" x14ac:dyDescent="0.2">
      <c r="A1458">
        <v>2670007</v>
      </c>
      <c r="B1458" s="9">
        <v>44090</v>
      </c>
      <c r="C1458" s="9">
        <v>44090</v>
      </c>
      <c r="D1458" t="s">
        <v>5</v>
      </c>
      <c r="E1458" t="s">
        <v>91</v>
      </c>
      <c r="F1458"/>
      <c r="G1458" t="s">
        <v>1</v>
      </c>
      <c r="H1458">
        <v>32</v>
      </c>
      <c r="I1458" t="s">
        <v>2</v>
      </c>
      <c r="K1458" s="1" t="s">
        <v>121</v>
      </c>
      <c r="M1458" t="s">
        <v>20</v>
      </c>
    </row>
    <row r="1459" spans="1:13" ht="15.75" customHeight="1" x14ac:dyDescent="0.2">
      <c r="A1459">
        <v>2670015</v>
      </c>
      <c r="B1459" s="9">
        <v>44090</v>
      </c>
      <c r="C1459" s="9">
        <v>44090</v>
      </c>
      <c r="D1459" t="s">
        <v>5</v>
      </c>
      <c r="E1459" t="s">
        <v>75</v>
      </c>
      <c r="F1459"/>
      <c r="G1459" t="s">
        <v>6</v>
      </c>
      <c r="H1459">
        <v>47</v>
      </c>
      <c r="I1459" t="s">
        <v>2</v>
      </c>
      <c r="K1459" s="1" t="s">
        <v>121</v>
      </c>
      <c r="M1459" t="s">
        <v>9</v>
      </c>
    </row>
    <row r="1460" spans="1:13" ht="15.75" customHeight="1" x14ac:dyDescent="0.2">
      <c r="A1460">
        <v>2670016</v>
      </c>
      <c r="B1460" s="9">
        <v>44089</v>
      </c>
      <c r="C1460" s="9">
        <v>44090</v>
      </c>
      <c r="D1460" t="s">
        <v>0</v>
      </c>
      <c r="E1460" t="s">
        <v>24</v>
      </c>
      <c r="F1460">
        <v>9</v>
      </c>
      <c r="G1460" t="s">
        <v>6</v>
      </c>
      <c r="H1460">
        <v>47</v>
      </c>
      <c r="I1460" t="s">
        <v>2</v>
      </c>
      <c r="K1460" s="1" t="s">
        <v>121</v>
      </c>
      <c r="M1460" t="s">
        <v>4</v>
      </c>
    </row>
    <row r="1461" spans="1:13" ht="15.75" customHeight="1" x14ac:dyDescent="0.2">
      <c r="A1461">
        <v>2670021</v>
      </c>
      <c r="B1461" s="9">
        <v>44090</v>
      </c>
      <c r="C1461" s="9">
        <v>44090</v>
      </c>
      <c r="D1461" t="s">
        <v>5</v>
      </c>
      <c r="E1461" s="5" t="s">
        <v>95</v>
      </c>
      <c r="F1461"/>
      <c r="G1461" t="s">
        <v>1</v>
      </c>
      <c r="H1461">
        <v>47</v>
      </c>
      <c r="I1461" t="s">
        <v>2</v>
      </c>
      <c r="K1461" s="1" t="s">
        <v>121</v>
      </c>
      <c r="M1461" t="s">
        <v>9</v>
      </c>
    </row>
    <row r="1462" spans="1:13" ht="15.75" customHeight="1" x14ac:dyDescent="0.2">
      <c r="A1462">
        <v>2670063</v>
      </c>
      <c r="B1462" s="9">
        <v>44090</v>
      </c>
      <c r="C1462" s="9">
        <v>44090</v>
      </c>
      <c r="D1462" t="s">
        <v>5</v>
      </c>
      <c r="E1462" t="s">
        <v>75</v>
      </c>
      <c r="F1462"/>
      <c r="G1462" t="s">
        <v>6</v>
      </c>
      <c r="H1462">
        <v>30</v>
      </c>
      <c r="I1462" t="s">
        <v>2</v>
      </c>
      <c r="K1462" s="1" t="s">
        <v>121</v>
      </c>
      <c r="M1462" t="s">
        <v>20</v>
      </c>
    </row>
    <row r="1463" spans="1:13" ht="15.75" customHeight="1" x14ac:dyDescent="0.2">
      <c r="A1463">
        <v>2670246</v>
      </c>
      <c r="B1463" s="9">
        <v>44090</v>
      </c>
      <c r="C1463" s="9">
        <v>44090</v>
      </c>
      <c r="D1463" t="s">
        <v>5</v>
      </c>
      <c r="E1463" t="s">
        <v>76</v>
      </c>
      <c r="F1463"/>
      <c r="G1463" t="s">
        <v>6</v>
      </c>
      <c r="H1463">
        <v>42</v>
      </c>
      <c r="I1463" t="s">
        <v>2</v>
      </c>
      <c r="K1463" s="1" t="s">
        <v>121</v>
      </c>
      <c r="M1463" t="s">
        <v>4</v>
      </c>
    </row>
    <row r="1464" spans="1:13" ht="15.75" customHeight="1" x14ac:dyDescent="0.2">
      <c r="A1464">
        <v>2670267</v>
      </c>
      <c r="B1464" s="9">
        <v>44090</v>
      </c>
      <c r="C1464" s="9">
        <v>44090</v>
      </c>
      <c r="D1464" t="s">
        <v>0</v>
      </c>
      <c r="E1464" t="s">
        <v>13</v>
      </c>
      <c r="F1464">
        <v>2</v>
      </c>
      <c r="G1464" t="s">
        <v>6</v>
      </c>
      <c r="H1464">
        <v>21</v>
      </c>
      <c r="I1464" t="s">
        <v>2</v>
      </c>
      <c r="K1464" s="1" t="s">
        <v>121</v>
      </c>
      <c r="M1464" t="s">
        <v>9</v>
      </c>
    </row>
    <row r="1465" spans="1:13" ht="15.75" customHeight="1" x14ac:dyDescent="0.2">
      <c r="A1465">
        <v>2670269</v>
      </c>
      <c r="B1465" s="9">
        <v>44090</v>
      </c>
      <c r="C1465" s="9">
        <v>44090</v>
      </c>
      <c r="D1465" t="s">
        <v>5</v>
      </c>
      <c r="E1465" s="1" t="s">
        <v>90</v>
      </c>
      <c r="F1465"/>
      <c r="G1465" t="s">
        <v>1</v>
      </c>
      <c r="H1465">
        <v>61</v>
      </c>
      <c r="I1465" t="s">
        <v>2</v>
      </c>
      <c r="K1465" s="1" t="s">
        <v>121</v>
      </c>
      <c r="M1465" t="s">
        <v>9</v>
      </c>
    </row>
    <row r="1466" spans="1:13" ht="15.75" customHeight="1" x14ac:dyDescent="0.2">
      <c r="A1466">
        <v>2670364</v>
      </c>
      <c r="B1466" s="9">
        <v>44090</v>
      </c>
      <c r="C1466" s="9">
        <v>44090</v>
      </c>
      <c r="D1466" t="s">
        <v>0</v>
      </c>
      <c r="E1466" t="s">
        <v>13</v>
      </c>
      <c r="F1466">
        <v>2</v>
      </c>
      <c r="G1466" t="s">
        <v>1</v>
      </c>
      <c r="H1466">
        <v>29</v>
      </c>
      <c r="I1466" t="s">
        <v>2</v>
      </c>
      <c r="K1466" s="1" t="s">
        <v>121</v>
      </c>
      <c r="M1466" t="s">
        <v>22</v>
      </c>
    </row>
    <row r="1467" spans="1:13" ht="15.75" customHeight="1" x14ac:dyDescent="0.2">
      <c r="A1467">
        <v>2670604</v>
      </c>
      <c r="B1467" s="9">
        <v>44091</v>
      </c>
      <c r="C1467" s="9">
        <v>44091</v>
      </c>
      <c r="D1467" t="s">
        <v>0</v>
      </c>
      <c r="E1467" t="s">
        <v>14</v>
      </c>
      <c r="F1467">
        <v>14</v>
      </c>
      <c r="G1467" t="s">
        <v>1</v>
      </c>
      <c r="H1467">
        <v>21</v>
      </c>
      <c r="I1467" t="s">
        <v>2</v>
      </c>
      <c r="K1467" s="1" t="s">
        <v>121</v>
      </c>
      <c r="M1467" t="s">
        <v>4</v>
      </c>
    </row>
    <row r="1468" spans="1:13" ht="15.75" customHeight="1" x14ac:dyDescent="0.2">
      <c r="A1468">
        <v>2670700</v>
      </c>
      <c r="B1468" s="9">
        <v>44090</v>
      </c>
      <c r="C1468" s="9">
        <v>44090</v>
      </c>
      <c r="D1468" t="s">
        <v>5</v>
      </c>
      <c r="E1468" s="5" t="s">
        <v>76</v>
      </c>
      <c r="F1468"/>
      <c r="G1468" t="s">
        <v>1</v>
      </c>
      <c r="H1468">
        <v>24</v>
      </c>
      <c r="I1468" t="s">
        <v>2</v>
      </c>
      <c r="K1468" s="1" t="s">
        <v>121</v>
      </c>
      <c r="M1468" t="s">
        <v>22</v>
      </c>
    </row>
    <row r="1469" spans="1:13" ht="15.75" customHeight="1" x14ac:dyDescent="0.2">
      <c r="A1469">
        <v>2670847</v>
      </c>
      <c r="B1469" s="9">
        <v>44090</v>
      </c>
      <c r="C1469" s="9">
        <v>44090</v>
      </c>
      <c r="D1469" t="s">
        <v>5</v>
      </c>
      <c r="E1469" t="s">
        <v>75</v>
      </c>
      <c r="F1469"/>
      <c r="G1469" t="s">
        <v>6</v>
      </c>
      <c r="H1469">
        <v>27</v>
      </c>
      <c r="I1469" t="s">
        <v>2</v>
      </c>
      <c r="K1469" s="1" t="s">
        <v>121</v>
      </c>
      <c r="M1469" t="s">
        <v>4</v>
      </c>
    </row>
    <row r="1470" spans="1:13" ht="15.75" customHeight="1" x14ac:dyDescent="0.2">
      <c r="A1470">
        <v>2670936</v>
      </c>
      <c r="B1470" s="9">
        <v>44090</v>
      </c>
      <c r="C1470" s="9">
        <v>44090</v>
      </c>
      <c r="D1470" t="s">
        <v>5</v>
      </c>
      <c r="E1470" t="s">
        <v>76</v>
      </c>
      <c r="F1470"/>
      <c r="G1470" t="s">
        <v>6</v>
      </c>
      <c r="H1470">
        <v>29</v>
      </c>
      <c r="I1470" t="s">
        <v>2</v>
      </c>
      <c r="K1470" s="1" t="s">
        <v>121</v>
      </c>
      <c r="M1470" t="s">
        <v>4</v>
      </c>
    </row>
    <row r="1471" spans="1:13" ht="15.75" customHeight="1" x14ac:dyDescent="0.2">
      <c r="A1471">
        <v>2671778</v>
      </c>
      <c r="B1471" s="9">
        <v>44090</v>
      </c>
      <c r="C1471" s="9">
        <v>44090</v>
      </c>
      <c r="D1471" t="s">
        <v>5</v>
      </c>
      <c r="E1471" s="1" t="s">
        <v>90</v>
      </c>
      <c r="F1471"/>
      <c r="G1471" t="s">
        <v>6</v>
      </c>
      <c r="H1471">
        <v>24</v>
      </c>
      <c r="I1471" t="s">
        <v>2</v>
      </c>
      <c r="K1471" s="1" t="s">
        <v>121</v>
      </c>
      <c r="M1471" t="s">
        <v>4</v>
      </c>
    </row>
    <row r="1472" spans="1:13" ht="15.75" customHeight="1" x14ac:dyDescent="0.2">
      <c r="A1472">
        <v>2671811</v>
      </c>
      <c r="B1472" s="9">
        <v>44090</v>
      </c>
      <c r="C1472" s="9">
        <v>44091</v>
      </c>
      <c r="D1472" t="s">
        <v>0</v>
      </c>
      <c r="E1472" t="s">
        <v>14</v>
      </c>
      <c r="F1472">
        <v>14</v>
      </c>
      <c r="G1472" t="s">
        <v>6</v>
      </c>
      <c r="H1472">
        <v>48</v>
      </c>
      <c r="I1472" t="s">
        <v>2</v>
      </c>
      <c r="K1472" s="1" t="s">
        <v>121</v>
      </c>
      <c r="M1472" t="s">
        <v>9</v>
      </c>
    </row>
    <row r="1473" spans="1:13" ht="15.75" customHeight="1" x14ac:dyDescent="0.2">
      <c r="A1473">
        <v>2671962</v>
      </c>
      <c r="B1473" s="9">
        <v>44090</v>
      </c>
      <c r="C1473" s="9">
        <v>44090</v>
      </c>
      <c r="D1473" t="s">
        <v>5</v>
      </c>
      <c r="E1473" t="s">
        <v>74</v>
      </c>
      <c r="F1473"/>
      <c r="G1473" t="s">
        <v>6</v>
      </c>
      <c r="H1473">
        <v>32</v>
      </c>
      <c r="I1473" t="s">
        <v>2</v>
      </c>
      <c r="K1473" s="1" t="s">
        <v>121</v>
      </c>
      <c r="M1473" t="s">
        <v>9</v>
      </c>
    </row>
    <row r="1474" spans="1:13" ht="15.75" customHeight="1" x14ac:dyDescent="0.2">
      <c r="A1474">
        <v>2672086</v>
      </c>
      <c r="B1474" s="9">
        <v>44090</v>
      </c>
      <c r="C1474" s="9">
        <v>44090</v>
      </c>
      <c r="D1474" t="s">
        <v>0</v>
      </c>
      <c r="E1474" t="s">
        <v>18</v>
      </c>
      <c r="F1474">
        <v>8</v>
      </c>
      <c r="G1474" t="s">
        <v>6</v>
      </c>
      <c r="H1474">
        <v>2</v>
      </c>
      <c r="I1474" t="s">
        <v>2</v>
      </c>
      <c r="K1474" s="1" t="s">
        <v>121</v>
      </c>
      <c r="M1474" t="s">
        <v>4</v>
      </c>
    </row>
    <row r="1475" spans="1:13" ht="15.75" customHeight="1" x14ac:dyDescent="0.2">
      <c r="A1475">
        <v>2674431</v>
      </c>
      <c r="B1475" s="9">
        <v>44090</v>
      </c>
      <c r="C1475" s="9">
        <v>44090</v>
      </c>
      <c r="D1475" t="s">
        <v>0</v>
      </c>
      <c r="E1475" t="s">
        <v>31</v>
      </c>
      <c r="F1475">
        <v>10</v>
      </c>
      <c r="G1475" t="s">
        <v>6</v>
      </c>
      <c r="H1475">
        <v>56</v>
      </c>
      <c r="I1475" t="s">
        <v>2</v>
      </c>
      <c r="K1475" s="1" t="s">
        <v>121</v>
      </c>
      <c r="M1475" t="s">
        <v>4</v>
      </c>
    </row>
    <row r="1476" spans="1:13" ht="15.75" customHeight="1" x14ac:dyDescent="0.2">
      <c r="A1476">
        <v>2676477</v>
      </c>
      <c r="B1476" s="9">
        <v>44090</v>
      </c>
      <c r="C1476" s="9">
        <v>44090</v>
      </c>
      <c r="D1476" t="s">
        <v>5</v>
      </c>
      <c r="E1476" s="5" t="s">
        <v>95</v>
      </c>
      <c r="F1476"/>
      <c r="G1476" t="s">
        <v>1</v>
      </c>
      <c r="H1476">
        <v>47</v>
      </c>
      <c r="I1476" t="s">
        <v>2</v>
      </c>
      <c r="K1476" s="1" t="s">
        <v>121</v>
      </c>
      <c r="M1476" t="s">
        <v>4</v>
      </c>
    </row>
    <row r="1477" spans="1:13" ht="15.75" customHeight="1" x14ac:dyDescent="0.2">
      <c r="A1477">
        <v>2678601</v>
      </c>
      <c r="B1477" s="9">
        <v>44090</v>
      </c>
      <c r="C1477" s="9">
        <v>44091</v>
      </c>
      <c r="D1477" t="s">
        <v>0</v>
      </c>
      <c r="E1477" t="s">
        <v>39</v>
      </c>
      <c r="F1477">
        <v>8</v>
      </c>
      <c r="G1477" t="s">
        <v>6</v>
      </c>
      <c r="H1477">
        <v>45</v>
      </c>
      <c r="I1477" t="s">
        <v>2</v>
      </c>
      <c r="K1477" s="1" t="s">
        <v>121</v>
      </c>
      <c r="M1477" t="s">
        <v>4</v>
      </c>
    </row>
    <row r="1478" spans="1:13" ht="15.75" customHeight="1" x14ac:dyDescent="0.2">
      <c r="A1478">
        <v>2682378</v>
      </c>
      <c r="B1478" s="9">
        <v>44089</v>
      </c>
      <c r="C1478" s="9">
        <v>44089</v>
      </c>
      <c r="D1478" t="s">
        <v>0</v>
      </c>
      <c r="E1478" t="s">
        <v>7</v>
      </c>
      <c r="F1478">
        <v>3</v>
      </c>
      <c r="G1478" t="s">
        <v>1</v>
      </c>
      <c r="H1478">
        <v>73</v>
      </c>
      <c r="I1478" t="s">
        <v>2</v>
      </c>
      <c r="K1478" s="1" t="s">
        <v>121</v>
      </c>
      <c r="M1478" t="s">
        <v>4</v>
      </c>
    </row>
    <row r="1479" spans="1:13" ht="15.75" customHeight="1" x14ac:dyDescent="0.2">
      <c r="A1479">
        <v>2682920</v>
      </c>
      <c r="B1479" s="9">
        <v>44090</v>
      </c>
      <c r="C1479" s="9">
        <v>44093</v>
      </c>
      <c r="D1479" t="s">
        <v>5</v>
      </c>
      <c r="E1479" t="s">
        <v>76</v>
      </c>
      <c r="F1479"/>
      <c r="G1479" t="s">
        <v>1</v>
      </c>
      <c r="H1479">
        <v>75</v>
      </c>
      <c r="I1479" t="s">
        <v>2</v>
      </c>
      <c r="K1479" s="1" t="s">
        <v>121</v>
      </c>
      <c r="M1479" t="s">
        <v>4</v>
      </c>
    </row>
    <row r="1480" spans="1:13" ht="15.75" customHeight="1" x14ac:dyDescent="0.2">
      <c r="A1480">
        <v>2684321</v>
      </c>
      <c r="B1480" s="9">
        <v>44091</v>
      </c>
      <c r="C1480" s="9">
        <v>44091</v>
      </c>
      <c r="D1480" t="s">
        <v>5</v>
      </c>
      <c r="E1480" s="1" t="s">
        <v>90</v>
      </c>
      <c r="F1480"/>
      <c r="G1480" t="s">
        <v>6</v>
      </c>
      <c r="H1480">
        <v>71</v>
      </c>
      <c r="I1480" t="s">
        <v>2</v>
      </c>
      <c r="K1480" s="1" t="s">
        <v>121</v>
      </c>
      <c r="M1480" t="s">
        <v>4</v>
      </c>
    </row>
    <row r="1481" spans="1:13" ht="15.75" customHeight="1" x14ac:dyDescent="0.2">
      <c r="A1481">
        <v>2688199</v>
      </c>
      <c r="B1481" s="9">
        <v>44090</v>
      </c>
      <c r="C1481" s="9">
        <v>44090</v>
      </c>
      <c r="D1481" t="s">
        <v>0</v>
      </c>
      <c r="E1481" t="s">
        <v>55</v>
      </c>
      <c r="F1481">
        <v>15</v>
      </c>
      <c r="G1481" t="s">
        <v>1</v>
      </c>
      <c r="H1481">
        <v>23</v>
      </c>
      <c r="I1481" t="s">
        <v>2</v>
      </c>
      <c r="K1481" s="1" t="s">
        <v>121</v>
      </c>
      <c r="M1481" t="s">
        <v>4</v>
      </c>
    </row>
    <row r="1482" spans="1:13" ht="15.75" customHeight="1" x14ac:dyDescent="0.2">
      <c r="A1482">
        <v>2688259</v>
      </c>
      <c r="B1482" s="9">
        <v>44091</v>
      </c>
      <c r="C1482" s="9">
        <v>44091</v>
      </c>
      <c r="D1482" t="s">
        <v>5</v>
      </c>
      <c r="E1482" t="s">
        <v>91</v>
      </c>
      <c r="F1482"/>
      <c r="G1482" t="s">
        <v>6</v>
      </c>
      <c r="H1482">
        <v>34</v>
      </c>
      <c r="I1482" t="s">
        <v>2</v>
      </c>
      <c r="K1482" s="1" t="s">
        <v>121</v>
      </c>
      <c r="M1482" t="s">
        <v>20</v>
      </c>
    </row>
    <row r="1483" spans="1:13" ht="15.75" customHeight="1" x14ac:dyDescent="0.2">
      <c r="A1483">
        <v>2690141</v>
      </c>
      <c r="B1483" s="9">
        <v>44091</v>
      </c>
      <c r="C1483" s="9">
        <v>44091</v>
      </c>
      <c r="D1483" t="s">
        <v>0</v>
      </c>
      <c r="E1483" t="s">
        <v>7</v>
      </c>
      <c r="F1483">
        <v>3</v>
      </c>
      <c r="G1483" t="s">
        <v>6</v>
      </c>
      <c r="H1483">
        <v>47</v>
      </c>
      <c r="I1483" t="s">
        <v>2</v>
      </c>
      <c r="K1483" s="1" t="s">
        <v>121</v>
      </c>
      <c r="M1483" t="s">
        <v>9</v>
      </c>
    </row>
    <row r="1484" spans="1:13" ht="15.75" customHeight="1" x14ac:dyDescent="0.2">
      <c r="A1484">
        <v>2691834</v>
      </c>
      <c r="B1484" s="9">
        <v>44090</v>
      </c>
      <c r="C1484" s="9">
        <v>44090</v>
      </c>
      <c r="D1484" t="s">
        <v>0</v>
      </c>
      <c r="E1484" t="s">
        <v>41</v>
      </c>
      <c r="F1484">
        <v>4</v>
      </c>
      <c r="G1484" t="s">
        <v>1</v>
      </c>
      <c r="H1484">
        <v>32</v>
      </c>
      <c r="I1484" t="s">
        <v>2</v>
      </c>
      <c r="K1484" s="1" t="s">
        <v>121</v>
      </c>
      <c r="M1484" t="s">
        <v>4</v>
      </c>
    </row>
    <row r="1485" spans="1:13" ht="15.75" customHeight="1" x14ac:dyDescent="0.2">
      <c r="A1485">
        <v>2693079</v>
      </c>
      <c r="B1485" s="9">
        <v>44090</v>
      </c>
      <c r="C1485" s="9">
        <v>44090</v>
      </c>
      <c r="D1485" t="s">
        <v>5</v>
      </c>
      <c r="E1485" t="s">
        <v>76</v>
      </c>
      <c r="F1485"/>
      <c r="G1485" t="s">
        <v>6</v>
      </c>
      <c r="H1485">
        <v>37</v>
      </c>
      <c r="I1485" t="s">
        <v>2</v>
      </c>
      <c r="K1485" s="1" t="s">
        <v>121</v>
      </c>
      <c r="M1485" t="s">
        <v>4</v>
      </c>
    </row>
    <row r="1486" spans="1:13" ht="15.75" customHeight="1" x14ac:dyDescent="0.2">
      <c r="A1486">
        <v>2082834</v>
      </c>
      <c r="B1486" s="9">
        <v>44067</v>
      </c>
      <c r="C1486" s="9">
        <v>44068</v>
      </c>
      <c r="D1486" t="s">
        <v>0</v>
      </c>
      <c r="E1486" t="s">
        <v>36</v>
      </c>
      <c r="F1486">
        <v>1</v>
      </c>
      <c r="G1486" t="s">
        <v>6</v>
      </c>
      <c r="H1486">
        <v>63</v>
      </c>
      <c r="I1486" t="s">
        <v>2</v>
      </c>
      <c r="K1486" s="1" t="s">
        <v>121</v>
      </c>
      <c r="M1486" t="s">
        <v>4</v>
      </c>
    </row>
    <row r="1487" spans="1:13" ht="15.75" customHeight="1" x14ac:dyDescent="0.2">
      <c r="A1487">
        <v>2109881</v>
      </c>
      <c r="B1487" s="9">
        <v>44068</v>
      </c>
      <c r="C1487" s="9">
        <v>44068</v>
      </c>
      <c r="D1487" t="s">
        <v>5</v>
      </c>
      <c r="E1487" s="5" t="s">
        <v>95</v>
      </c>
      <c r="F1487"/>
      <c r="G1487" t="s">
        <v>1</v>
      </c>
      <c r="H1487">
        <v>64</v>
      </c>
      <c r="I1487" t="s">
        <v>2</v>
      </c>
      <c r="K1487" s="1" t="s">
        <v>121</v>
      </c>
      <c r="M1487" t="s">
        <v>20</v>
      </c>
    </row>
    <row r="1488" spans="1:13" ht="15.75" customHeight="1" x14ac:dyDescent="0.2">
      <c r="A1488">
        <v>2251710</v>
      </c>
      <c r="B1488" s="9">
        <v>44074</v>
      </c>
      <c r="C1488" s="9">
        <v>44075</v>
      </c>
      <c r="D1488" t="s">
        <v>0</v>
      </c>
      <c r="E1488" t="s">
        <v>35</v>
      </c>
      <c r="F1488">
        <v>3</v>
      </c>
      <c r="G1488" t="s">
        <v>1</v>
      </c>
      <c r="H1488">
        <v>39</v>
      </c>
      <c r="I1488" t="s">
        <v>2</v>
      </c>
      <c r="K1488" s="1" t="s">
        <v>121</v>
      </c>
      <c r="M1488" t="s">
        <v>22</v>
      </c>
    </row>
    <row r="1489" spans="1:13" ht="15.75" customHeight="1" x14ac:dyDescent="0.2">
      <c r="A1489">
        <v>2258312</v>
      </c>
      <c r="B1489" s="9">
        <v>44075</v>
      </c>
      <c r="C1489" s="9">
        <v>44075</v>
      </c>
      <c r="D1489" t="s">
        <v>5</v>
      </c>
      <c r="E1489" t="s">
        <v>75</v>
      </c>
      <c r="F1489"/>
      <c r="G1489" t="s">
        <v>6</v>
      </c>
      <c r="H1489">
        <v>27</v>
      </c>
      <c r="I1489" t="s">
        <v>2</v>
      </c>
      <c r="K1489" s="1" t="s">
        <v>121</v>
      </c>
      <c r="M1489" t="s">
        <v>4</v>
      </c>
    </row>
    <row r="1490" spans="1:13" ht="15.75" customHeight="1" x14ac:dyDescent="0.2">
      <c r="A1490">
        <v>2266814</v>
      </c>
      <c r="B1490" s="9">
        <v>44075</v>
      </c>
      <c r="C1490" s="9">
        <v>44075</v>
      </c>
      <c r="D1490" t="s">
        <v>0</v>
      </c>
      <c r="E1490" t="s">
        <v>35</v>
      </c>
      <c r="F1490">
        <v>3</v>
      </c>
      <c r="G1490" t="s">
        <v>1</v>
      </c>
      <c r="H1490">
        <v>77</v>
      </c>
      <c r="I1490" t="s">
        <v>2</v>
      </c>
      <c r="K1490" s="1" t="s">
        <v>121</v>
      </c>
      <c r="M1490" t="s">
        <v>20</v>
      </c>
    </row>
    <row r="1491" spans="1:13" ht="15.75" customHeight="1" x14ac:dyDescent="0.2">
      <c r="A1491">
        <v>2272061</v>
      </c>
      <c r="B1491" s="9">
        <v>44074</v>
      </c>
      <c r="C1491" s="9">
        <v>44075</v>
      </c>
      <c r="D1491" t="s">
        <v>5</v>
      </c>
      <c r="E1491" s="1" t="s">
        <v>90</v>
      </c>
      <c r="F1491"/>
      <c r="G1491" t="s">
        <v>1</v>
      </c>
      <c r="H1491">
        <v>56</v>
      </c>
      <c r="I1491" t="s">
        <v>2</v>
      </c>
      <c r="K1491" s="1" t="s">
        <v>121</v>
      </c>
      <c r="M1491" t="s">
        <v>4</v>
      </c>
    </row>
    <row r="1492" spans="1:13" ht="15.75" customHeight="1" x14ac:dyDescent="0.2">
      <c r="A1492">
        <v>2285562</v>
      </c>
      <c r="B1492" s="9">
        <v>44076</v>
      </c>
      <c r="C1492" s="9">
        <v>44077</v>
      </c>
      <c r="D1492" t="s">
        <v>5</v>
      </c>
      <c r="E1492" s="5" t="s">
        <v>95</v>
      </c>
      <c r="F1492"/>
      <c r="G1492" t="s">
        <v>1</v>
      </c>
      <c r="H1492">
        <v>30</v>
      </c>
      <c r="I1492" t="s">
        <v>2</v>
      </c>
      <c r="K1492" s="1" t="s">
        <v>121</v>
      </c>
      <c r="M1492" t="s">
        <v>4</v>
      </c>
    </row>
    <row r="1493" spans="1:13" ht="15.75" customHeight="1" x14ac:dyDescent="0.2">
      <c r="A1493">
        <v>2311842</v>
      </c>
      <c r="B1493" s="9">
        <v>44075</v>
      </c>
      <c r="C1493" s="9">
        <v>44075</v>
      </c>
      <c r="D1493" t="s">
        <v>0</v>
      </c>
      <c r="E1493" t="s">
        <v>40</v>
      </c>
      <c r="F1493">
        <v>1</v>
      </c>
      <c r="G1493" t="s">
        <v>6</v>
      </c>
      <c r="H1493">
        <v>20</v>
      </c>
      <c r="I1493" t="s">
        <v>2</v>
      </c>
      <c r="K1493" s="1" t="s">
        <v>121</v>
      </c>
      <c r="M1493" t="s">
        <v>4</v>
      </c>
    </row>
    <row r="1494" spans="1:13" ht="15.75" customHeight="1" x14ac:dyDescent="0.2">
      <c r="A1494">
        <v>2337133</v>
      </c>
      <c r="B1494" s="9">
        <v>44077</v>
      </c>
      <c r="C1494" s="9">
        <v>44077</v>
      </c>
      <c r="D1494" t="s">
        <v>0</v>
      </c>
      <c r="E1494" t="s">
        <v>24</v>
      </c>
      <c r="F1494">
        <v>9</v>
      </c>
      <c r="G1494" t="s">
        <v>6</v>
      </c>
      <c r="H1494">
        <v>30</v>
      </c>
      <c r="I1494" t="s">
        <v>2</v>
      </c>
      <c r="K1494" s="1" t="s">
        <v>121</v>
      </c>
      <c r="M1494" t="s">
        <v>20</v>
      </c>
    </row>
    <row r="1495" spans="1:13" ht="15.75" customHeight="1" x14ac:dyDescent="0.2">
      <c r="A1495">
        <v>2348360</v>
      </c>
      <c r="B1495" s="9">
        <v>44087</v>
      </c>
      <c r="C1495" s="9">
        <v>44087</v>
      </c>
      <c r="D1495" t="s">
        <v>5</v>
      </c>
      <c r="E1495" t="s">
        <v>74</v>
      </c>
      <c r="F1495"/>
      <c r="G1495" t="s">
        <v>1</v>
      </c>
      <c r="H1495">
        <v>40</v>
      </c>
      <c r="I1495" t="s">
        <v>2</v>
      </c>
      <c r="K1495" s="1" t="s">
        <v>121</v>
      </c>
      <c r="M1495" t="s">
        <v>22</v>
      </c>
    </row>
    <row r="1496" spans="1:13" ht="15.75" customHeight="1" x14ac:dyDescent="0.2">
      <c r="A1496">
        <v>2368958</v>
      </c>
      <c r="B1496" s="9">
        <v>44078</v>
      </c>
      <c r="C1496" s="9">
        <v>44079</v>
      </c>
      <c r="D1496" t="s">
        <v>5</v>
      </c>
      <c r="E1496" t="s">
        <v>75</v>
      </c>
      <c r="F1496"/>
      <c r="G1496" t="s">
        <v>1</v>
      </c>
      <c r="H1496">
        <v>88</v>
      </c>
      <c r="I1496" t="s">
        <v>2</v>
      </c>
      <c r="K1496" s="1" t="s">
        <v>121</v>
      </c>
      <c r="M1496" t="s">
        <v>9</v>
      </c>
    </row>
    <row r="1497" spans="1:13" ht="15.75" customHeight="1" x14ac:dyDescent="0.2">
      <c r="A1497">
        <v>2369026</v>
      </c>
      <c r="B1497" s="9">
        <v>44079</v>
      </c>
      <c r="C1497" s="9">
        <v>44079</v>
      </c>
      <c r="D1497" t="s">
        <v>5</v>
      </c>
      <c r="E1497" s="1" t="s">
        <v>90</v>
      </c>
      <c r="F1497"/>
      <c r="G1497" t="s">
        <v>1</v>
      </c>
      <c r="H1497">
        <v>28</v>
      </c>
      <c r="I1497" t="s">
        <v>2</v>
      </c>
      <c r="K1497" s="1" t="s">
        <v>121</v>
      </c>
      <c r="M1497" t="s">
        <v>4</v>
      </c>
    </row>
    <row r="1498" spans="1:13" ht="15.75" customHeight="1" x14ac:dyDescent="0.2">
      <c r="A1498">
        <v>2381899</v>
      </c>
      <c r="B1498" s="9">
        <v>44079</v>
      </c>
      <c r="C1498" s="9">
        <v>44080</v>
      </c>
      <c r="D1498" t="s">
        <v>5</v>
      </c>
      <c r="E1498" t="s">
        <v>75</v>
      </c>
      <c r="F1498"/>
      <c r="G1498" t="s">
        <v>6</v>
      </c>
      <c r="H1498">
        <v>65</v>
      </c>
      <c r="I1498" t="s">
        <v>2</v>
      </c>
      <c r="K1498" s="1" t="s">
        <v>121</v>
      </c>
      <c r="M1498" t="s">
        <v>9</v>
      </c>
    </row>
    <row r="1499" spans="1:13" ht="15.75" customHeight="1" x14ac:dyDescent="0.2">
      <c r="A1499">
        <v>2384813</v>
      </c>
      <c r="B1499" s="9">
        <v>44079</v>
      </c>
      <c r="C1499" s="9">
        <v>44080</v>
      </c>
      <c r="D1499" t="s">
        <v>5</v>
      </c>
      <c r="E1499" t="s">
        <v>75</v>
      </c>
      <c r="F1499"/>
      <c r="G1499" t="s">
        <v>6</v>
      </c>
      <c r="H1499">
        <v>74</v>
      </c>
      <c r="I1499" t="s">
        <v>2</v>
      </c>
      <c r="K1499" s="1" t="s">
        <v>121</v>
      </c>
      <c r="M1499" t="s">
        <v>4</v>
      </c>
    </row>
    <row r="1500" spans="1:13" ht="15.75" customHeight="1" x14ac:dyDescent="0.2">
      <c r="A1500">
        <v>2388151</v>
      </c>
      <c r="B1500" s="9">
        <v>44079</v>
      </c>
      <c r="C1500" s="9">
        <v>44079</v>
      </c>
      <c r="D1500" t="s">
        <v>5</v>
      </c>
      <c r="E1500" t="s">
        <v>91</v>
      </c>
      <c r="F1500"/>
      <c r="G1500" t="s">
        <v>6</v>
      </c>
      <c r="H1500">
        <v>53</v>
      </c>
      <c r="I1500" t="s">
        <v>2</v>
      </c>
      <c r="K1500" s="1" t="s">
        <v>121</v>
      </c>
      <c r="M1500" t="s">
        <v>20</v>
      </c>
    </row>
    <row r="1501" spans="1:13" ht="15.75" customHeight="1" x14ac:dyDescent="0.2">
      <c r="A1501">
        <v>2398274</v>
      </c>
      <c r="B1501" s="9">
        <v>44080</v>
      </c>
      <c r="C1501" s="9">
        <v>44081</v>
      </c>
      <c r="D1501" t="s">
        <v>5</v>
      </c>
      <c r="E1501" s="5" t="s">
        <v>76</v>
      </c>
      <c r="F1501"/>
      <c r="G1501" t="s">
        <v>1</v>
      </c>
      <c r="H1501">
        <v>84</v>
      </c>
      <c r="I1501" t="s">
        <v>2</v>
      </c>
      <c r="K1501" s="1" t="s">
        <v>121</v>
      </c>
      <c r="M1501" t="s">
        <v>9</v>
      </c>
    </row>
    <row r="1502" spans="1:13" ht="15.75" customHeight="1" x14ac:dyDescent="0.2">
      <c r="A1502">
        <v>2404264</v>
      </c>
      <c r="B1502" s="9">
        <v>44079</v>
      </c>
      <c r="C1502" s="9">
        <v>44082</v>
      </c>
      <c r="D1502" t="s">
        <v>0</v>
      </c>
      <c r="E1502" t="s">
        <v>37</v>
      </c>
      <c r="F1502">
        <v>13</v>
      </c>
      <c r="G1502" t="s">
        <v>6</v>
      </c>
      <c r="H1502">
        <v>68</v>
      </c>
      <c r="I1502" t="s">
        <v>2</v>
      </c>
      <c r="K1502" s="1" t="s">
        <v>121</v>
      </c>
      <c r="M1502" t="s">
        <v>9</v>
      </c>
    </row>
    <row r="1503" spans="1:13" ht="15.75" customHeight="1" x14ac:dyDescent="0.2">
      <c r="A1503">
        <v>2406134</v>
      </c>
      <c r="B1503" s="9">
        <v>44081</v>
      </c>
      <c r="C1503" s="9">
        <v>44081</v>
      </c>
      <c r="D1503" t="s">
        <v>0</v>
      </c>
      <c r="E1503" t="s">
        <v>8</v>
      </c>
      <c r="F1503">
        <v>7</v>
      </c>
      <c r="G1503" t="s">
        <v>6</v>
      </c>
      <c r="H1503">
        <v>51</v>
      </c>
      <c r="I1503" t="s">
        <v>2</v>
      </c>
      <c r="K1503" s="1" t="s">
        <v>121</v>
      </c>
      <c r="M1503" t="s">
        <v>4</v>
      </c>
    </row>
    <row r="1504" spans="1:13" ht="15.75" customHeight="1" x14ac:dyDescent="0.2">
      <c r="A1504">
        <v>2418052</v>
      </c>
      <c r="B1504" s="9">
        <v>44081</v>
      </c>
      <c r="C1504" s="9">
        <v>44081</v>
      </c>
      <c r="D1504" t="s">
        <v>5</v>
      </c>
      <c r="E1504" t="s">
        <v>76</v>
      </c>
      <c r="F1504"/>
      <c r="G1504" t="s">
        <v>1</v>
      </c>
      <c r="H1504">
        <v>41</v>
      </c>
      <c r="I1504" t="s">
        <v>2</v>
      </c>
      <c r="K1504" s="1" t="s">
        <v>121</v>
      </c>
      <c r="M1504" t="s">
        <v>9</v>
      </c>
    </row>
    <row r="1505" spans="1:13" ht="15.75" customHeight="1" x14ac:dyDescent="0.2">
      <c r="A1505">
        <v>2421359</v>
      </c>
      <c r="B1505" s="9">
        <v>44081</v>
      </c>
      <c r="C1505" s="9">
        <v>44082</v>
      </c>
      <c r="D1505" t="s">
        <v>5</v>
      </c>
      <c r="E1505" s="5" t="s">
        <v>95</v>
      </c>
      <c r="F1505"/>
      <c r="G1505" t="s">
        <v>6</v>
      </c>
      <c r="H1505">
        <v>24</v>
      </c>
      <c r="I1505" t="s">
        <v>2</v>
      </c>
      <c r="K1505" s="1" t="s">
        <v>121</v>
      </c>
      <c r="M1505" t="s">
        <v>4</v>
      </c>
    </row>
    <row r="1506" spans="1:13" ht="15.75" customHeight="1" x14ac:dyDescent="0.2">
      <c r="A1506">
        <v>2428600</v>
      </c>
      <c r="B1506" s="9">
        <v>44081</v>
      </c>
      <c r="C1506" s="9">
        <v>44082</v>
      </c>
      <c r="D1506" t="s">
        <v>5</v>
      </c>
      <c r="E1506" t="s">
        <v>74</v>
      </c>
      <c r="F1506"/>
      <c r="G1506" t="s">
        <v>6</v>
      </c>
      <c r="H1506">
        <v>61</v>
      </c>
      <c r="I1506" t="s">
        <v>2</v>
      </c>
      <c r="K1506" s="1" t="s">
        <v>121</v>
      </c>
      <c r="M1506" t="s">
        <v>4</v>
      </c>
    </row>
    <row r="1507" spans="1:13" ht="15.75" customHeight="1" x14ac:dyDescent="0.2">
      <c r="A1507">
        <v>2428741</v>
      </c>
      <c r="B1507" s="9">
        <v>44078</v>
      </c>
      <c r="C1507" s="9">
        <v>44079</v>
      </c>
      <c r="D1507" t="s">
        <v>0</v>
      </c>
      <c r="E1507" t="s">
        <v>17</v>
      </c>
      <c r="F1507">
        <v>1</v>
      </c>
      <c r="G1507" t="s">
        <v>6</v>
      </c>
      <c r="H1507">
        <v>52</v>
      </c>
      <c r="I1507" t="s">
        <v>2</v>
      </c>
      <c r="K1507" s="1" t="s">
        <v>121</v>
      </c>
      <c r="M1507" t="s">
        <v>4</v>
      </c>
    </row>
    <row r="1508" spans="1:13" ht="15.75" customHeight="1" x14ac:dyDescent="0.2">
      <c r="A1508">
        <v>2437698</v>
      </c>
      <c r="B1508" s="9">
        <v>44079</v>
      </c>
      <c r="C1508" s="9">
        <v>44080</v>
      </c>
      <c r="D1508" t="s">
        <v>5</v>
      </c>
      <c r="E1508" s="5" t="s">
        <v>95</v>
      </c>
      <c r="F1508"/>
      <c r="G1508" t="s">
        <v>6</v>
      </c>
      <c r="H1508">
        <v>50</v>
      </c>
      <c r="I1508" t="s">
        <v>2</v>
      </c>
      <c r="K1508" s="1" t="s">
        <v>121</v>
      </c>
      <c r="M1508" t="s">
        <v>4</v>
      </c>
    </row>
    <row r="1509" spans="1:13" ht="15.75" customHeight="1" x14ac:dyDescent="0.2">
      <c r="A1509">
        <v>2439585</v>
      </c>
      <c r="B1509" s="9">
        <v>44081</v>
      </c>
      <c r="C1509" s="9">
        <v>44081</v>
      </c>
      <c r="D1509" t="s">
        <v>0</v>
      </c>
      <c r="E1509" t="s">
        <v>8</v>
      </c>
      <c r="F1509">
        <v>7</v>
      </c>
      <c r="G1509" t="s">
        <v>1</v>
      </c>
      <c r="H1509">
        <v>39</v>
      </c>
      <c r="I1509" t="s">
        <v>2</v>
      </c>
      <c r="K1509" s="1" t="s">
        <v>121</v>
      </c>
      <c r="M1509" t="s">
        <v>4</v>
      </c>
    </row>
    <row r="1510" spans="1:13" ht="15.75" customHeight="1" x14ac:dyDescent="0.2">
      <c r="A1510">
        <v>2440165</v>
      </c>
      <c r="B1510" s="9">
        <v>44081</v>
      </c>
      <c r="C1510" s="9">
        <v>44082</v>
      </c>
      <c r="D1510" t="s">
        <v>0</v>
      </c>
      <c r="E1510" t="s">
        <v>14</v>
      </c>
      <c r="F1510">
        <v>14</v>
      </c>
      <c r="G1510" t="s">
        <v>1</v>
      </c>
      <c r="H1510">
        <v>92</v>
      </c>
      <c r="I1510" t="s">
        <v>2</v>
      </c>
      <c r="K1510" s="1" t="s">
        <v>121</v>
      </c>
      <c r="M1510" t="s">
        <v>20</v>
      </c>
    </row>
    <row r="1511" spans="1:13" ht="15.75" customHeight="1" x14ac:dyDescent="0.2">
      <c r="A1511">
        <v>2461073</v>
      </c>
      <c r="B1511" s="9">
        <v>44082</v>
      </c>
      <c r="C1511" s="9">
        <v>44082</v>
      </c>
      <c r="D1511" t="s">
        <v>5</v>
      </c>
      <c r="E1511" t="s">
        <v>75</v>
      </c>
      <c r="F1511"/>
      <c r="G1511" t="s">
        <v>1</v>
      </c>
      <c r="H1511">
        <v>47</v>
      </c>
      <c r="I1511" t="s">
        <v>2</v>
      </c>
      <c r="K1511" s="1" t="s">
        <v>121</v>
      </c>
      <c r="M1511" t="s">
        <v>4</v>
      </c>
    </row>
    <row r="1512" spans="1:13" ht="15.75" customHeight="1" x14ac:dyDescent="0.2">
      <c r="A1512">
        <v>2461536</v>
      </c>
      <c r="B1512" s="9">
        <v>44082</v>
      </c>
      <c r="C1512" s="9">
        <v>44082</v>
      </c>
      <c r="D1512" t="s">
        <v>5</v>
      </c>
      <c r="E1512" t="s">
        <v>75</v>
      </c>
      <c r="F1512"/>
      <c r="G1512" t="s">
        <v>6</v>
      </c>
      <c r="H1512">
        <v>60</v>
      </c>
      <c r="I1512" t="s">
        <v>2</v>
      </c>
      <c r="K1512" s="1" t="s">
        <v>121</v>
      </c>
      <c r="M1512" t="s">
        <v>9</v>
      </c>
    </row>
    <row r="1513" spans="1:13" ht="15.75" customHeight="1" x14ac:dyDescent="0.2">
      <c r="A1513">
        <v>2462361</v>
      </c>
      <c r="B1513" s="9">
        <v>44101</v>
      </c>
      <c r="C1513" s="9">
        <v>44102</v>
      </c>
      <c r="D1513" t="s">
        <v>0</v>
      </c>
      <c r="E1513" t="s">
        <v>28</v>
      </c>
      <c r="F1513">
        <v>11</v>
      </c>
      <c r="G1513" t="s">
        <v>6</v>
      </c>
      <c r="H1513">
        <v>80</v>
      </c>
      <c r="I1513" t="s">
        <v>2</v>
      </c>
      <c r="K1513" s="1" t="s">
        <v>121</v>
      </c>
      <c r="M1513" t="s">
        <v>4</v>
      </c>
    </row>
    <row r="1514" spans="1:13" ht="15.75" customHeight="1" x14ac:dyDescent="0.2">
      <c r="A1514">
        <v>2464335</v>
      </c>
      <c r="B1514" s="9">
        <v>44082</v>
      </c>
      <c r="C1514" s="9">
        <v>44083</v>
      </c>
      <c r="D1514" t="s">
        <v>5</v>
      </c>
      <c r="E1514" t="s">
        <v>91</v>
      </c>
      <c r="F1514"/>
      <c r="G1514" t="s">
        <v>6</v>
      </c>
      <c r="H1514">
        <v>53</v>
      </c>
      <c r="I1514" t="s">
        <v>2</v>
      </c>
      <c r="K1514" s="1" t="s">
        <v>121</v>
      </c>
      <c r="M1514" t="s">
        <v>20</v>
      </c>
    </row>
    <row r="1515" spans="1:13" ht="15.75" customHeight="1" x14ac:dyDescent="0.2">
      <c r="A1515">
        <v>2466875</v>
      </c>
      <c r="B1515" s="9">
        <v>44082</v>
      </c>
      <c r="C1515" s="9">
        <v>44083</v>
      </c>
      <c r="D1515" t="s">
        <v>5</v>
      </c>
      <c r="E1515" s="5" t="s">
        <v>95</v>
      </c>
      <c r="F1515"/>
      <c r="G1515" t="s">
        <v>6</v>
      </c>
      <c r="H1515">
        <v>42</v>
      </c>
      <c r="I1515" t="s">
        <v>2</v>
      </c>
      <c r="K1515" s="1" t="s">
        <v>121</v>
      </c>
      <c r="M1515" t="s">
        <v>20</v>
      </c>
    </row>
    <row r="1516" spans="1:13" ht="15.75" customHeight="1" x14ac:dyDescent="0.2">
      <c r="A1516">
        <v>2467289</v>
      </c>
      <c r="B1516" s="9">
        <v>44082</v>
      </c>
      <c r="C1516" s="9">
        <v>44084</v>
      </c>
      <c r="D1516" t="s">
        <v>0</v>
      </c>
      <c r="E1516" t="s">
        <v>14</v>
      </c>
      <c r="F1516">
        <v>14</v>
      </c>
      <c r="G1516" t="s">
        <v>6</v>
      </c>
      <c r="H1516">
        <v>33</v>
      </c>
      <c r="I1516" t="s">
        <v>2</v>
      </c>
      <c r="K1516" s="1" t="s">
        <v>121</v>
      </c>
      <c r="M1516" t="s">
        <v>4</v>
      </c>
    </row>
    <row r="1517" spans="1:13" ht="15.75" customHeight="1" x14ac:dyDescent="0.2">
      <c r="A1517">
        <v>2471658</v>
      </c>
      <c r="B1517" s="9">
        <v>44078</v>
      </c>
      <c r="C1517" s="9">
        <v>44079</v>
      </c>
      <c r="D1517" t="s">
        <v>5</v>
      </c>
      <c r="E1517" t="s">
        <v>82</v>
      </c>
      <c r="F1517"/>
      <c r="G1517" t="s">
        <v>6</v>
      </c>
      <c r="H1517">
        <v>36</v>
      </c>
      <c r="I1517" t="s">
        <v>2</v>
      </c>
      <c r="K1517" s="1" t="s">
        <v>121</v>
      </c>
      <c r="M1517" t="s">
        <v>4</v>
      </c>
    </row>
    <row r="1518" spans="1:13" ht="15.75" customHeight="1" x14ac:dyDescent="0.2">
      <c r="A1518">
        <v>2472942</v>
      </c>
      <c r="B1518" s="9">
        <v>44082</v>
      </c>
      <c r="C1518" s="9">
        <v>44084</v>
      </c>
      <c r="D1518" t="s">
        <v>0</v>
      </c>
      <c r="E1518" t="s">
        <v>31</v>
      </c>
      <c r="F1518">
        <v>10</v>
      </c>
      <c r="G1518" t="s">
        <v>1</v>
      </c>
      <c r="H1518">
        <v>52</v>
      </c>
      <c r="I1518" t="s">
        <v>2</v>
      </c>
      <c r="K1518" s="1" t="s">
        <v>121</v>
      </c>
      <c r="M1518" t="s">
        <v>22</v>
      </c>
    </row>
    <row r="1519" spans="1:13" ht="15.75" customHeight="1" x14ac:dyDescent="0.2">
      <c r="A1519">
        <v>2476440</v>
      </c>
      <c r="B1519" s="9">
        <v>44083</v>
      </c>
      <c r="C1519" s="9">
        <v>44083</v>
      </c>
      <c r="D1519" t="s">
        <v>0</v>
      </c>
      <c r="E1519" t="s">
        <v>41</v>
      </c>
      <c r="F1519">
        <v>4</v>
      </c>
      <c r="G1519" t="s">
        <v>6</v>
      </c>
      <c r="H1519">
        <v>64</v>
      </c>
      <c r="I1519" t="s">
        <v>2</v>
      </c>
      <c r="K1519" s="1" t="s">
        <v>121</v>
      </c>
      <c r="M1519" t="s">
        <v>4</v>
      </c>
    </row>
    <row r="1520" spans="1:13" ht="15.75" customHeight="1" x14ac:dyDescent="0.2">
      <c r="A1520">
        <v>2480158</v>
      </c>
      <c r="B1520" s="9">
        <v>44082</v>
      </c>
      <c r="C1520" s="9">
        <v>44082</v>
      </c>
      <c r="D1520" t="s">
        <v>0</v>
      </c>
      <c r="E1520" t="s">
        <v>17</v>
      </c>
      <c r="F1520">
        <v>1</v>
      </c>
      <c r="G1520" t="s">
        <v>6</v>
      </c>
      <c r="H1520">
        <v>62</v>
      </c>
      <c r="I1520" t="s">
        <v>2</v>
      </c>
      <c r="K1520" s="1" t="s">
        <v>121</v>
      </c>
      <c r="M1520" t="s">
        <v>22</v>
      </c>
    </row>
    <row r="1521" spans="1:13" ht="15.75" customHeight="1" x14ac:dyDescent="0.2">
      <c r="A1521">
        <v>2482853</v>
      </c>
      <c r="B1521" s="9">
        <v>44083</v>
      </c>
      <c r="C1521" s="9">
        <v>44083</v>
      </c>
      <c r="D1521" t="s">
        <v>0</v>
      </c>
      <c r="E1521" t="s">
        <v>41</v>
      </c>
      <c r="F1521">
        <v>4</v>
      </c>
      <c r="G1521" t="s">
        <v>1</v>
      </c>
      <c r="H1521">
        <v>40</v>
      </c>
      <c r="I1521" t="s">
        <v>2</v>
      </c>
      <c r="K1521" s="1" t="s">
        <v>121</v>
      </c>
      <c r="M1521" t="s">
        <v>4</v>
      </c>
    </row>
    <row r="1522" spans="1:13" ht="15.75" customHeight="1" x14ac:dyDescent="0.2">
      <c r="A1522">
        <v>2483121</v>
      </c>
      <c r="B1522" s="9">
        <v>44083</v>
      </c>
      <c r="C1522" s="9">
        <v>44083</v>
      </c>
      <c r="D1522" t="s">
        <v>0</v>
      </c>
      <c r="E1522" t="s">
        <v>7</v>
      </c>
      <c r="F1522">
        <v>3</v>
      </c>
      <c r="G1522" t="s">
        <v>1</v>
      </c>
      <c r="H1522">
        <v>41</v>
      </c>
      <c r="I1522" t="s">
        <v>2</v>
      </c>
      <c r="K1522" s="1" t="s">
        <v>121</v>
      </c>
      <c r="M1522" t="s">
        <v>9</v>
      </c>
    </row>
    <row r="1523" spans="1:13" ht="15.75" customHeight="1" x14ac:dyDescent="0.2">
      <c r="A1523">
        <v>2483632</v>
      </c>
      <c r="B1523" s="9">
        <v>44083</v>
      </c>
      <c r="C1523" s="9">
        <v>44084</v>
      </c>
      <c r="D1523" t="s">
        <v>0</v>
      </c>
      <c r="E1523" t="s">
        <v>7</v>
      </c>
      <c r="F1523">
        <v>3</v>
      </c>
      <c r="G1523" t="s">
        <v>6</v>
      </c>
      <c r="H1523">
        <v>65</v>
      </c>
      <c r="I1523" t="s">
        <v>2</v>
      </c>
      <c r="K1523" s="1" t="s">
        <v>121</v>
      </c>
      <c r="M1523" t="s">
        <v>4</v>
      </c>
    </row>
    <row r="1524" spans="1:13" ht="15.75" customHeight="1" x14ac:dyDescent="0.2">
      <c r="A1524">
        <v>2483699</v>
      </c>
      <c r="B1524" s="9">
        <v>44083</v>
      </c>
      <c r="C1524" s="9">
        <v>44083</v>
      </c>
      <c r="D1524" t="s">
        <v>0</v>
      </c>
      <c r="E1524" t="s">
        <v>10</v>
      </c>
      <c r="F1524">
        <v>5</v>
      </c>
      <c r="G1524" t="s">
        <v>1</v>
      </c>
      <c r="H1524">
        <v>32</v>
      </c>
      <c r="I1524" t="s">
        <v>2</v>
      </c>
      <c r="K1524" s="1" t="s">
        <v>121</v>
      </c>
      <c r="M1524" t="s">
        <v>4</v>
      </c>
    </row>
    <row r="1525" spans="1:13" ht="15.75" customHeight="1" x14ac:dyDescent="0.2">
      <c r="A1525">
        <v>2484070</v>
      </c>
      <c r="B1525" s="9">
        <v>44083</v>
      </c>
      <c r="C1525" s="9">
        <v>44083</v>
      </c>
      <c r="D1525" t="s">
        <v>0</v>
      </c>
      <c r="E1525" t="s">
        <v>18</v>
      </c>
      <c r="F1525">
        <v>8</v>
      </c>
      <c r="G1525" t="s">
        <v>6</v>
      </c>
      <c r="H1525">
        <v>27</v>
      </c>
      <c r="I1525" t="s">
        <v>2</v>
      </c>
      <c r="K1525" s="1" t="s">
        <v>121</v>
      </c>
      <c r="M1525" t="s">
        <v>4</v>
      </c>
    </row>
    <row r="1526" spans="1:13" ht="15.75" customHeight="1" x14ac:dyDescent="0.2">
      <c r="A1526">
        <v>2484243</v>
      </c>
      <c r="B1526" s="9">
        <v>44083</v>
      </c>
      <c r="C1526" s="9">
        <v>44083</v>
      </c>
      <c r="D1526" t="s">
        <v>0</v>
      </c>
      <c r="E1526" t="s">
        <v>18</v>
      </c>
      <c r="F1526">
        <v>8</v>
      </c>
      <c r="G1526" t="s">
        <v>1</v>
      </c>
      <c r="H1526">
        <v>19</v>
      </c>
      <c r="I1526" t="s">
        <v>2</v>
      </c>
      <c r="K1526" s="1" t="s">
        <v>121</v>
      </c>
      <c r="M1526" t="s">
        <v>4</v>
      </c>
    </row>
    <row r="1527" spans="1:13" ht="15.75" customHeight="1" x14ac:dyDescent="0.2">
      <c r="A1527">
        <v>2484330</v>
      </c>
      <c r="B1527" s="9">
        <v>44083</v>
      </c>
      <c r="C1527" s="9">
        <v>44083</v>
      </c>
      <c r="D1527" t="s">
        <v>0</v>
      </c>
      <c r="E1527" t="s">
        <v>7</v>
      </c>
      <c r="F1527">
        <v>3</v>
      </c>
      <c r="G1527" t="s">
        <v>1</v>
      </c>
      <c r="H1527">
        <v>24</v>
      </c>
      <c r="I1527" t="s">
        <v>2</v>
      </c>
      <c r="K1527" s="1" t="s">
        <v>121</v>
      </c>
      <c r="M1527" t="s">
        <v>4</v>
      </c>
    </row>
    <row r="1528" spans="1:13" ht="15.75" customHeight="1" x14ac:dyDescent="0.2">
      <c r="A1528">
        <v>2484411</v>
      </c>
      <c r="B1528" s="9">
        <v>44083</v>
      </c>
      <c r="C1528" s="9">
        <v>44083</v>
      </c>
      <c r="D1528" t="s">
        <v>0</v>
      </c>
      <c r="E1528" t="s">
        <v>8</v>
      </c>
      <c r="F1528">
        <v>7</v>
      </c>
      <c r="G1528" t="s">
        <v>1</v>
      </c>
      <c r="H1528">
        <v>41</v>
      </c>
      <c r="I1528" t="s">
        <v>2</v>
      </c>
      <c r="K1528" s="1" t="s">
        <v>121</v>
      </c>
      <c r="M1528" t="s">
        <v>4</v>
      </c>
    </row>
    <row r="1529" spans="1:13" ht="15.75" customHeight="1" x14ac:dyDescent="0.2">
      <c r="A1529">
        <v>2484519</v>
      </c>
      <c r="B1529" s="9">
        <v>44083</v>
      </c>
      <c r="C1529" s="9">
        <v>44083</v>
      </c>
      <c r="D1529" t="s">
        <v>0</v>
      </c>
      <c r="E1529" t="s">
        <v>45</v>
      </c>
      <c r="F1529">
        <v>4</v>
      </c>
      <c r="G1529" t="s">
        <v>6</v>
      </c>
      <c r="H1529">
        <v>63</v>
      </c>
      <c r="I1529" t="s">
        <v>2</v>
      </c>
      <c r="K1529" s="1" t="s">
        <v>121</v>
      </c>
      <c r="M1529" t="s">
        <v>4</v>
      </c>
    </row>
    <row r="1530" spans="1:13" ht="15.75" customHeight="1" x14ac:dyDescent="0.2">
      <c r="A1530">
        <v>2484548</v>
      </c>
      <c r="B1530" s="9">
        <v>44083</v>
      </c>
      <c r="C1530" s="9">
        <v>44083</v>
      </c>
      <c r="D1530" t="s">
        <v>5</v>
      </c>
      <c r="E1530" t="s">
        <v>75</v>
      </c>
      <c r="F1530"/>
      <c r="G1530" t="s">
        <v>1</v>
      </c>
      <c r="H1530">
        <v>32</v>
      </c>
      <c r="I1530" t="s">
        <v>2</v>
      </c>
      <c r="K1530" s="1" t="s">
        <v>121</v>
      </c>
      <c r="M1530" t="s">
        <v>4</v>
      </c>
    </row>
    <row r="1531" spans="1:13" ht="15.75" customHeight="1" x14ac:dyDescent="0.2">
      <c r="A1531">
        <v>2484585</v>
      </c>
      <c r="B1531" s="9">
        <v>44083</v>
      </c>
      <c r="C1531" s="9">
        <v>44083</v>
      </c>
      <c r="D1531" t="s">
        <v>0</v>
      </c>
      <c r="E1531" t="s">
        <v>10</v>
      </c>
      <c r="F1531">
        <v>5</v>
      </c>
      <c r="G1531" t="s">
        <v>6</v>
      </c>
      <c r="H1531">
        <v>44</v>
      </c>
      <c r="I1531" t="s">
        <v>2</v>
      </c>
      <c r="K1531" s="1" t="s">
        <v>121</v>
      </c>
      <c r="M1531" t="s">
        <v>9</v>
      </c>
    </row>
    <row r="1532" spans="1:13" ht="15.75" customHeight="1" x14ac:dyDescent="0.2">
      <c r="A1532">
        <v>2484615</v>
      </c>
      <c r="B1532" s="9">
        <v>44083</v>
      </c>
      <c r="C1532" s="9">
        <v>44083</v>
      </c>
      <c r="D1532" t="s">
        <v>5</v>
      </c>
      <c r="E1532" t="s">
        <v>82</v>
      </c>
      <c r="F1532"/>
      <c r="G1532" t="s">
        <v>1</v>
      </c>
      <c r="H1532">
        <v>10</v>
      </c>
      <c r="I1532" t="s">
        <v>2</v>
      </c>
      <c r="K1532" s="1" t="s">
        <v>121</v>
      </c>
      <c r="M1532" t="s">
        <v>4</v>
      </c>
    </row>
    <row r="1533" spans="1:13" ht="15.75" customHeight="1" x14ac:dyDescent="0.2">
      <c r="A1533">
        <v>2484625</v>
      </c>
      <c r="B1533" s="9">
        <v>44083</v>
      </c>
      <c r="C1533" s="9">
        <v>44083</v>
      </c>
      <c r="D1533" t="s">
        <v>0</v>
      </c>
      <c r="E1533" t="s">
        <v>8</v>
      </c>
      <c r="F1533">
        <v>7</v>
      </c>
      <c r="G1533" t="s">
        <v>1</v>
      </c>
      <c r="H1533">
        <v>48</v>
      </c>
      <c r="I1533" t="s">
        <v>2</v>
      </c>
      <c r="K1533" s="1" t="s">
        <v>121</v>
      </c>
      <c r="M1533" t="s">
        <v>4</v>
      </c>
    </row>
    <row r="1534" spans="1:13" ht="15.75" customHeight="1" x14ac:dyDescent="0.2">
      <c r="A1534">
        <v>2484665</v>
      </c>
      <c r="B1534" s="9">
        <v>44083</v>
      </c>
      <c r="C1534" s="9">
        <v>44083</v>
      </c>
      <c r="D1534" t="s">
        <v>5</v>
      </c>
      <c r="E1534" t="s">
        <v>82</v>
      </c>
      <c r="F1534"/>
      <c r="G1534" t="s">
        <v>6</v>
      </c>
      <c r="H1534">
        <v>12</v>
      </c>
      <c r="I1534" t="s">
        <v>2</v>
      </c>
      <c r="K1534" s="1" t="s">
        <v>121</v>
      </c>
      <c r="M1534" t="s">
        <v>4</v>
      </c>
    </row>
    <row r="1535" spans="1:13" ht="15.75" customHeight="1" x14ac:dyDescent="0.2">
      <c r="A1535">
        <v>2484715</v>
      </c>
      <c r="B1535" s="9">
        <v>44083</v>
      </c>
      <c r="C1535" s="9">
        <v>44083</v>
      </c>
      <c r="D1535" t="s">
        <v>5</v>
      </c>
      <c r="E1535" s="1" t="s">
        <v>90</v>
      </c>
      <c r="F1535"/>
      <c r="G1535" t="s">
        <v>1</v>
      </c>
      <c r="H1535">
        <v>35</v>
      </c>
      <c r="I1535" t="s">
        <v>2</v>
      </c>
      <c r="K1535" s="1" t="s">
        <v>121</v>
      </c>
      <c r="M1535" t="s">
        <v>4</v>
      </c>
    </row>
    <row r="1536" spans="1:13" ht="15.75" customHeight="1" x14ac:dyDescent="0.2">
      <c r="A1536">
        <v>2484748</v>
      </c>
      <c r="B1536" s="9">
        <v>44083</v>
      </c>
      <c r="C1536" s="9">
        <v>44083</v>
      </c>
      <c r="D1536" t="s">
        <v>0</v>
      </c>
      <c r="E1536" t="s">
        <v>39</v>
      </c>
      <c r="F1536">
        <v>8</v>
      </c>
      <c r="G1536" t="s">
        <v>6</v>
      </c>
      <c r="H1536">
        <v>54</v>
      </c>
      <c r="I1536" t="s">
        <v>2</v>
      </c>
      <c r="K1536" s="1" t="s">
        <v>121</v>
      </c>
      <c r="M1536" t="s">
        <v>4</v>
      </c>
    </row>
    <row r="1537" spans="1:13" ht="15.75" customHeight="1" x14ac:dyDescent="0.2">
      <c r="A1537">
        <v>2484758</v>
      </c>
      <c r="B1537" s="9">
        <v>44083</v>
      </c>
      <c r="C1537" s="9">
        <v>44083</v>
      </c>
      <c r="D1537" t="s">
        <v>5</v>
      </c>
      <c r="E1537" t="s">
        <v>75</v>
      </c>
      <c r="F1537"/>
      <c r="G1537" t="s">
        <v>1</v>
      </c>
      <c r="H1537">
        <v>8</v>
      </c>
      <c r="I1537" t="s">
        <v>2</v>
      </c>
      <c r="K1537" s="1" t="s">
        <v>121</v>
      </c>
      <c r="M1537" t="s">
        <v>4</v>
      </c>
    </row>
    <row r="1538" spans="1:13" ht="15.75" customHeight="1" x14ac:dyDescent="0.2">
      <c r="A1538">
        <v>2484823</v>
      </c>
      <c r="B1538" s="9">
        <v>44083</v>
      </c>
      <c r="C1538" s="9">
        <v>44083</v>
      </c>
      <c r="D1538" t="s">
        <v>5</v>
      </c>
      <c r="E1538" t="s">
        <v>82</v>
      </c>
      <c r="F1538"/>
      <c r="G1538" t="s">
        <v>1</v>
      </c>
      <c r="H1538">
        <v>41</v>
      </c>
      <c r="I1538" t="s">
        <v>2</v>
      </c>
      <c r="K1538" s="1" t="s">
        <v>121</v>
      </c>
      <c r="M1538" t="s">
        <v>4</v>
      </c>
    </row>
    <row r="1539" spans="1:13" ht="15.75" customHeight="1" x14ac:dyDescent="0.2">
      <c r="A1539">
        <v>2484912</v>
      </c>
      <c r="B1539" s="9">
        <v>44083</v>
      </c>
      <c r="C1539" s="9">
        <v>44084</v>
      </c>
      <c r="D1539" t="s">
        <v>5</v>
      </c>
      <c r="E1539" t="s">
        <v>82</v>
      </c>
      <c r="F1539"/>
      <c r="G1539" t="s">
        <v>6</v>
      </c>
      <c r="H1539">
        <v>44</v>
      </c>
      <c r="I1539" t="s">
        <v>2</v>
      </c>
      <c r="K1539" s="1" t="s">
        <v>121</v>
      </c>
      <c r="M1539" t="s">
        <v>4</v>
      </c>
    </row>
    <row r="1540" spans="1:13" ht="15.75" customHeight="1" x14ac:dyDescent="0.2">
      <c r="A1540">
        <v>2484917</v>
      </c>
      <c r="B1540" s="9">
        <v>44083</v>
      </c>
      <c r="C1540" s="9">
        <v>44083</v>
      </c>
      <c r="D1540" t="s">
        <v>0</v>
      </c>
      <c r="E1540" t="s">
        <v>45</v>
      </c>
      <c r="F1540">
        <v>4</v>
      </c>
      <c r="G1540" t="s">
        <v>1</v>
      </c>
      <c r="H1540">
        <v>21</v>
      </c>
      <c r="I1540" t="s">
        <v>2</v>
      </c>
      <c r="K1540" s="1" t="s">
        <v>121</v>
      </c>
      <c r="M1540" t="s">
        <v>4</v>
      </c>
    </row>
    <row r="1541" spans="1:13" ht="15.75" customHeight="1" x14ac:dyDescent="0.2">
      <c r="A1541">
        <v>2485151</v>
      </c>
      <c r="B1541" s="9">
        <v>44083</v>
      </c>
      <c r="C1541" s="9">
        <v>44083</v>
      </c>
      <c r="D1541" t="s">
        <v>0</v>
      </c>
      <c r="E1541" t="s">
        <v>18</v>
      </c>
      <c r="F1541">
        <v>8</v>
      </c>
      <c r="G1541" t="s">
        <v>1</v>
      </c>
      <c r="H1541">
        <v>14</v>
      </c>
      <c r="I1541" t="s">
        <v>2</v>
      </c>
      <c r="K1541" s="1" t="s">
        <v>121</v>
      </c>
      <c r="M1541" t="s">
        <v>4</v>
      </c>
    </row>
    <row r="1542" spans="1:13" ht="15.75" customHeight="1" x14ac:dyDescent="0.2">
      <c r="A1542">
        <v>2485193</v>
      </c>
      <c r="B1542" s="9">
        <v>44083</v>
      </c>
      <c r="C1542" s="9">
        <v>44083</v>
      </c>
      <c r="D1542" t="s">
        <v>0</v>
      </c>
      <c r="E1542" t="s">
        <v>18</v>
      </c>
      <c r="F1542">
        <v>8</v>
      </c>
      <c r="G1542" t="s">
        <v>1</v>
      </c>
      <c r="H1542">
        <v>57</v>
      </c>
      <c r="I1542" t="s">
        <v>2</v>
      </c>
      <c r="K1542" s="1" t="s">
        <v>121</v>
      </c>
      <c r="M1542" t="s">
        <v>4</v>
      </c>
    </row>
    <row r="1543" spans="1:13" ht="15.75" customHeight="1" x14ac:dyDescent="0.2">
      <c r="A1543">
        <v>2485203</v>
      </c>
      <c r="B1543" s="9">
        <v>44083</v>
      </c>
      <c r="C1543" s="9">
        <v>44083</v>
      </c>
      <c r="D1543" t="s">
        <v>0</v>
      </c>
      <c r="E1543" t="s">
        <v>18</v>
      </c>
      <c r="F1543">
        <v>8</v>
      </c>
      <c r="G1543" t="s">
        <v>1</v>
      </c>
      <c r="H1543">
        <v>55</v>
      </c>
      <c r="I1543" t="s">
        <v>2</v>
      </c>
      <c r="K1543" s="1" t="s">
        <v>121</v>
      </c>
      <c r="M1543" t="s">
        <v>4</v>
      </c>
    </row>
    <row r="1544" spans="1:13" ht="15.75" customHeight="1" x14ac:dyDescent="0.2">
      <c r="A1544">
        <v>2485211</v>
      </c>
      <c r="B1544" s="9">
        <v>44083</v>
      </c>
      <c r="C1544" s="9">
        <v>44083</v>
      </c>
      <c r="D1544" t="s">
        <v>0</v>
      </c>
      <c r="E1544" t="s">
        <v>18</v>
      </c>
      <c r="F1544">
        <v>8</v>
      </c>
      <c r="G1544" t="s">
        <v>1</v>
      </c>
      <c r="H1544">
        <v>35</v>
      </c>
      <c r="I1544" t="s">
        <v>2</v>
      </c>
      <c r="K1544" s="1" t="s">
        <v>121</v>
      </c>
      <c r="M1544" t="s">
        <v>4</v>
      </c>
    </row>
    <row r="1545" spans="1:13" ht="15.75" customHeight="1" x14ac:dyDescent="0.2">
      <c r="A1545">
        <v>2485323</v>
      </c>
      <c r="B1545" s="9">
        <v>44083</v>
      </c>
      <c r="C1545" s="9">
        <v>44083</v>
      </c>
      <c r="D1545" t="s">
        <v>5</v>
      </c>
      <c r="E1545" t="s">
        <v>82</v>
      </c>
      <c r="F1545"/>
      <c r="G1545" t="s">
        <v>6</v>
      </c>
      <c r="H1545">
        <v>50</v>
      </c>
      <c r="I1545" t="s">
        <v>2</v>
      </c>
      <c r="K1545" s="1" t="s">
        <v>121</v>
      </c>
      <c r="M1545" t="s">
        <v>4</v>
      </c>
    </row>
    <row r="1546" spans="1:13" ht="15.75" customHeight="1" x14ac:dyDescent="0.2">
      <c r="A1546">
        <v>2485349</v>
      </c>
      <c r="B1546" s="9">
        <v>44083</v>
      </c>
      <c r="C1546" s="9">
        <v>44083</v>
      </c>
      <c r="D1546" t="s">
        <v>0</v>
      </c>
      <c r="E1546" t="s">
        <v>18</v>
      </c>
      <c r="F1546">
        <v>8</v>
      </c>
      <c r="G1546" t="s">
        <v>1</v>
      </c>
      <c r="H1546">
        <v>3</v>
      </c>
      <c r="I1546" t="s">
        <v>2</v>
      </c>
      <c r="K1546" s="1" t="s">
        <v>121</v>
      </c>
      <c r="M1546" t="s">
        <v>4</v>
      </c>
    </row>
    <row r="1547" spans="1:13" ht="15.75" customHeight="1" x14ac:dyDescent="0.2">
      <c r="A1547">
        <v>2488171</v>
      </c>
      <c r="B1547" s="9">
        <v>44083</v>
      </c>
      <c r="C1547" s="9">
        <v>44083</v>
      </c>
      <c r="D1547" t="s">
        <v>5</v>
      </c>
      <c r="E1547" t="s">
        <v>82</v>
      </c>
      <c r="F1547"/>
      <c r="G1547" t="s">
        <v>6</v>
      </c>
      <c r="H1547">
        <v>21</v>
      </c>
      <c r="I1547" t="s">
        <v>2</v>
      </c>
      <c r="K1547" s="1" t="s">
        <v>121</v>
      </c>
      <c r="M1547" t="s">
        <v>4</v>
      </c>
    </row>
    <row r="1548" spans="1:13" ht="15.75" customHeight="1" x14ac:dyDescent="0.2">
      <c r="A1548">
        <v>2488369</v>
      </c>
      <c r="B1548" s="9">
        <v>44083</v>
      </c>
      <c r="C1548" s="9">
        <v>44083</v>
      </c>
      <c r="D1548" t="s">
        <v>0</v>
      </c>
      <c r="E1548" t="s">
        <v>45</v>
      </c>
      <c r="F1548">
        <v>4</v>
      </c>
      <c r="G1548" t="s">
        <v>6</v>
      </c>
      <c r="H1548">
        <v>30</v>
      </c>
      <c r="I1548" t="s">
        <v>2</v>
      </c>
      <c r="K1548" s="1" t="s">
        <v>121</v>
      </c>
      <c r="M1548" t="s">
        <v>4</v>
      </c>
    </row>
    <row r="1549" spans="1:13" ht="15.75" customHeight="1" x14ac:dyDescent="0.2">
      <c r="A1549">
        <v>2488379</v>
      </c>
      <c r="B1549" s="9">
        <v>44083</v>
      </c>
      <c r="C1549" s="9">
        <v>44083</v>
      </c>
      <c r="D1549" t="s">
        <v>0</v>
      </c>
      <c r="E1549" t="s">
        <v>45</v>
      </c>
      <c r="F1549">
        <v>4</v>
      </c>
      <c r="G1549" t="s">
        <v>1</v>
      </c>
      <c r="H1549">
        <v>35</v>
      </c>
      <c r="I1549" t="s">
        <v>2</v>
      </c>
      <c r="K1549" s="1" t="s">
        <v>121</v>
      </c>
      <c r="M1549" t="s">
        <v>4</v>
      </c>
    </row>
    <row r="1550" spans="1:13" ht="15.75" customHeight="1" x14ac:dyDescent="0.2">
      <c r="A1550">
        <v>2488569</v>
      </c>
      <c r="B1550" s="9">
        <v>44083</v>
      </c>
      <c r="C1550" s="9">
        <v>44083</v>
      </c>
      <c r="D1550" t="s">
        <v>0</v>
      </c>
      <c r="E1550" t="s">
        <v>8</v>
      </c>
      <c r="F1550">
        <v>7</v>
      </c>
      <c r="G1550" t="s">
        <v>6</v>
      </c>
      <c r="H1550">
        <v>64</v>
      </c>
      <c r="I1550" t="s">
        <v>2</v>
      </c>
      <c r="K1550" s="1" t="s">
        <v>121</v>
      </c>
      <c r="M1550" t="s">
        <v>4</v>
      </c>
    </row>
    <row r="1551" spans="1:13" ht="15.75" customHeight="1" x14ac:dyDescent="0.2">
      <c r="A1551">
        <v>2488622</v>
      </c>
      <c r="B1551" s="9">
        <v>44083</v>
      </c>
      <c r="C1551" s="9">
        <v>44083</v>
      </c>
      <c r="D1551" t="s">
        <v>0</v>
      </c>
      <c r="E1551" t="s">
        <v>50</v>
      </c>
      <c r="F1551">
        <v>1</v>
      </c>
      <c r="G1551" t="s">
        <v>6</v>
      </c>
      <c r="H1551">
        <v>57</v>
      </c>
      <c r="I1551" t="s">
        <v>2</v>
      </c>
      <c r="K1551" s="1" t="s">
        <v>121</v>
      </c>
      <c r="M1551" t="s">
        <v>4</v>
      </c>
    </row>
    <row r="1552" spans="1:13" ht="15.75" customHeight="1" x14ac:dyDescent="0.2">
      <c r="A1552">
        <v>2488703</v>
      </c>
      <c r="B1552" s="9">
        <v>44083</v>
      </c>
      <c r="C1552" s="9">
        <v>44083</v>
      </c>
      <c r="D1552" t="s">
        <v>0</v>
      </c>
      <c r="E1552" t="s">
        <v>35</v>
      </c>
      <c r="F1552">
        <v>3</v>
      </c>
      <c r="G1552" t="s">
        <v>1</v>
      </c>
      <c r="H1552">
        <v>36</v>
      </c>
      <c r="I1552" t="s">
        <v>2</v>
      </c>
      <c r="K1552" s="1" t="s">
        <v>121</v>
      </c>
      <c r="M1552" t="s">
        <v>4</v>
      </c>
    </row>
    <row r="1553" spans="1:13" ht="15.75" customHeight="1" x14ac:dyDescent="0.2">
      <c r="A1553">
        <v>2488708</v>
      </c>
      <c r="B1553" s="9">
        <v>44083</v>
      </c>
      <c r="C1553" s="9">
        <v>44083</v>
      </c>
      <c r="D1553" t="s">
        <v>0</v>
      </c>
      <c r="E1553" t="s">
        <v>11</v>
      </c>
      <c r="F1553">
        <v>6</v>
      </c>
      <c r="G1553" t="s">
        <v>1</v>
      </c>
      <c r="H1553">
        <v>33</v>
      </c>
      <c r="I1553" t="s">
        <v>2</v>
      </c>
      <c r="K1553" s="1" t="s">
        <v>121</v>
      </c>
      <c r="M1553" t="s">
        <v>4</v>
      </c>
    </row>
    <row r="1554" spans="1:13" ht="15.75" customHeight="1" x14ac:dyDescent="0.2">
      <c r="A1554">
        <v>2488756</v>
      </c>
      <c r="B1554" s="9">
        <v>44083</v>
      </c>
      <c r="C1554" s="9">
        <v>44083</v>
      </c>
      <c r="D1554" t="s">
        <v>0</v>
      </c>
      <c r="E1554" t="s">
        <v>7</v>
      </c>
      <c r="F1554">
        <v>3</v>
      </c>
      <c r="G1554" t="s">
        <v>6</v>
      </c>
      <c r="H1554">
        <v>42</v>
      </c>
      <c r="I1554" t="s">
        <v>2</v>
      </c>
      <c r="K1554" s="1" t="s">
        <v>121</v>
      </c>
      <c r="M1554" t="s">
        <v>4</v>
      </c>
    </row>
    <row r="1555" spans="1:13" ht="15.75" customHeight="1" x14ac:dyDescent="0.2">
      <c r="A1555">
        <v>2491669</v>
      </c>
      <c r="B1555" s="9">
        <v>44083</v>
      </c>
      <c r="C1555" s="9">
        <v>44083</v>
      </c>
      <c r="D1555" t="s">
        <v>5</v>
      </c>
      <c r="E1555" s="5" t="s">
        <v>76</v>
      </c>
      <c r="F1555"/>
      <c r="G1555" t="s">
        <v>6</v>
      </c>
      <c r="H1555">
        <v>26</v>
      </c>
      <c r="I1555" t="s">
        <v>2</v>
      </c>
      <c r="K1555" s="1" t="s">
        <v>121</v>
      </c>
      <c r="M1555" t="s">
        <v>4</v>
      </c>
    </row>
    <row r="1556" spans="1:13" ht="15.75" customHeight="1" x14ac:dyDescent="0.2">
      <c r="A1556">
        <v>2131979</v>
      </c>
      <c r="B1556" s="9">
        <v>44069</v>
      </c>
      <c r="C1556" s="9">
        <v>44071</v>
      </c>
      <c r="D1556" t="s">
        <v>5</v>
      </c>
      <c r="E1556" t="s">
        <v>82</v>
      </c>
      <c r="F1556"/>
      <c r="G1556" t="s">
        <v>1</v>
      </c>
      <c r="H1556">
        <v>75</v>
      </c>
      <c r="I1556" t="s">
        <v>2</v>
      </c>
      <c r="K1556" s="1" t="s">
        <v>121</v>
      </c>
      <c r="M1556" t="s">
        <v>4</v>
      </c>
    </row>
    <row r="1557" spans="1:13" ht="15.75" customHeight="1" x14ac:dyDescent="0.2">
      <c r="A1557">
        <v>2167076</v>
      </c>
      <c r="B1557" s="9">
        <v>44074</v>
      </c>
      <c r="C1557" s="9">
        <v>44075</v>
      </c>
      <c r="D1557" t="s">
        <v>5</v>
      </c>
      <c r="E1557" t="s">
        <v>82</v>
      </c>
      <c r="F1557"/>
      <c r="G1557" t="s">
        <v>6</v>
      </c>
      <c r="H1557">
        <v>56</v>
      </c>
      <c r="I1557" t="s">
        <v>2</v>
      </c>
      <c r="K1557" s="1" t="s">
        <v>121</v>
      </c>
      <c r="M1557" t="s">
        <v>22</v>
      </c>
    </row>
    <row r="1558" spans="1:13" ht="15.75" customHeight="1" x14ac:dyDescent="0.2">
      <c r="A1558">
        <v>2179703</v>
      </c>
      <c r="B1558" s="9">
        <v>44071</v>
      </c>
      <c r="C1558" s="9">
        <v>44072</v>
      </c>
      <c r="D1558" t="s">
        <v>5</v>
      </c>
      <c r="E1558" t="s">
        <v>82</v>
      </c>
      <c r="F1558"/>
      <c r="G1558" t="s">
        <v>6</v>
      </c>
      <c r="H1558">
        <v>61</v>
      </c>
      <c r="I1558" t="s">
        <v>2</v>
      </c>
      <c r="K1558" s="1" t="s">
        <v>121</v>
      </c>
      <c r="M1558" t="s">
        <v>9</v>
      </c>
    </row>
    <row r="1559" spans="1:13" ht="15.75" customHeight="1" x14ac:dyDescent="0.2">
      <c r="A1559">
        <v>2315157</v>
      </c>
      <c r="B1559" s="9">
        <v>44077</v>
      </c>
      <c r="C1559" s="9">
        <v>44077</v>
      </c>
      <c r="D1559" t="s">
        <v>0</v>
      </c>
      <c r="E1559" t="s">
        <v>14</v>
      </c>
      <c r="F1559">
        <v>14</v>
      </c>
      <c r="G1559" t="s">
        <v>1</v>
      </c>
      <c r="H1559">
        <v>27</v>
      </c>
      <c r="I1559" t="s">
        <v>2</v>
      </c>
      <c r="K1559" s="1" t="s">
        <v>121</v>
      </c>
      <c r="M1559" t="s">
        <v>4</v>
      </c>
    </row>
    <row r="1560" spans="1:13" ht="15.75" customHeight="1" x14ac:dyDescent="0.2">
      <c r="A1560">
        <v>2321024</v>
      </c>
      <c r="B1560" s="9">
        <v>44075</v>
      </c>
      <c r="C1560" s="9">
        <v>44075</v>
      </c>
      <c r="D1560" t="s">
        <v>0</v>
      </c>
      <c r="E1560" t="s">
        <v>31</v>
      </c>
      <c r="F1560">
        <v>10</v>
      </c>
      <c r="G1560" t="s">
        <v>6</v>
      </c>
      <c r="H1560">
        <v>63</v>
      </c>
      <c r="I1560" t="s">
        <v>2</v>
      </c>
      <c r="K1560" s="1" t="s">
        <v>121</v>
      </c>
      <c r="M1560" t="s">
        <v>9</v>
      </c>
    </row>
    <row r="1561" spans="1:13" ht="15.75" customHeight="1" x14ac:dyDescent="0.2">
      <c r="A1561">
        <v>2394812</v>
      </c>
      <c r="B1561" s="9">
        <v>44079</v>
      </c>
      <c r="C1561" s="9">
        <v>44080</v>
      </c>
      <c r="D1561" t="s">
        <v>5</v>
      </c>
      <c r="E1561" t="s">
        <v>82</v>
      </c>
      <c r="F1561"/>
      <c r="G1561" t="s">
        <v>6</v>
      </c>
      <c r="H1561">
        <v>67</v>
      </c>
      <c r="I1561" t="s">
        <v>2</v>
      </c>
      <c r="K1561" s="1" t="s">
        <v>121</v>
      </c>
      <c r="M1561" t="s">
        <v>4</v>
      </c>
    </row>
    <row r="1562" spans="1:13" ht="15.75" customHeight="1" x14ac:dyDescent="0.2">
      <c r="A1562">
        <v>2396721</v>
      </c>
      <c r="B1562" s="9">
        <v>44080</v>
      </c>
      <c r="C1562" s="9">
        <v>44081</v>
      </c>
      <c r="D1562" t="s">
        <v>5</v>
      </c>
      <c r="E1562" s="1" t="s">
        <v>90</v>
      </c>
      <c r="F1562"/>
      <c r="G1562" t="s">
        <v>6</v>
      </c>
      <c r="H1562">
        <v>36</v>
      </c>
      <c r="I1562" t="s">
        <v>2</v>
      </c>
      <c r="K1562" s="1" t="s">
        <v>121</v>
      </c>
      <c r="M1562" t="s">
        <v>20</v>
      </c>
    </row>
    <row r="1563" spans="1:13" ht="15.75" customHeight="1" x14ac:dyDescent="0.2">
      <c r="A1563">
        <v>2408252</v>
      </c>
      <c r="B1563" s="9">
        <v>44081</v>
      </c>
      <c r="C1563" s="9">
        <v>44081</v>
      </c>
      <c r="D1563" t="s">
        <v>5</v>
      </c>
      <c r="E1563" t="s">
        <v>82</v>
      </c>
      <c r="F1563"/>
      <c r="G1563" t="s">
        <v>1</v>
      </c>
      <c r="H1563">
        <v>46</v>
      </c>
      <c r="I1563" t="s">
        <v>2</v>
      </c>
      <c r="K1563" s="1" t="s">
        <v>121</v>
      </c>
      <c r="M1563" t="s">
        <v>22</v>
      </c>
    </row>
    <row r="1564" spans="1:13" ht="15.75" customHeight="1" x14ac:dyDescent="0.2">
      <c r="A1564">
        <v>2408851</v>
      </c>
      <c r="B1564" s="9">
        <v>44080</v>
      </c>
      <c r="C1564" s="9">
        <v>44080</v>
      </c>
      <c r="D1564" t="s">
        <v>0</v>
      </c>
      <c r="E1564" t="s">
        <v>28</v>
      </c>
      <c r="F1564">
        <v>11</v>
      </c>
      <c r="G1564" t="s">
        <v>1</v>
      </c>
      <c r="H1564">
        <v>49</v>
      </c>
      <c r="I1564" t="s">
        <v>2</v>
      </c>
      <c r="K1564" s="1" t="s">
        <v>121</v>
      </c>
      <c r="M1564" t="s">
        <v>4</v>
      </c>
    </row>
    <row r="1565" spans="1:13" ht="15.75" customHeight="1" x14ac:dyDescent="0.2">
      <c r="A1565">
        <v>2415374</v>
      </c>
      <c r="B1565" s="9">
        <v>44081</v>
      </c>
      <c r="C1565" s="9">
        <v>44081</v>
      </c>
      <c r="D1565" t="s">
        <v>0</v>
      </c>
      <c r="E1565" t="s">
        <v>7</v>
      </c>
      <c r="F1565">
        <v>3</v>
      </c>
      <c r="G1565" t="s">
        <v>6</v>
      </c>
      <c r="H1565">
        <v>23</v>
      </c>
      <c r="I1565" t="s">
        <v>2</v>
      </c>
      <c r="K1565" s="1" t="s">
        <v>121</v>
      </c>
      <c r="M1565" t="s">
        <v>20</v>
      </c>
    </row>
    <row r="1566" spans="1:13" ht="15.75" customHeight="1" x14ac:dyDescent="0.2">
      <c r="A1566">
        <v>2423000</v>
      </c>
      <c r="B1566" s="9">
        <v>44081</v>
      </c>
      <c r="C1566" s="9">
        <v>44081</v>
      </c>
      <c r="D1566" t="s">
        <v>0</v>
      </c>
      <c r="E1566" t="s">
        <v>7</v>
      </c>
      <c r="F1566">
        <v>3</v>
      </c>
      <c r="G1566" t="s">
        <v>6</v>
      </c>
      <c r="H1566">
        <v>38</v>
      </c>
      <c r="I1566" t="s">
        <v>2</v>
      </c>
      <c r="K1566" s="1" t="s">
        <v>121</v>
      </c>
      <c r="M1566" t="s">
        <v>20</v>
      </c>
    </row>
    <row r="1567" spans="1:13" ht="15.75" customHeight="1" x14ac:dyDescent="0.2">
      <c r="A1567">
        <v>2425296</v>
      </c>
      <c r="B1567" s="9">
        <v>44081</v>
      </c>
      <c r="C1567" s="9">
        <v>44081</v>
      </c>
      <c r="D1567" t="s">
        <v>0</v>
      </c>
      <c r="E1567" t="s">
        <v>7</v>
      </c>
      <c r="F1567">
        <v>3</v>
      </c>
      <c r="G1567" t="s">
        <v>6</v>
      </c>
      <c r="H1567">
        <v>57</v>
      </c>
      <c r="I1567" t="s">
        <v>2</v>
      </c>
      <c r="K1567" s="1" t="s">
        <v>121</v>
      </c>
      <c r="M1567" t="s">
        <v>20</v>
      </c>
    </row>
    <row r="1568" spans="1:13" ht="15.75" customHeight="1" x14ac:dyDescent="0.2">
      <c r="A1568">
        <v>2426481</v>
      </c>
      <c r="B1568" s="9">
        <v>44081</v>
      </c>
      <c r="C1568" s="9">
        <v>44081</v>
      </c>
      <c r="D1568" t="s">
        <v>0</v>
      </c>
      <c r="E1568" t="s">
        <v>7</v>
      </c>
      <c r="F1568">
        <v>3</v>
      </c>
      <c r="G1568" t="s">
        <v>1</v>
      </c>
      <c r="H1568">
        <v>53</v>
      </c>
      <c r="I1568" t="s">
        <v>2</v>
      </c>
      <c r="K1568" s="1" t="s">
        <v>121</v>
      </c>
      <c r="M1568" t="s">
        <v>9</v>
      </c>
    </row>
    <row r="1569" spans="1:13" ht="15.75" customHeight="1" x14ac:dyDescent="0.2">
      <c r="A1569">
        <v>2427573</v>
      </c>
      <c r="B1569" s="9">
        <v>44081</v>
      </c>
      <c r="C1569" s="9">
        <v>44081</v>
      </c>
      <c r="D1569" t="s">
        <v>0</v>
      </c>
      <c r="E1569" t="s">
        <v>40</v>
      </c>
      <c r="F1569">
        <v>1</v>
      </c>
      <c r="G1569" t="s">
        <v>1</v>
      </c>
      <c r="H1569">
        <v>50</v>
      </c>
      <c r="I1569" t="s">
        <v>2</v>
      </c>
      <c r="K1569" s="1" t="s">
        <v>121</v>
      </c>
      <c r="M1569" t="s">
        <v>4</v>
      </c>
    </row>
    <row r="1570" spans="1:13" ht="15.75" customHeight="1" x14ac:dyDescent="0.2">
      <c r="A1570">
        <v>2429631</v>
      </c>
      <c r="B1570" s="9">
        <v>44082</v>
      </c>
      <c r="C1570" s="9">
        <v>44082</v>
      </c>
      <c r="D1570" t="s">
        <v>5</v>
      </c>
      <c r="E1570" t="s">
        <v>82</v>
      </c>
      <c r="F1570"/>
      <c r="G1570" t="s">
        <v>6</v>
      </c>
      <c r="H1570">
        <v>28</v>
      </c>
      <c r="I1570" t="s">
        <v>2</v>
      </c>
      <c r="K1570" s="1" t="s">
        <v>121</v>
      </c>
      <c r="M1570" t="s">
        <v>20</v>
      </c>
    </row>
    <row r="1571" spans="1:13" ht="15.75" customHeight="1" x14ac:dyDescent="0.2">
      <c r="A1571">
        <v>2386917</v>
      </c>
      <c r="B1571" s="9">
        <v>44079</v>
      </c>
      <c r="C1571" s="9">
        <v>44079</v>
      </c>
      <c r="D1571" t="s">
        <v>0</v>
      </c>
      <c r="E1571" t="s">
        <v>39</v>
      </c>
      <c r="F1571">
        <v>8</v>
      </c>
      <c r="G1571" t="s">
        <v>1</v>
      </c>
      <c r="H1571">
        <v>52</v>
      </c>
      <c r="I1571" t="s">
        <v>2</v>
      </c>
      <c r="K1571" s="1" t="s">
        <v>121</v>
      </c>
      <c r="M1571" t="s">
        <v>4</v>
      </c>
    </row>
    <row r="1572" spans="1:13" ht="15.75" customHeight="1" x14ac:dyDescent="0.2">
      <c r="A1572">
        <v>2386963</v>
      </c>
      <c r="B1572" s="9">
        <v>44079</v>
      </c>
      <c r="C1572" s="9">
        <v>44079</v>
      </c>
      <c r="D1572" t="s">
        <v>0</v>
      </c>
      <c r="E1572" t="s">
        <v>8</v>
      </c>
      <c r="F1572">
        <v>7</v>
      </c>
      <c r="G1572" t="s">
        <v>6</v>
      </c>
      <c r="H1572">
        <v>18</v>
      </c>
      <c r="I1572" t="s">
        <v>2</v>
      </c>
      <c r="K1572" s="1" t="s">
        <v>121</v>
      </c>
      <c r="M1572" t="s">
        <v>4</v>
      </c>
    </row>
    <row r="1573" spans="1:13" ht="15.75" customHeight="1" x14ac:dyDescent="0.2">
      <c r="A1573">
        <v>2387010</v>
      </c>
      <c r="B1573" s="9">
        <v>44079</v>
      </c>
      <c r="C1573" s="9">
        <v>44079</v>
      </c>
      <c r="D1573" t="s">
        <v>0</v>
      </c>
      <c r="E1573" t="s">
        <v>17</v>
      </c>
      <c r="F1573">
        <v>1</v>
      </c>
      <c r="G1573" t="s">
        <v>6</v>
      </c>
      <c r="H1573">
        <v>26</v>
      </c>
      <c r="I1573" t="s">
        <v>2</v>
      </c>
      <c r="K1573" s="1" t="s">
        <v>121</v>
      </c>
      <c r="M1573" t="s">
        <v>4</v>
      </c>
    </row>
    <row r="1574" spans="1:13" ht="15.75" customHeight="1" x14ac:dyDescent="0.2">
      <c r="A1574">
        <v>2387559</v>
      </c>
      <c r="B1574" s="9">
        <v>44079</v>
      </c>
      <c r="C1574" s="9">
        <v>44079</v>
      </c>
      <c r="D1574" t="s">
        <v>5</v>
      </c>
      <c r="E1574" t="s">
        <v>75</v>
      </c>
      <c r="F1574"/>
      <c r="G1574" t="s">
        <v>1</v>
      </c>
      <c r="H1574">
        <v>42</v>
      </c>
      <c r="I1574" t="s">
        <v>2</v>
      </c>
      <c r="K1574" s="1" t="s">
        <v>121</v>
      </c>
      <c r="M1574" t="s">
        <v>20</v>
      </c>
    </row>
    <row r="1575" spans="1:13" ht="15.75" customHeight="1" x14ac:dyDescent="0.2">
      <c r="A1575">
        <v>2388860</v>
      </c>
      <c r="B1575" s="9">
        <v>44079</v>
      </c>
      <c r="C1575" s="9">
        <v>44082</v>
      </c>
      <c r="D1575" t="s">
        <v>5</v>
      </c>
      <c r="E1575" t="s">
        <v>82</v>
      </c>
      <c r="F1575"/>
      <c r="G1575" t="s">
        <v>1</v>
      </c>
      <c r="H1575">
        <v>87</v>
      </c>
      <c r="I1575" t="s">
        <v>2</v>
      </c>
      <c r="K1575" s="1" t="s">
        <v>121</v>
      </c>
      <c r="M1575" t="s">
        <v>9</v>
      </c>
    </row>
    <row r="1576" spans="1:13" ht="15.75" customHeight="1" x14ac:dyDescent="0.2">
      <c r="A1576">
        <v>2389709</v>
      </c>
      <c r="B1576" s="9">
        <v>44080</v>
      </c>
      <c r="C1576" s="9">
        <v>44080</v>
      </c>
      <c r="D1576" t="s">
        <v>0</v>
      </c>
      <c r="E1576" t="s">
        <v>25</v>
      </c>
      <c r="F1576">
        <v>13</v>
      </c>
      <c r="G1576" t="s">
        <v>6</v>
      </c>
      <c r="H1576">
        <v>50</v>
      </c>
      <c r="I1576" t="s">
        <v>2</v>
      </c>
      <c r="K1576" s="1" t="s">
        <v>121</v>
      </c>
      <c r="M1576" t="s">
        <v>4</v>
      </c>
    </row>
    <row r="1577" spans="1:13" ht="15.75" customHeight="1" x14ac:dyDescent="0.2">
      <c r="A1577">
        <v>2390087</v>
      </c>
      <c r="B1577" s="9">
        <v>44079</v>
      </c>
      <c r="C1577" s="9">
        <v>44080</v>
      </c>
      <c r="D1577" t="s">
        <v>0</v>
      </c>
      <c r="E1577" t="s">
        <v>10</v>
      </c>
      <c r="F1577">
        <v>5</v>
      </c>
      <c r="G1577" t="s">
        <v>1</v>
      </c>
      <c r="H1577">
        <v>48</v>
      </c>
      <c r="I1577" t="s">
        <v>2</v>
      </c>
      <c r="K1577" s="1" t="s">
        <v>121</v>
      </c>
      <c r="M1577" t="s">
        <v>22</v>
      </c>
    </row>
    <row r="1578" spans="1:13" ht="15.75" customHeight="1" x14ac:dyDescent="0.2">
      <c r="A1578">
        <v>2390305</v>
      </c>
      <c r="B1578" s="9">
        <v>44080</v>
      </c>
      <c r="C1578" s="9">
        <v>44080</v>
      </c>
      <c r="D1578" t="s">
        <v>0</v>
      </c>
      <c r="E1578" t="s">
        <v>45</v>
      </c>
      <c r="F1578">
        <v>4</v>
      </c>
      <c r="G1578" t="s">
        <v>6</v>
      </c>
      <c r="H1578">
        <v>21</v>
      </c>
      <c r="I1578" t="s">
        <v>2</v>
      </c>
      <c r="K1578" s="1" t="s">
        <v>121</v>
      </c>
      <c r="M1578" t="s">
        <v>4</v>
      </c>
    </row>
    <row r="1579" spans="1:13" ht="15.75" customHeight="1" x14ac:dyDescent="0.2">
      <c r="A1579">
        <v>2390329</v>
      </c>
      <c r="B1579" s="9">
        <v>44079</v>
      </c>
      <c r="C1579" s="9">
        <v>44080</v>
      </c>
      <c r="D1579" t="s">
        <v>5</v>
      </c>
      <c r="E1579" t="s">
        <v>82</v>
      </c>
      <c r="F1579"/>
      <c r="G1579" t="s">
        <v>1</v>
      </c>
      <c r="H1579">
        <v>52</v>
      </c>
      <c r="I1579" t="s">
        <v>2</v>
      </c>
      <c r="K1579" s="1" t="s">
        <v>121</v>
      </c>
      <c r="M1579" t="s">
        <v>9</v>
      </c>
    </row>
    <row r="1580" spans="1:13" ht="15.75" customHeight="1" x14ac:dyDescent="0.2">
      <c r="A1580">
        <v>2391900</v>
      </c>
      <c r="B1580" s="9">
        <v>44080</v>
      </c>
      <c r="C1580" s="9">
        <v>44080</v>
      </c>
      <c r="D1580" t="s">
        <v>0</v>
      </c>
      <c r="E1580" t="s">
        <v>27</v>
      </c>
      <c r="F1580">
        <v>4</v>
      </c>
      <c r="G1580" t="s">
        <v>6</v>
      </c>
      <c r="H1580">
        <v>45</v>
      </c>
      <c r="I1580" t="s">
        <v>2</v>
      </c>
      <c r="K1580" s="1" t="s">
        <v>121</v>
      </c>
      <c r="M1580" t="s">
        <v>9</v>
      </c>
    </row>
    <row r="1581" spans="1:13" ht="15.75" customHeight="1" x14ac:dyDescent="0.2">
      <c r="A1581">
        <v>2391920</v>
      </c>
      <c r="B1581" s="9">
        <v>44080</v>
      </c>
      <c r="C1581" s="9">
        <v>44080</v>
      </c>
      <c r="D1581" t="s">
        <v>0</v>
      </c>
      <c r="E1581" t="s">
        <v>38</v>
      </c>
      <c r="F1581">
        <v>12</v>
      </c>
      <c r="G1581" t="s">
        <v>1</v>
      </c>
      <c r="H1581">
        <v>60</v>
      </c>
      <c r="I1581" t="s">
        <v>2</v>
      </c>
      <c r="K1581" s="1" t="s">
        <v>121</v>
      </c>
      <c r="M1581" t="s">
        <v>4</v>
      </c>
    </row>
    <row r="1582" spans="1:13" ht="15.75" customHeight="1" x14ac:dyDescent="0.2">
      <c r="A1582">
        <v>2393169</v>
      </c>
      <c r="B1582" s="9">
        <v>44080</v>
      </c>
      <c r="C1582" s="9">
        <v>44080</v>
      </c>
      <c r="D1582" t="s">
        <v>0</v>
      </c>
      <c r="E1582" t="s">
        <v>14</v>
      </c>
      <c r="F1582">
        <v>14</v>
      </c>
      <c r="G1582" t="s">
        <v>6</v>
      </c>
      <c r="H1582">
        <v>26</v>
      </c>
      <c r="I1582" t="s">
        <v>2</v>
      </c>
      <c r="K1582" s="1" t="s">
        <v>121</v>
      </c>
      <c r="M1582" t="s">
        <v>9</v>
      </c>
    </row>
    <row r="1583" spans="1:13" ht="15.75" customHeight="1" x14ac:dyDescent="0.2">
      <c r="A1583">
        <v>2393930</v>
      </c>
      <c r="B1583" s="9">
        <v>44080</v>
      </c>
      <c r="C1583" s="9">
        <v>44080</v>
      </c>
      <c r="D1583" t="s">
        <v>0</v>
      </c>
      <c r="E1583" t="s">
        <v>10</v>
      </c>
      <c r="F1583">
        <v>5</v>
      </c>
      <c r="G1583" t="s">
        <v>6</v>
      </c>
      <c r="H1583">
        <v>40</v>
      </c>
      <c r="I1583" t="s">
        <v>2</v>
      </c>
      <c r="K1583" s="1" t="s">
        <v>121</v>
      </c>
      <c r="M1583" t="s">
        <v>9</v>
      </c>
    </row>
    <row r="1584" spans="1:13" ht="15.75" customHeight="1" x14ac:dyDescent="0.2">
      <c r="A1584">
        <v>2393942</v>
      </c>
      <c r="B1584" s="9">
        <v>44080</v>
      </c>
      <c r="C1584" s="9">
        <v>44080</v>
      </c>
      <c r="D1584" t="s">
        <v>0</v>
      </c>
      <c r="E1584" t="s">
        <v>7</v>
      </c>
      <c r="F1584">
        <v>3</v>
      </c>
      <c r="G1584" t="s">
        <v>6</v>
      </c>
      <c r="H1584">
        <v>22</v>
      </c>
      <c r="I1584" t="s">
        <v>2</v>
      </c>
      <c r="K1584" s="1" t="s">
        <v>121</v>
      </c>
      <c r="M1584" t="s">
        <v>9</v>
      </c>
    </row>
    <row r="1585" spans="1:13" ht="15.75" customHeight="1" x14ac:dyDescent="0.2">
      <c r="A1585">
        <v>2394096</v>
      </c>
      <c r="B1585" s="9">
        <v>44080</v>
      </c>
      <c r="C1585" s="9">
        <v>44080</v>
      </c>
      <c r="D1585" t="s">
        <v>5</v>
      </c>
      <c r="E1585" t="s">
        <v>82</v>
      </c>
      <c r="F1585"/>
      <c r="G1585" t="s">
        <v>1</v>
      </c>
      <c r="H1585">
        <v>28</v>
      </c>
      <c r="I1585" t="s">
        <v>2</v>
      </c>
      <c r="K1585" s="1" t="s">
        <v>121</v>
      </c>
      <c r="M1585" t="s">
        <v>4</v>
      </c>
    </row>
    <row r="1586" spans="1:13" ht="15.75" customHeight="1" x14ac:dyDescent="0.2">
      <c r="A1586">
        <v>2394293</v>
      </c>
      <c r="B1586" s="9">
        <v>44080</v>
      </c>
      <c r="C1586" s="9">
        <v>44080</v>
      </c>
      <c r="D1586" t="s">
        <v>5</v>
      </c>
      <c r="E1586" t="s">
        <v>82</v>
      </c>
      <c r="F1586"/>
      <c r="G1586" t="s">
        <v>6</v>
      </c>
      <c r="H1586">
        <v>25</v>
      </c>
      <c r="I1586" t="s">
        <v>2</v>
      </c>
      <c r="K1586" s="1" t="s">
        <v>121</v>
      </c>
      <c r="M1586" t="s">
        <v>4</v>
      </c>
    </row>
    <row r="1587" spans="1:13" ht="15.75" customHeight="1" x14ac:dyDescent="0.2">
      <c r="A1587">
        <v>2394603</v>
      </c>
      <c r="B1587" s="9">
        <v>44080</v>
      </c>
      <c r="C1587" s="9">
        <v>44080</v>
      </c>
      <c r="D1587" t="s">
        <v>0</v>
      </c>
      <c r="E1587" t="s">
        <v>10</v>
      </c>
      <c r="F1587">
        <v>5</v>
      </c>
      <c r="G1587" t="s">
        <v>1</v>
      </c>
      <c r="H1587">
        <v>49</v>
      </c>
      <c r="I1587" t="s">
        <v>2</v>
      </c>
      <c r="K1587" s="1" t="s">
        <v>121</v>
      </c>
      <c r="M1587" t="s">
        <v>9</v>
      </c>
    </row>
    <row r="1588" spans="1:13" ht="15.75" customHeight="1" x14ac:dyDescent="0.2">
      <c r="A1588">
        <v>2394703</v>
      </c>
      <c r="B1588" s="9">
        <v>44080</v>
      </c>
      <c r="C1588" s="9">
        <v>44080</v>
      </c>
      <c r="D1588" t="s">
        <v>0</v>
      </c>
      <c r="E1588" t="s">
        <v>35</v>
      </c>
      <c r="F1588">
        <v>3</v>
      </c>
      <c r="G1588" t="s">
        <v>6</v>
      </c>
      <c r="H1588">
        <v>20</v>
      </c>
      <c r="I1588" t="s">
        <v>2</v>
      </c>
      <c r="K1588" s="1" t="s">
        <v>121</v>
      </c>
      <c r="M1588" t="s">
        <v>9</v>
      </c>
    </row>
    <row r="1589" spans="1:13" ht="15.75" customHeight="1" x14ac:dyDescent="0.2">
      <c r="A1589">
        <v>2394746</v>
      </c>
      <c r="B1589" s="9">
        <v>44080</v>
      </c>
      <c r="C1589" s="9">
        <v>44080</v>
      </c>
      <c r="D1589" t="s">
        <v>0</v>
      </c>
      <c r="E1589" t="s">
        <v>35</v>
      </c>
      <c r="F1589">
        <v>3</v>
      </c>
      <c r="G1589" t="s">
        <v>1</v>
      </c>
      <c r="H1589">
        <v>28</v>
      </c>
      <c r="I1589" t="s">
        <v>2</v>
      </c>
      <c r="K1589" s="1" t="s">
        <v>121</v>
      </c>
      <c r="M1589" t="s">
        <v>20</v>
      </c>
    </row>
    <row r="1590" spans="1:13" ht="15.75" customHeight="1" x14ac:dyDescent="0.2">
      <c r="A1590">
        <v>2396016</v>
      </c>
      <c r="B1590" s="9">
        <v>44080</v>
      </c>
      <c r="C1590" s="9">
        <v>44081</v>
      </c>
      <c r="D1590" t="s">
        <v>5</v>
      </c>
      <c r="E1590" t="s">
        <v>82</v>
      </c>
      <c r="F1590"/>
      <c r="G1590" t="s">
        <v>6</v>
      </c>
      <c r="H1590">
        <v>34</v>
      </c>
      <c r="I1590" t="s">
        <v>2</v>
      </c>
      <c r="K1590" s="1" t="s">
        <v>121</v>
      </c>
      <c r="M1590" t="s">
        <v>4</v>
      </c>
    </row>
    <row r="1591" spans="1:13" ht="15.75" customHeight="1" x14ac:dyDescent="0.2">
      <c r="A1591">
        <v>2396068</v>
      </c>
      <c r="B1591" s="9">
        <v>44080</v>
      </c>
      <c r="C1591" s="9">
        <v>44080</v>
      </c>
      <c r="D1591" t="s">
        <v>0</v>
      </c>
      <c r="E1591" t="s">
        <v>14</v>
      </c>
      <c r="F1591">
        <v>14</v>
      </c>
      <c r="G1591" t="s">
        <v>1</v>
      </c>
      <c r="H1591">
        <v>22</v>
      </c>
      <c r="I1591" t="s">
        <v>2</v>
      </c>
      <c r="K1591" s="1" t="s">
        <v>121</v>
      </c>
      <c r="M1591" t="s">
        <v>4</v>
      </c>
    </row>
    <row r="1592" spans="1:13" ht="15.75" customHeight="1" x14ac:dyDescent="0.2">
      <c r="A1592">
        <v>2396969</v>
      </c>
      <c r="B1592" s="9">
        <v>44081</v>
      </c>
      <c r="C1592" s="9">
        <v>44081</v>
      </c>
      <c r="D1592" t="s">
        <v>5</v>
      </c>
      <c r="E1592" t="s">
        <v>82</v>
      </c>
      <c r="F1592"/>
      <c r="G1592" t="s">
        <v>1</v>
      </c>
      <c r="H1592">
        <v>50</v>
      </c>
      <c r="I1592" t="s">
        <v>2</v>
      </c>
      <c r="K1592" s="1" t="s">
        <v>121</v>
      </c>
      <c r="M1592" t="s">
        <v>20</v>
      </c>
    </row>
    <row r="1593" spans="1:13" ht="15.75" customHeight="1" x14ac:dyDescent="0.2">
      <c r="A1593">
        <v>2397256</v>
      </c>
      <c r="B1593" s="9">
        <v>44080</v>
      </c>
      <c r="C1593" s="9">
        <v>44080</v>
      </c>
      <c r="D1593" t="s">
        <v>0</v>
      </c>
      <c r="E1593" t="s">
        <v>39</v>
      </c>
      <c r="F1593">
        <v>8</v>
      </c>
      <c r="G1593" t="s">
        <v>1</v>
      </c>
      <c r="H1593">
        <v>64</v>
      </c>
      <c r="I1593" t="s">
        <v>2</v>
      </c>
      <c r="K1593" s="1" t="s">
        <v>121</v>
      </c>
      <c r="M1593" t="s">
        <v>4</v>
      </c>
    </row>
    <row r="1594" spans="1:13" ht="15.75" customHeight="1" x14ac:dyDescent="0.2">
      <c r="A1594">
        <v>2397312</v>
      </c>
      <c r="B1594" s="9">
        <v>44079</v>
      </c>
      <c r="C1594" s="9">
        <v>44080</v>
      </c>
      <c r="D1594" t="s">
        <v>5</v>
      </c>
      <c r="E1594" s="1" t="s">
        <v>90</v>
      </c>
      <c r="F1594"/>
      <c r="G1594" t="s">
        <v>6</v>
      </c>
      <c r="H1594">
        <v>84</v>
      </c>
      <c r="I1594" t="s">
        <v>2</v>
      </c>
      <c r="K1594" s="1" t="s">
        <v>121</v>
      </c>
      <c r="M1594" t="s">
        <v>4</v>
      </c>
    </row>
    <row r="1595" spans="1:13" ht="15.75" customHeight="1" x14ac:dyDescent="0.2">
      <c r="A1595">
        <v>2397400</v>
      </c>
      <c r="B1595" s="9">
        <v>44080</v>
      </c>
      <c r="C1595" s="9">
        <v>44080</v>
      </c>
      <c r="D1595" t="s">
        <v>5</v>
      </c>
      <c r="E1595" t="s">
        <v>75</v>
      </c>
      <c r="F1595"/>
      <c r="G1595" t="s">
        <v>1</v>
      </c>
      <c r="H1595">
        <v>9</v>
      </c>
      <c r="I1595" t="s">
        <v>2</v>
      </c>
      <c r="K1595" s="1" t="s">
        <v>121</v>
      </c>
      <c r="M1595" t="s">
        <v>4</v>
      </c>
    </row>
    <row r="1596" spans="1:13" ht="15.75" customHeight="1" x14ac:dyDescent="0.2">
      <c r="A1596">
        <v>2397408</v>
      </c>
      <c r="B1596" s="9">
        <v>44080</v>
      </c>
      <c r="C1596" s="9">
        <v>44080</v>
      </c>
      <c r="D1596" t="s">
        <v>5</v>
      </c>
      <c r="E1596" t="s">
        <v>82</v>
      </c>
      <c r="F1596"/>
      <c r="G1596" t="s">
        <v>1</v>
      </c>
      <c r="H1596">
        <v>95</v>
      </c>
      <c r="I1596" t="s">
        <v>2</v>
      </c>
      <c r="K1596" s="1" t="s">
        <v>121</v>
      </c>
      <c r="M1596" t="s">
        <v>4</v>
      </c>
    </row>
    <row r="1597" spans="1:13" ht="15.75" customHeight="1" x14ac:dyDescent="0.2">
      <c r="A1597">
        <v>2397450</v>
      </c>
      <c r="B1597" s="9">
        <v>44080</v>
      </c>
      <c r="C1597" s="9">
        <v>44080</v>
      </c>
      <c r="D1597" t="s">
        <v>0</v>
      </c>
      <c r="E1597" t="s">
        <v>45</v>
      </c>
      <c r="F1597">
        <v>4</v>
      </c>
      <c r="G1597" t="s">
        <v>1</v>
      </c>
      <c r="H1597">
        <v>48</v>
      </c>
      <c r="I1597" t="s">
        <v>2</v>
      </c>
      <c r="K1597" s="1" t="s">
        <v>121</v>
      </c>
      <c r="M1597" t="s">
        <v>4</v>
      </c>
    </row>
    <row r="1598" spans="1:13" ht="15.75" customHeight="1" x14ac:dyDescent="0.2">
      <c r="A1598">
        <v>2397502</v>
      </c>
      <c r="B1598" s="9">
        <v>44080</v>
      </c>
      <c r="C1598" s="9">
        <v>44080</v>
      </c>
      <c r="D1598" t="s">
        <v>0</v>
      </c>
      <c r="E1598" t="s">
        <v>45</v>
      </c>
      <c r="F1598">
        <v>4</v>
      </c>
      <c r="G1598" t="s">
        <v>1</v>
      </c>
      <c r="H1598">
        <v>49</v>
      </c>
      <c r="I1598" t="s">
        <v>2</v>
      </c>
      <c r="K1598" s="1" t="s">
        <v>121</v>
      </c>
      <c r="M1598" t="s">
        <v>4</v>
      </c>
    </row>
    <row r="1599" spans="1:13" ht="15.75" customHeight="1" x14ac:dyDescent="0.2">
      <c r="A1599">
        <v>2397529</v>
      </c>
      <c r="B1599" s="9">
        <v>44080</v>
      </c>
      <c r="C1599" s="9">
        <v>44080</v>
      </c>
      <c r="D1599" t="s">
        <v>0</v>
      </c>
      <c r="E1599" t="s">
        <v>8</v>
      </c>
      <c r="F1599">
        <v>7</v>
      </c>
      <c r="G1599" t="s">
        <v>6</v>
      </c>
      <c r="H1599">
        <v>15</v>
      </c>
      <c r="I1599" t="s">
        <v>2</v>
      </c>
      <c r="K1599" s="1" t="s">
        <v>121</v>
      </c>
      <c r="M1599" t="s">
        <v>4</v>
      </c>
    </row>
    <row r="1600" spans="1:13" ht="15.75" customHeight="1" x14ac:dyDescent="0.2">
      <c r="A1600">
        <v>2397657</v>
      </c>
      <c r="B1600" s="9">
        <v>44080</v>
      </c>
      <c r="C1600" s="9">
        <v>44080</v>
      </c>
      <c r="D1600" t="s">
        <v>0</v>
      </c>
      <c r="E1600" t="s">
        <v>45</v>
      </c>
      <c r="F1600">
        <v>4</v>
      </c>
      <c r="G1600" t="s">
        <v>6</v>
      </c>
      <c r="H1600">
        <v>9</v>
      </c>
      <c r="I1600" t="s">
        <v>2</v>
      </c>
      <c r="K1600" s="1" t="s">
        <v>121</v>
      </c>
      <c r="M1600" t="s">
        <v>4</v>
      </c>
    </row>
    <row r="1601" spans="1:13" ht="15.75" customHeight="1" x14ac:dyDescent="0.2">
      <c r="A1601">
        <v>2397782</v>
      </c>
      <c r="B1601" s="9">
        <v>44080</v>
      </c>
      <c r="C1601" s="9">
        <v>44080</v>
      </c>
      <c r="D1601" t="s">
        <v>0</v>
      </c>
      <c r="E1601" t="s">
        <v>45</v>
      </c>
      <c r="F1601">
        <v>4</v>
      </c>
      <c r="G1601" t="s">
        <v>1</v>
      </c>
      <c r="H1601">
        <v>8</v>
      </c>
      <c r="I1601" t="s">
        <v>2</v>
      </c>
      <c r="K1601" s="1" t="s">
        <v>121</v>
      </c>
      <c r="M1601" t="s">
        <v>4</v>
      </c>
    </row>
    <row r="1602" spans="1:13" ht="15.75" customHeight="1" x14ac:dyDescent="0.2">
      <c r="A1602">
        <v>2397803</v>
      </c>
      <c r="B1602" s="9">
        <v>44080</v>
      </c>
      <c r="C1602" s="9">
        <v>44080</v>
      </c>
      <c r="D1602" t="s">
        <v>0</v>
      </c>
      <c r="E1602" t="s">
        <v>8</v>
      </c>
      <c r="F1602">
        <v>7</v>
      </c>
      <c r="G1602" t="s">
        <v>6</v>
      </c>
      <c r="H1602">
        <v>14</v>
      </c>
      <c r="I1602" t="s">
        <v>2</v>
      </c>
      <c r="K1602" s="1" t="s">
        <v>121</v>
      </c>
      <c r="M1602" t="s">
        <v>4</v>
      </c>
    </row>
    <row r="1603" spans="1:13" ht="15.75" customHeight="1" x14ac:dyDescent="0.2">
      <c r="A1603">
        <v>2397878</v>
      </c>
      <c r="B1603" s="9">
        <v>44080</v>
      </c>
      <c r="C1603" s="9">
        <v>44080</v>
      </c>
      <c r="D1603" t="s">
        <v>0</v>
      </c>
      <c r="E1603" t="s">
        <v>55</v>
      </c>
      <c r="F1603">
        <v>15</v>
      </c>
      <c r="G1603" t="s">
        <v>1</v>
      </c>
      <c r="H1603">
        <v>47</v>
      </c>
      <c r="I1603" t="s">
        <v>2</v>
      </c>
      <c r="K1603" s="1" t="s">
        <v>121</v>
      </c>
      <c r="M1603" t="s">
        <v>4</v>
      </c>
    </row>
    <row r="1604" spans="1:13" ht="15.75" customHeight="1" x14ac:dyDescent="0.2">
      <c r="A1604">
        <v>2397969</v>
      </c>
      <c r="B1604" s="9">
        <v>44080</v>
      </c>
      <c r="C1604" s="9">
        <v>44080</v>
      </c>
      <c r="D1604" t="s">
        <v>0</v>
      </c>
      <c r="E1604" t="s">
        <v>45</v>
      </c>
      <c r="F1604">
        <v>4</v>
      </c>
      <c r="G1604" t="s">
        <v>1</v>
      </c>
      <c r="H1604">
        <v>33</v>
      </c>
      <c r="I1604" t="s">
        <v>2</v>
      </c>
      <c r="K1604" s="1" t="s">
        <v>121</v>
      </c>
      <c r="M1604" t="s">
        <v>4</v>
      </c>
    </row>
    <row r="1605" spans="1:13" ht="15.75" customHeight="1" x14ac:dyDescent="0.2">
      <c r="A1605">
        <v>2398861</v>
      </c>
      <c r="B1605" s="9">
        <v>44080</v>
      </c>
      <c r="C1605" s="9">
        <v>44080</v>
      </c>
      <c r="D1605" t="s">
        <v>5</v>
      </c>
      <c r="E1605" t="s">
        <v>82</v>
      </c>
      <c r="F1605"/>
      <c r="G1605" t="s">
        <v>6</v>
      </c>
      <c r="H1605">
        <v>8</v>
      </c>
      <c r="I1605" t="s">
        <v>2</v>
      </c>
      <c r="K1605" s="1" t="s">
        <v>121</v>
      </c>
      <c r="M1605" t="s">
        <v>9</v>
      </c>
    </row>
    <row r="1606" spans="1:13" ht="15.75" customHeight="1" x14ac:dyDescent="0.2">
      <c r="A1606">
        <v>2574792</v>
      </c>
      <c r="B1606" s="9">
        <v>44087</v>
      </c>
      <c r="C1606" s="9">
        <v>44087</v>
      </c>
      <c r="D1606" t="s">
        <v>0</v>
      </c>
      <c r="E1606" t="s">
        <v>8</v>
      </c>
      <c r="F1606">
        <v>7</v>
      </c>
      <c r="G1606" t="s">
        <v>1</v>
      </c>
      <c r="H1606">
        <v>15</v>
      </c>
      <c r="I1606" t="s">
        <v>2</v>
      </c>
      <c r="K1606" s="1" t="s">
        <v>121</v>
      </c>
      <c r="M1606" t="s">
        <v>4</v>
      </c>
    </row>
    <row r="1607" spans="1:13" ht="15.75" customHeight="1" x14ac:dyDescent="0.2">
      <c r="A1607">
        <v>2576743</v>
      </c>
      <c r="B1607" s="9">
        <v>44086</v>
      </c>
      <c r="C1607" s="9">
        <v>44088</v>
      </c>
      <c r="D1607" t="s">
        <v>0</v>
      </c>
      <c r="E1607" t="s">
        <v>26</v>
      </c>
      <c r="F1607">
        <v>4</v>
      </c>
      <c r="G1607" t="s">
        <v>1</v>
      </c>
      <c r="H1607">
        <v>52</v>
      </c>
      <c r="I1607" t="s">
        <v>2</v>
      </c>
      <c r="K1607" s="1" t="s">
        <v>121</v>
      </c>
      <c r="M1607" t="s">
        <v>9</v>
      </c>
    </row>
    <row r="1608" spans="1:13" ht="15.75" customHeight="1" x14ac:dyDescent="0.2">
      <c r="A1608">
        <v>2577652</v>
      </c>
      <c r="B1608" s="9">
        <v>44087</v>
      </c>
      <c r="C1608" s="9">
        <v>44087</v>
      </c>
      <c r="D1608" t="s">
        <v>0</v>
      </c>
      <c r="E1608" t="s">
        <v>8</v>
      </c>
      <c r="F1608">
        <v>7</v>
      </c>
      <c r="G1608" t="s">
        <v>6</v>
      </c>
      <c r="H1608">
        <v>30</v>
      </c>
      <c r="I1608" t="s">
        <v>2</v>
      </c>
      <c r="K1608" s="1" t="s">
        <v>121</v>
      </c>
      <c r="M1608" t="s">
        <v>4</v>
      </c>
    </row>
    <row r="1609" spans="1:13" ht="15.75" customHeight="1" x14ac:dyDescent="0.2">
      <c r="A1609">
        <v>2579721</v>
      </c>
      <c r="B1609" s="9">
        <v>44087</v>
      </c>
      <c r="C1609" s="9">
        <v>44087</v>
      </c>
      <c r="D1609" t="s">
        <v>5</v>
      </c>
      <c r="E1609" t="s">
        <v>82</v>
      </c>
      <c r="F1609"/>
      <c r="G1609" t="s">
        <v>6</v>
      </c>
      <c r="H1609">
        <v>60</v>
      </c>
      <c r="I1609" t="s">
        <v>2</v>
      </c>
      <c r="K1609" s="1" t="s">
        <v>121</v>
      </c>
      <c r="M1609" t="s">
        <v>20</v>
      </c>
    </row>
    <row r="1610" spans="1:13" ht="15.75" customHeight="1" x14ac:dyDescent="0.2">
      <c r="A1610">
        <v>2580010</v>
      </c>
      <c r="B1610" s="9">
        <v>44087</v>
      </c>
      <c r="C1610" s="9">
        <v>44087</v>
      </c>
      <c r="D1610" t="s">
        <v>0</v>
      </c>
      <c r="E1610" t="s">
        <v>18</v>
      </c>
      <c r="F1610">
        <v>8</v>
      </c>
      <c r="G1610" t="s">
        <v>1</v>
      </c>
      <c r="H1610">
        <v>65</v>
      </c>
      <c r="I1610" t="s">
        <v>2</v>
      </c>
      <c r="K1610" s="1" t="s">
        <v>121</v>
      </c>
      <c r="M1610" t="s">
        <v>4</v>
      </c>
    </row>
    <row r="1611" spans="1:13" ht="15.75" customHeight="1" x14ac:dyDescent="0.2">
      <c r="A1611">
        <v>2584905</v>
      </c>
      <c r="B1611" s="9">
        <v>44087</v>
      </c>
      <c r="C1611" s="9">
        <v>44089</v>
      </c>
      <c r="D1611" t="s">
        <v>0</v>
      </c>
      <c r="E1611" t="s">
        <v>34</v>
      </c>
      <c r="F1611">
        <v>9</v>
      </c>
      <c r="G1611" t="s">
        <v>1</v>
      </c>
      <c r="H1611">
        <v>50</v>
      </c>
      <c r="I1611" t="s">
        <v>2</v>
      </c>
      <c r="K1611" s="1" t="s">
        <v>121</v>
      </c>
      <c r="M1611" t="s">
        <v>20</v>
      </c>
    </row>
    <row r="1612" spans="1:13" ht="15.75" customHeight="1" x14ac:dyDescent="0.2">
      <c r="A1612">
        <v>2585531</v>
      </c>
      <c r="B1612" s="9">
        <v>44088</v>
      </c>
      <c r="C1612" s="9">
        <v>44090</v>
      </c>
      <c r="D1612" t="s">
        <v>5</v>
      </c>
      <c r="E1612" s="5" t="s">
        <v>76</v>
      </c>
      <c r="F1612"/>
      <c r="G1612" t="s">
        <v>1</v>
      </c>
      <c r="H1612">
        <v>52</v>
      </c>
      <c r="I1612" t="s">
        <v>2</v>
      </c>
      <c r="K1612" s="1" t="s">
        <v>121</v>
      </c>
      <c r="M1612" t="s">
        <v>20</v>
      </c>
    </row>
    <row r="1613" spans="1:13" ht="15.75" customHeight="1" x14ac:dyDescent="0.2">
      <c r="A1613">
        <v>2590898</v>
      </c>
      <c r="B1613" s="9">
        <v>44087</v>
      </c>
      <c r="C1613" s="9">
        <v>44087</v>
      </c>
      <c r="D1613" t="s">
        <v>5</v>
      </c>
      <c r="E1613" t="s">
        <v>82</v>
      </c>
      <c r="F1613"/>
      <c r="G1613" t="s">
        <v>1</v>
      </c>
      <c r="H1613">
        <v>40</v>
      </c>
      <c r="I1613" t="s">
        <v>2</v>
      </c>
      <c r="K1613" s="1" t="s">
        <v>121</v>
      </c>
      <c r="M1613" t="s">
        <v>4</v>
      </c>
    </row>
    <row r="1614" spans="1:13" ht="15.75" customHeight="1" x14ac:dyDescent="0.2">
      <c r="A1614">
        <v>2591128</v>
      </c>
      <c r="B1614" s="9">
        <v>44087</v>
      </c>
      <c r="C1614" s="9">
        <v>44087</v>
      </c>
      <c r="D1614" t="s">
        <v>0</v>
      </c>
      <c r="E1614" t="s">
        <v>52</v>
      </c>
      <c r="F1614">
        <v>11</v>
      </c>
      <c r="G1614" t="s">
        <v>1</v>
      </c>
      <c r="H1614">
        <v>38</v>
      </c>
      <c r="I1614" t="s">
        <v>2</v>
      </c>
      <c r="K1614" s="1" t="s">
        <v>121</v>
      </c>
      <c r="M1614" t="s">
        <v>4</v>
      </c>
    </row>
    <row r="1615" spans="1:13" ht="15.75" customHeight="1" x14ac:dyDescent="0.2">
      <c r="A1615">
        <v>2591667</v>
      </c>
      <c r="B1615" s="9">
        <v>44083</v>
      </c>
      <c r="C1615" s="9">
        <v>44083</v>
      </c>
      <c r="D1615" t="s">
        <v>5</v>
      </c>
      <c r="E1615" t="s">
        <v>82</v>
      </c>
      <c r="F1615"/>
      <c r="G1615" t="s">
        <v>6</v>
      </c>
      <c r="H1615">
        <v>41</v>
      </c>
      <c r="I1615" t="s">
        <v>2</v>
      </c>
      <c r="K1615" s="1" t="s">
        <v>121</v>
      </c>
      <c r="M1615" t="s">
        <v>4</v>
      </c>
    </row>
    <row r="1616" spans="1:13" ht="15.75" customHeight="1" x14ac:dyDescent="0.2">
      <c r="A1616">
        <v>2591869</v>
      </c>
      <c r="B1616" s="9">
        <v>44088</v>
      </c>
      <c r="C1616" s="9">
        <v>44088</v>
      </c>
      <c r="D1616" t="s">
        <v>0</v>
      </c>
      <c r="E1616" t="s">
        <v>48</v>
      </c>
      <c r="F1616">
        <v>10</v>
      </c>
      <c r="G1616" t="s">
        <v>1</v>
      </c>
      <c r="H1616">
        <v>26</v>
      </c>
      <c r="I1616" t="s">
        <v>2</v>
      </c>
      <c r="K1616" s="1" t="s">
        <v>121</v>
      </c>
      <c r="M1616" t="s">
        <v>4</v>
      </c>
    </row>
    <row r="1617" spans="1:13" ht="15.75" customHeight="1" x14ac:dyDescent="0.2">
      <c r="A1617">
        <v>2599082</v>
      </c>
      <c r="B1617" s="9">
        <v>44088</v>
      </c>
      <c r="C1617" s="9">
        <v>44092</v>
      </c>
      <c r="D1617" t="s">
        <v>5</v>
      </c>
      <c r="E1617" t="s">
        <v>83</v>
      </c>
      <c r="F1617"/>
      <c r="G1617" t="s">
        <v>6</v>
      </c>
      <c r="H1617">
        <v>41</v>
      </c>
      <c r="I1617" t="s">
        <v>2</v>
      </c>
      <c r="K1617" s="1" t="s">
        <v>121</v>
      </c>
      <c r="M1617" t="s">
        <v>4</v>
      </c>
    </row>
    <row r="1618" spans="1:13" ht="15.75" customHeight="1" x14ac:dyDescent="0.2">
      <c r="A1618">
        <v>2600188</v>
      </c>
      <c r="B1618" s="9">
        <v>44088</v>
      </c>
      <c r="C1618" s="9">
        <v>44088</v>
      </c>
      <c r="D1618" t="s">
        <v>0</v>
      </c>
      <c r="E1618" t="s">
        <v>39</v>
      </c>
      <c r="F1618">
        <v>8</v>
      </c>
      <c r="G1618" t="s">
        <v>6</v>
      </c>
      <c r="H1618">
        <v>31</v>
      </c>
      <c r="I1618" t="s">
        <v>2</v>
      </c>
      <c r="K1618" s="1" t="s">
        <v>121</v>
      </c>
      <c r="M1618" t="s">
        <v>4</v>
      </c>
    </row>
    <row r="1619" spans="1:13" ht="15.75" customHeight="1" x14ac:dyDescent="0.2">
      <c r="A1619">
        <v>2600334</v>
      </c>
      <c r="B1619" s="9">
        <v>44088</v>
      </c>
      <c r="C1619" s="9">
        <v>44088</v>
      </c>
      <c r="D1619" t="s">
        <v>0</v>
      </c>
      <c r="E1619" t="s">
        <v>17</v>
      </c>
      <c r="F1619">
        <v>1</v>
      </c>
      <c r="G1619" t="s">
        <v>6</v>
      </c>
      <c r="H1619">
        <v>71</v>
      </c>
      <c r="I1619" t="s">
        <v>2</v>
      </c>
      <c r="K1619" s="1" t="s">
        <v>121</v>
      </c>
      <c r="M1619" t="s">
        <v>4</v>
      </c>
    </row>
    <row r="1620" spans="1:13" ht="15.75" customHeight="1" x14ac:dyDescent="0.2">
      <c r="A1620">
        <v>2600381</v>
      </c>
      <c r="B1620" s="9">
        <v>44088</v>
      </c>
      <c r="C1620" s="9">
        <v>44088</v>
      </c>
      <c r="D1620" t="s">
        <v>0</v>
      </c>
      <c r="E1620" t="s">
        <v>39</v>
      </c>
      <c r="F1620">
        <v>8</v>
      </c>
      <c r="G1620" t="s">
        <v>1</v>
      </c>
      <c r="H1620">
        <v>37</v>
      </c>
      <c r="I1620" t="s">
        <v>2</v>
      </c>
      <c r="K1620" s="1" t="s">
        <v>121</v>
      </c>
      <c r="M1620" t="s">
        <v>4</v>
      </c>
    </row>
    <row r="1621" spans="1:13" ht="15.75" customHeight="1" x14ac:dyDescent="0.2">
      <c r="A1621">
        <v>2606722</v>
      </c>
      <c r="B1621" s="9">
        <v>44088</v>
      </c>
      <c r="C1621" s="9">
        <v>44088</v>
      </c>
      <c r="D1621" t="s">
        <v>0</v>
      </c>
      <c r="E1621" t="s">
        <v>10</v>
      </c>
      <c r="F1621">
        <v>5</v>
      </c>
      <c r="G1621" t="s">
        <v>6</v>
      </c>
      <c r="H1621">
        <v>67</v>
      </c>
      <c r="I1621" t="s">
        <v>2</v>
      </c>
      <c r="K1621" s="1" t="s">
        <v>121</v>
      </c>
      <c r="M1621" t="s">
        <v>4</v>
      </c>
    </row>
    <row r="1622" spans="1:13" ht="15.75" customHeight="1" x14ac:dyDescent="0.2">
      <c r="A1622">
        <v>2607772</v>
      </c>
      <c r="B1622" s="9">
        <v>44088</v>
      </c>
      <c r="C1622" s="9">
        <v>44088</v>
      </c>
      <c r="D1622" t="s">
        <v>0</v>
      </c>
      <c r="E1622" t="s">
        <v>18</v>
      </c>
      <c r="F1622">
        <v>8</v>
      </c>
      <c r="G1622" t="s">
        <v>1</v>
      </c>
      <c r="H1622">
        <v>47</v>
      </c>
      <c r="I1622" t="s">
        <v>2</v>
      </c>
      <c r="K1622" s="1" t="s">
        <v>121</v>
      </c>
      <c r="M1622" t="s">
        <v>4</v>
      </c>
    </row>
    <row r="1623" spans="1:13" ht="15.75" customHeight="1" x14ac:dyDescent="0.2">
      <c r="A1623">
        <v>2607791</v>
      </c>
      <c r="B1623" s="9">
        <v>44088</v>
      </c>
      <c r="C1623" s="9">
        <v>44088</v>
      </c>
      <c r="D1623" t="s">
        <v>0</v>
      </c>
      <c r="E1623" t="s">
        <v>24</v>
      </c>
      <c r="F1623">
        <v>9</v>
      </c>
      <c r="G1623" t="s">
        <v>1</v>
      </c>
      <c r="H1623">
        <v>49</v>
      </c>
      <c r="I1623" t="s">
        <v>2</v>
      </c>
      <c r="K1623" s="1" t="s">
        <v>121</v>
      </c>
      <c r="M1623" t="s">
        <v>4</v>
      </c>
    </row>
    <row r="1624" spans="1:13" ht="15.75" customHeight="1" x14ac:dyDescent="0.2">
      <c r="A1624">
        <v>2607815</v>
      </c>
      <c r="B1624" s="9">
        <v>44088</v>
      </c>
      <c r="C1624" s="9">
        <v>44088</v>
      </c>
      <c r="D1624" t="s">
        <v>5</v>
      </c>
      <c r="E1624" t="s">
        <v>82</v>
      </c>
      <c r="F1624"/>
      <c r="G1624" t="s">
        <v>6</v>
      </c>
      <c r="H1624">
        <v>15</v>
      </c>
      <c r="I1624" t="s">
        <v>2</v>
      </c>
      <c r="K1624" s="1" t="s">
        <v>121</v>
      </c>
      <c r="M1624" t="s">
        <v>4</v>
      </c>
    </row>
    <row r="1625" spans="1:13" ht="15.75" customHeight="1" x14ac:dyDescent="0.2">
      <c r="A1625">
        <v>2607844</v>
      </c>
      <c r="B1625" s="9">
        <v>44088</v>
      </c>
      <c r="C1625" s="9">
        <v>44092</v>
      </c>
      <c r="D1625" t="s">
        <v>5</v>
      </c>
      <c r="E1625" s="1" t="s">
        <v>90</v>
      </c>
      <c r="F1625"/>
      <c r="G1625" t="s">
        <v>6</v>
      </c>
      <c r="H1625">
        <v>49</v>
      </c>
      <c r="I1625" t="s">
        <v>2</v>
      </c>
      <c r="K1625" s="1" t="s">
        <v>121</v>
      </c>
      <c r="M1625" t="s">
        <v>4</v>
      </c>
    </row>
    <row r="1626" spans="1:13" ht="15.75" customHeight="1" x14ac:dyDescent="0.2">
      <c r="A1626">
        <v>2607859</v>
      </c>
      <c r="B1626" s="9">
        <v>44088</v>
      </c>
      <c r="C1626" s="9">
        <v>44088</v>
      </c>
      <c r="D1626" t="s">
        <v>0</v>
      </c>
      <c r="E1626" t="s">
        <v>45</v>
      </c>
      <c r="F1626">
        <v>4</v>
      </c>
      <c r="G1626" t="s">
        <v>1</v>
      </c>
      <c r="H1626">
        <v>21</v>
      </c>
      <c r="I1626" t="s">
        <v>2</v>
      </c>
      <c r="K1626" s="1" t="s">
        <v>121</v>
      </c>
      <c r="M1626" t="s">
        <v>4</v>
      </c>
    </row>
    <row r="1627" spans="1:13" ht="15.75" customHeight="1" x14ac:dyDescent="0.2">
      <c r="A1627">
        <v>2612527</v>
      </c>
      <c r="B1627" s="9">
        <v>44085</v>
      </c>
      <c r="C1627" s="9">
        <v>44085</v>
      </c>
      <c r="D1627" t="s">
        <v>0</v>
      </c>
      <c r="E1627" t="s">
        <v>7</v>
      </c>
      <c r="F1627">
        <v>3</v>
      </c>
      <c r="G1627" t="s">
        <v>6</v>
      </c>
      <c r="H1627">
        <v>34</v>
      </c>
      <c r="I1627" t="s">
        <v>2</v>
      </c>
      <c r="K1627" s="1" t="s">
        <v>121</v>
      </c>
      <c r="M1627" t="s">
        <v>4</v>
      </c>
    </row>
    <row r="1628" spans="1:13" ht="15.75" customHeight="1" x14ac:dyDescent="0.2">
      <c r="A1628">
        <v>2630626</v>
      </c>
      <c r="B1628" s="9">
        <v>44089</v>
      </c>
      <c r="C1628" s="9">
        <v>44089</v>
      </c>
      <c r="D1628" t="s">
        <v>0</v>
      </c>
      <c r="E1628" t="s">
        <v>37</v>
      </c>
      <c r="F1628">
        <v>13</v>
      </c>
      <c r="G1628" t="s">
        <v>6</v>
      </c>
      <c r="H1628">
        <v>71</v>
      </c>
      <c r="I1628" t="s">
        <v>2</v>
      </c>
      <c r="K1628" s="1" t="s">
        <v>121</v>
      </c>
      <c r="M1628" t="s">
        <v>4</v>
      </c>
    </row>
    <row r="1629" spans="1:13" ht="15.75" customHeight="1" x14ac:dyDescent="0.2">
      <c r="A1629">
        <v>2637807</v>
      </c>
      <c r="B1629" s="9">
        <v>44088</v>
      </c>
      <c r="C1629" s="9">
        <v>44090</v>
      </c>
      <c r="D1629" t="s">
        <v>0</v>
      </c>
      <c r="E1629" t="s">
        <v>23</v>
      </c>
      <c r="F1629">
        <v>10</v>
      </c>
      <c r="G1629" t="s">
        <v>1</v>
      </c>
      <c r="H1629">
        <v>37</v>
      </c>
      <c r="I1629" t="s">
        <v>2</v>
      </c>
      <c r="K1629" s="1" t="s">
        <v>121</v>
      </c>
      <c r="M1629" t="s">
        <v>22</v>
      </c>
    </row>
    <row r="1630" spans="1:13" ht="15.75" customHeight="1" x14ac:dyDescent="0.2">
      <c r="A1630">
        <v>2640428</v>
      </c>
      <c r="B1630" s="9">
        <v>44089</v>
      </c>
      <c r="C1630" s="9">
        <v>44089</v>
      </c>
      <c r="D1630" t="s">
        <v>0</v>
      </c>
      <c r="E1630" t="s">
        <v>45</v>
      </c>
      <c r="F1630">
        <v>4</v>
      </c>
      <c r="G1630" t="s">
        <v>6</v>
      </c>
      <c r="H1630">
        <v>19</v>
      </c>
      <c r="I1630" t="s">
        <v>2</v>
      </c>
      <c r="K1630" s="1" t="s">
        <v>121</v>
      </c>
      <c r="M1630" t="s">
        <v>4</v>
      </c>
    </row>
    <row r="1631" spans="1:13" ht="15.75" customHeight="1" x14ac:dyDescent="0.2">
      <c r="A1631">
        <v>2650219</v>
      </c>
      <c r="B1631" s="9">
        <v>44089</v>
      </c>
      <c r="C1631" s="9">
        <v>44089</v>
      </c>
      <c r="D1631" t="s">
        <v>0</v>
      </c>
      <c r="E1631" t="s">
        <v>37</v>
      </c>
      <c r="F1631">
        <v>13</v>
      </c>
      <c r="G1631" t="s">
        <v>6</v>
      </c>
      <c r="H1631">
        <v>39</v>
      </c>
      <c r="I1631" t="s">
        <v>2</v>
      </c>
      <c r="K1631" s="1" t="s">
        <v>121</v>
      </c>
      <c r="M1631" t="s">
        <v>22</v>
      </c>
    </row>
    <row r="1632" spans="1:13" ht="15.75" customHeight="1" x14ac:dyDescent="0.2">
      <c r="A1632">
        <v>2700334</v>
      </c>
      <c r="B1632" s="9">
        <v>44091</v>
      </c>
      <c r="C1632" s="9">
        <v>44091</v>
      </c>
      <c r="D1632" t="s">
        <v>0</v>
      </c>
      <c r="E1632" t="s">
        <v>18</v>
      </c>
      <c r="F1632">
        <v>8</v>
      </c>
      <c r="G1632" t="s">
        <v>1</v>
      </c>
      <c r="H1632">
        <v>42</v>
      </c>
      <c r="I1632" t="s">
        <v>2</v>
      </c>
      <c r="K1632" s="1" t="s">
        <v>121</v>
      </c>
      <c r="M1632" t="s">
        <v>4</v>
      </c>
    </row>
    <row r="1633" spans="1:13" ht="15.75" customHeight="1" x14ac:dyDescent="0.2">
      <c r="A1633">
        <v>2700377</v>
      </c>
      <c r="B1633" s="9">
        <v>44091</v>
      </c>
      <c r="C1633" s="9">
        <v>44091</v>
      </c>
      <c r="D1633" t="s">
        <v>0</v>
      </c>
      <c r="E1633" s="5" t="s">
        <v>19</v>
      </c>
      <c r="F1633">
        <v>15</v>
      </c>
      <c r="G1633" t="s">
        <v>1</v>
      </c>
      <c r="H1633">
        <v>8</v>
      </c>
      <c r="I1633" t="s">
        <v>2</v>
      </c>
      <c r="K1633" s="1" t="s">
        <v>121</v>
      </c>
      <c r="M1633" t="s">
        <v>4</v>
      </c>
    </row>
    <row r="1634" spans="1:13" ht="15.75" customHeight="1" x14ac:dyDescent="0.2">
      <c r="A1634">
        <v>2808685</v>
      </c>
      <c r="B1634" s="9">
        <v>44096</v>
      </c>
      <c r="C1634" s="9">
        <v>44096</v>
      </c>
      <c r="D1634" t="s">
        <v>0</v>
      </c>
      <c r="E1634" t="s">
        <v>14</v>
      </c>
      <c r="F1634">
        <v>14</v>
      </c>
      <c r="G1634" t="s">
        <v>1</v>
      </c>
      <c r="H1634">
        <v>63</v>
      </c>
      <c r="I1634" t="s">
        <v>2</v>
      </c>
      <c r="K1634" s="1" t="s">
        <v>121</v>
      </c>
      <c r="M1634" t="s">
        <v>22</v>
      </c>
    </row>
    <row r="1635" spans="1:13" ht="15.75" customHeight="1" x14ac:dyDescent="0.2">
      <c r="A1635">
        <v>2934253</v>
      </c>
      <c r="B1635" s="9">
        <v>44077</v>
      </c>
      <c r="C1635" s="9">
        <v>44077</v>
      </c>
      <c r="D1635" t="s">
        <v>0</v>
      </c>
      <c r="E1635" t="s">
        <v>54</v>
      </c>
      <c r="F1635">
        <v>7</v>
      </c>
      <c r="G1635" t="s">
        <v>1</v>
      </c>
      <c r="H1635">
        <v>69</v>
      </c>
      <c r="I1635" t="s">
        <v>2</v>
      </c>
      <c r="K1635" s="1" t="s">
        <v>121</v>
      </c>
      <c r="M1635" t="s">
        <v>4</v>
      </c>
    </row>
    <row r="1636" spans="1:13" ht="15.75" customHeight="1" x14ac:dyDescent="0.2">
      <c r="A1636">
        <v>2934475</v>
      </c>
      <c r="B1636" s="9">
        <v>44077</v>
      </c>
      <c r="C1636" s="9">
        <v>44077</v>
      </c>
      <c r="D1636" t="s">
        <v>5</v>
      </c>
      <c r="E1636" t="s">
        <v>75</v>
      </c>
      <c r="F1636"/>
      <c r="G1636" t="s">
        <v>6</v>
      </c>
      <c r="H1636">
        <v>65</v>
      </c>
      <c r="I1636" t="s">
        <v>2</v>
      </c>
      <c r="K1636" s="1" t="s">
        <v>121</v>
      </c>
      <c r="M1636" t="s">
        <v>4</v>
      </c>
    </row>
    <row r="1637" spans="1:13" ht="15.75" customHeight="1" x14ac:dyDescent="0.2">
      <c r="A1637">
        <v>2419914</v>
      </c>
      <c r="B1637" s="9">
        <v>44081</v>
      </c>
      <c r="C1637" s="9">
        <v>43848</v>
      </c>
      <c r="D1637" t="s">
        <v>5</v>
      </c>
      <c r="E1637" t="s">
        <v>82</v>
      </c>
      <c r="F1637"/>
      <c r="G1637" t="s">
        <v>1</v>
      </c>
      <c r="H1637">
        <v>30</v>
      </c>
      <c r="I1637" t="s">
        <v>2</v>
      </c>
      <c r="K1637" s="1" t="s">
        <v>121</v>
      </c>
      <c r="M1637" t="s">
        <v>4</v>
      </c>
    </row>
    <row r="1638" spans="1:13" ht="15.75" customHeight="1" x14ac:dyDescent="0.2">
      <c r="A1638">
        <v>2583792</v>
      </c>
      <c r="B1638" s="9">
        <v>44087</v>
      </c>
      <c r="C1638" s="9">
        <v>44087</v>
      </c>
      <c r="D1638" t="s">
        <v>0</v>
      </c>
      <c r="E1638" t="s">
        <v>35</v>
      </c>
      <c r="F1638">
        <v>3</v>
      </c>
      <c r="G1638" t="s">
        <v>6</v>
      </c>
      <c r="H1638">
        <v>52</v>
      </c>
      <c r="I1638" t="s">
        <v>2</v>
      </c>
      <c r="K1638" s="1" t="s">
        <v>121</v>
      </c>
      <c r="M1638" t="s">
        <v>4</v>
      </c>
    </row>
    <row r="1639" spans="1:13" ht="15.75" customHeight="1" x14ac:dyDescent="0.2">
      <c r="A1639">
        <v>2589658</v>
      </c>
      <c r="B1639" s="9">
        <v>44085</v>
      </c>
      <c r="C1639" s="9">
        <v>44088</v>
      </c>
      <c r="D1639" t="s">
        <v>5</v>
      </c>
      <c r="E1639" t="s">
        <v>82</v>
      </c>
      <c r="F1639"/>
      <c r="G1639" t="s">
        <v>6</v>
      </c>
      <c r="H1639">
        <v>71</v>
      </c>
      <c r="I1639" t="s">
        <v>2</v>
      </c>
      <c r="K1639" s="1" t="s">
        <v>121</v>
      </c>
      <c r="M1639" t="s">
        <v>4</v>
      </c>
    </row>
    <row r="1640" spans="1:13" ht="15.75" customHeight="1" x14ac:dyDescent="0.2">
      <c r="A1640">
        <v>2589746</v>
      </c>
      <c r="B1640" s="9">
        <v>44088</v>
      </c>
      <c r="C1640" s="9">
        <v>44088</v>
      </c>
      <c r="D1640" t="s">
        <v>5</v>
      </c>
      <c r="E1640" t="s">
        <v>83</v>
      </c>
      <c r="F1640"/>
      <c r="G1640" t="s">
        <v>1</v>
      </c>
      <c r="H1640">
        <v>20</v>
      </c>
      <c r="I1640" t="s">
        <v>2</v>
      </c>
      <c r="K1640" s="1" t="s">
        <v>121</v>
      </c>
      <c r="M1640" t="s">
        <v>4</v>
      </c>
    </row>
    <row r="1641" spans="1:13" ht="15.75" customHeight="1" x14ac:dyDescent="0.2">
      <c r="A1641">
        <v>2591165</v>
      </c>
      <c r="B1641" s="9">
        <v>44087</v>
      </c>
      <c r="C1641" s="9">
        <v>44087</v>
      </c>
      <c r="D1641" t="s">
        <v>0</v>
      </c>
      <c r="E1641" t="s">
        <v>12</v>
      </c>
      <c r="F1641">
        <v>1</v>
      </c>
      <c r="G1641" t="s">
        <v>1</v>
      </c>
      <c r="H1641">
        <v>35</v>
      </c>
      <c r="I1641" t="s">
        <v>2</v>
      </c>
      <c r="K1641" s="1" t="s">
        <v>121</v>
      </c>
      <c r="M1641" t="s">
        <v>4</v>
      </c>
    </row>
    <row r="1642" spans="1:13" ht="15.75" customHeight="1" x14ac:dyDescent="0.2">
      <c r="A1642">
        <v>2605655</v>
      </c>
      <c r="B1642" s="9">
        <v>44088</v>
      </c>
      <c r="C1642" s="9">
        <v>44088</v>
      </c>
      <c r="D1642" t="s">
        <v>0</v>
      </c>
      <c r="E1642" t="s">
        <v>45</v>
      </c>
      <c r="F1642">
        <v>4</v>
      </c>
      <c r="G1642" t="s">
        <v>6</v>
      </c>
      <c r="H1642">
        <v>15</v>
      </c>
      <c r="I1642" t="s">
        <v>2</v>
      </c>
      <c r="K1642" s="1" t="s">
        <v>121</v>
      </c>
      <c r="M1642" t="s">
        <v>4</v>
      </c>
    </row>
    <row r="1643" spans="1:13" ht="15.75" customHeight="1" x14ac:dyDescent="0.2">
      <c r="A1643">
        <v>2637077</v>
      </c>
      <c r="B1643" s="9">
        <v>44089</v>
      </c>
      <c r="C1643" s="9">
        <v>44095</v>
      </c>
      <c r="D1643" t="s">
        <v>0</v>
      </c>
      <c r="E1643" t="s">
        <v>37</v>
      </c>
      <c r="F1643">
        <v>13</v>
      </c>
      <c r="G1643" t="s">
        <v>1</v>
      </c>
      <c r="H1643">
        <v>59</v>
      </c>
      <c r="I1643" t="s">
        <v>2</v>
      </c>
      <c r="K1643" s="1" t="s">
        <v>121</v>
      </c>
      <c r="M1643" t="s">
        <v>4</v>
      </c>
    </row>
    <row r="1644" spans="1:13" ht="15.75" customHeight="1" x14ac:dyDescent="0.2">
      <c r="A1644">
        <v>2638018</v>
      </c>
      <c r="B1644" s="9">
        <v>44075</v>
      </c>
      <c r="C1644" s="9">
        <v>44075</v>
      </c>
      <c r="D1644" t="s">
        <v>0</v>
      </c>
      <c r="E1644" t="s">
        <v>13</v>
      </c>
      <c r="F1644">
        <v>2</v>
      </c>
      <c r="G1644" t="s">
        <v>6</v>
      </c>
      <c r="H1644">
        <v>54</v>
      </c>
      <c r="I1644" t="s">
        <v>2</v>
      </c>
      <c r="K1644" s="1" t="s">
        <v>121</v>
      </c>
      <c r="M1644" t="s">
        <v>4</v>
      </c>
    </row>
    <row r="1645" spans="1:13" ht="15.75" customHeight="1" x14ac:dyDescent="0.2">
      <c r="A1645">
        <v>2650178</v>
      </c>
      <c r="B1645" s="9">
        <v>44089</v>
      </c>
      <c r="C1645" s="9">
        <v>44090</v>
      </c>
      <c r="D1645" t="s">
        <v>5</v>
      </c>
      <c r="E1645" t="s">
        <v>82</v>
      </c>
      <c r="F1645"/>
      <c r="G1645" t="s">
        <v>6</v>
      </c>
      <c r="H1645">
        <v>59</v>
      </c>
      <c r="I1645" t="s">
        <v>2</v>
      </c>
      <c r="K1645" s="1" t="s">
        <v>121</v>
      </c>
      <c r="M1645" t="s">
        <v>4</v>
      </c>
    </row>
    <row r="1646" spans="1:13" ht="15.75" customHeight="1" x14ac:dyDescent="0.2">
      <c r="A1646">
        <v>1277296</v>
      </c>
      <c r="B1646" s="9">
        <v>44019</v>
      </c>
      <c r="C1646" s="9">
        <v>44020</v>
      </c>
      <c r="D1646" t="s">
        <v>0</v>
      </c>
      <c r="E1646" t="s">
        <v>10</v>
      </c>
      <c r="F1646">
        <v>5</v>
      </c>
      <c r="G1646" t="s">
        <v>6</v>
      </c>
      <c r="H1646">
        <v>40</v>
      </c>
      <c r="I1646" t="s">
        <v>2</v>
      </c>
      <c r="K1646" s="1" t="s">
        <v>121</v>
      </c>
      <c r="M1646" t="s">
        <v>4</v>
      </c>
    </row>
    <row r="1647" spans="1:13" ht="15.75" customHeight="1" x14ac:dyDescent="0.2">
      <c r="A1647">
        <v>1815553</v>
      </c>
      <c r="B1647" s="9">
        <v>44058</v>
      </c>
      <c r="C1647" s="9">
        <v>44069</v>
      </c>
      <c r="D1647" t="s">
        <v>0</v>
      </c>
      <c r="E1647" t="s">
        <v>7</v>
      </c>
      <c r="F1647">
        <v>3</v>
      </c>
      <c r="G1647" t="s">
        <v>1</v>
      </c>
      <c r="H1647">
        <v>74</v>
      </c>
      <c r="I1647" t="s">
        <v>2</v>
      </c>
      <c r="K1647" s="1" t="s">
        <v>121</v>
      </c>
      <c r="M1647" t="s">
        <v>20</v>
      </c>
    </row>
    <row r="1648" spans="1:13" ht="15.75" customHeight="1" x14ac:dyDescent="0.2">
      <c r="A1648">
        <v>2310981</v>
      </c>
      <c r="B1648" s="9">
        <v>44076</v>
      </c>
      <c r="C1648" s="9">
        <v>44091</v>
      </c>
      <c r="D1648" t="s">
        <v>0</v>
      </c>
      <c r="E1648" t="s">
        <v>27</v>
      </c>
      <c r="F1648">
        <v>4</v>
      </c>
      <c r="G1648" t="s">
        <v>1</v>
      </c>
      <c r="H1648">
        <v>34</v>
      </c>
      <c r="I1648" t="s">
        <v>2</v>
      </c>
      <c r="K1648" s="1" t="s">
        <v>121</v>
      </c>
      <c r="M1648" t="s">
        <v>4</v>
      </c>
    </row>
    <row r="1649" spans="1:13" ht="15.75" customHeight="1" x14ac:dyDescent="0.2">
      <c r="A1649">
        <v>2032949</v>
      </c>
      <c r="B1649" s="9">
        <v>44072</v>
      </c>
      <c r="C1649" s="9">
        <v>44072</v>
      </c>
      <c r="D1649" t="s">
        <v>0</v>
      </c>
      <c r="E1649" t="s">
        <v>39</v>
      </c>
      <c r="F1649">
        <v>8</v>
      </c>
      <c r="G1649" t="s">
        <v>6</v>
      </c>
      <c r="H1649">
        <v>42</v>
      </c>
      <c r="I1649" t="s">
        <v>2</v>
      </c>
      <c r="K1649" s="1" t="s">
        <v>121</v>
      </c>
      <c r="M1649" t="s">
        <v>20</v>
      </c>
    </row>
    <row r="1650" spans="1:13" ht="15.75" customHeight="1" x14ac:dyDescent="0.2">
      <c r="A1650">
        <v>2327484</v>
      </c>
      <c r="B1650" s="9">
        <v>44077</v>
      </c>
      <c r="C1650" s="9">
        <v>44077</v>
      </c>
      <c r="D1650" t="s">
        <v>0</v>
      </c>
      <c r="E1650" t="s">
        <v>24</v>
      </c>
      <c r="F1650">
        <v>9</v>
      </c>
      <c r="G1650" t="s">
        <v>6</v>
      </c>
      <c r="H1650">
        <v>27</v>
      </c>
      <c r="I1650" t="s">
        <v>2</v>
      </c>
      <c r="K1650" s="1" t="s">
        <v>121</v>
      </c>
      <c r="M1650" t="s">
        <v>4</v>
      </c>
    </row>
    <row r="1651" spans="1:13" ht="15.75" customHeight="1" x14ac:dyDescent="0.2">
      <c r="A1651">
        <v>2439850</v>
      </c>
      <c r="B1651" s="9">
        <v>44081</v>
      </c>
      <c r="C1651" s="9">
        <v>44097</v>
      </c>
      <c r="D1651" t="s">
        <v>5</v>
      </c>
      <c r="E1651" s="1" t="s">
        <v>90</v>
      </c>
      <c r="F1651"/>
      <c r="G1651" t="s">
        <v>6</v>
      </c>
      <c r="H1651">
        <v>65</v>
      </c>
      <c r="I1651" t="s">
        <v>2</v>
      </c>
      <c r="K1651" s="1" t="s">
        <v>121</v>
      </c>
      <c r="M1651" t="s">
        <v>4</v>
      </c>
    </row>
    <row r="1652" spans="1:13" ht="15.75" customHeight="1" x14ac:dyDescent="0.2">
      <c r="A1652">
        <v>2535940</v>
      </c>
      <c r="B1652" s="9">
        <v>44084</v>
      </c>
      <c r="C1652" s="9">
        <v>44110</v>
      </c>
      <c r="D1652" t="s">
        <v>5</v>
      </c>
      <c r="E1652" t="s">
        <v>83</v>
      </c>
      <c r="F1652"/>
      <c r="G1652" t="s">
        <v>6</v>
      </c>
      <c r="H1652">
        <v>58</v>
      </c>
      <c r="I1652" t="s">
        <v>2</v>
      </c>
      <c r="K1652" s="1" t="s">
        <v>121</v>
      </c>
      <c r="M1652" t="s">
        <v>4</v>
      </c>
    </row>
    <row r="1653" spans="1:13" ht="15.75" customHeight="1" x14ac:dyDescent="0.2">
      <c r="A1653">
        <v>2607403</v>
      </c>
      <c r="B1653" s="9">
        <v>44087</v>
      </c>
      <c r="C1653" s="9">
        <v>44088</v>
      </c>
      <c r="D1653" t="s">
        <v>0</v>
      </c>
      <c r="E1653" t="s">
        <v>28</v>
      </c>
      <c r="F1653">
        <v>11</v>
      </c>
      <c r="G1653" t="s">
        <v>1</v>
      </c>
      <c r="H1653">
        <v>45</v>
      </c>
      <c r="I1653" t="s">
        <v>2</v>
      </c>
      <c r="K1653" s="1" t="s">
        <v>121</v>
      </c>
      <c r="M1653" t="s">
        <v>4</v>
      </c>
    </row>
    <row r="1654" spans="1:13" ht="15.75" customHeight="1" x14ac:dyDescent="0.2">
      <c r="A1654">
        <v>2287538</v>
      </c>
      <c r="B1654" s="9">
        <v>44085</v>
      </c>
      <c r="C1654" s="9">
        <v>44086</v>
      </c>
      <c r="D1654" t="s">
        <v>0</v>
      </c>
      <c r="E1654" t="s">
        <v>18</v>
      </c>
      <c r="F1654">
        <v>8</v>
      </c>
      <c r="G1654" t="s">
        <v>6</v>
      </c>
      <c r="H1654">
        <v>44</v>
      </c>
      <c r="I1654" t="s">
        <v>2</v>
      </c>
      <c r="K1654" s="1" t="s">
        <v>121</v>
      </c>
      <c r="M1654" t="s">
        <v>4</v>
      </c>
    </row>
    <row r="1655" spans="1:13" ht="15.75" customHeight="1" x14ac:dyDescent="0.2">
      <c r="A1655">
        <v>2169922</v>
      </c>
      <c r="B1655" s="9">
        <v>44070</v>
      </c>
      <c r="C1655" s="9">
        <v>44071</v>
      </c>
      <c r="D1655" t="s">
        <v>5</v>
      </c>
      <c r="E1655" t="s">
        <v>82</v>
      </c>
      <c r="F1655"/>
      <c r="G1655" t="s">
        <v>6</v>
      </c>
      <c r="H1655">
        <v>99</v>
      </c>
      <c r="I1655" t="s">
        <v>2</v>
      </c>
      <c r="K1655" s="1" t="s">
        <v>121</v>
      </c>
      <c r="M1655" t="s">
        <v>9</v>
      </c>
    </row>
    <row r="1656" spans="1:13" ht="15.75" customHeight="1" x14ac:dyDescent="0.2">
      <c r="A1656">
        <v>2500212</v>
      </c>
      <c r="B1656" s="9">
        <v>44081</v>
      </c>
      <c r="C1656" s="9">
        <v>44082</v>
      </c>
      <c r="D1656" t="s">
        <v>0</v>
      </c>
      <c r="E1656" t="s">
        <v>11</v>
      </c>
      <c r="F1656">
        <v>6</v>
      </c>
      <c r="G1656" t="s">
        <v>6</v>
      </c>
      <c r="H1656">
        <v>41</v>
      </c>
      <c r="I1656" t="s">
        <v>2</v>
      </c>
      <c r="K1656" s="1" t="s">
        <v>121</v>
      </c>
      <c r="M1656" t="s">
        <v>4</v>
      </c>
    </row>
    <row r="1657" spans="1:13" ht="15.75" customHeight="1" x14ac:dyDescent="0.2">
      <c r="A1657">
        <v>2500881</v>
      </c>
      <c r="B1657" s="9">
        <v>44084</v>
      </c>
      <c r="C1657" s="9">
        <v>44084</v>
      </c>
      <c r="D1657" t="s">
        <v>0</v>
      </c>
      <c r="E1657" t="s">
        <v>18</v>
      </c>
      <c r="F1657">
        <v>8</v>
      </c>
      <c r="G1657" t="s">
        <v>1</v>
      </c>
      <c r="H1657">
        <v>50</v>
      </c>
      <c r="I1657" t="s">
        <v>2</v>
      </c>
      <c r="K1657" s="1" t="s">
        <v>121</v>
      </c>
      <c r="M1657" t="s">
        <v>4</v>
      </c>
    </row>
    <row r="1658" spans="1:13" ht="15.75" customHeight="1" x14ac:dyDescent="0.2">
      <c r="A1658">
        <v>2501796</v>
      </c>
      <c r="B1658" s="9">
        <v>44083</v>
      </c>
      <c r="C1658" s="9">
        <v>44084</v>
      </c>
      <c r="D1658" t="s">
        <v>0</v>
      </c>
      <c r="E1658" t="s">
        <v>10</v>
      </c>
      <c r="F1658">
        <v>5</v>
      </c>
      <c r="G1658" t="s">
        <v>1</v>
      </c>
      <c r="H1658">
        <v>75</v>
      </c>
      <c r="I1658" t="s">
        <v>2</v>
      </c>
      <c r="K1658" s="1" t="s">
        <v>121</v>
      </c>
      <c r="M1658" t="s">
        <v>9</v>
      </c>
    </row>
    <row r="1659" spans="1:13" ht="15.75" customHeight="1" x14ac:dyDescent="0.2">
      <c r="A1659">
        <v>2506443</v>
      </c>
      <c r="B1659" s="9">
        <v>44084</v>
      </c>
      <c r="C1659" s="9">
        <v>44084</v>
      </c>
      <c r="D1659" t="s">
        <v>5</v>
      </c>
      <c r="E1659" t="s">
        <v>82</v>
      </c>
      <c r="F1659"/>
      <c r="G1659" t="s">
        <v>1</v>
      </c>
      <c r="H1659">
        <v>26</v>
      </c>
      <c r="I1659" t="s">
        <v>2</v>
      </c>
      <c r="K1659" s="1" t="s">
        <v>121</v>
      </c>
      <c r="M1659" t="s">
        <v>20</v>
      </c>
    </row>
    <row r="1660" spans="1:13" ht="15.75" customHeight="1" x14ac:dyDescent="0.2">
      <c r="A1660">
        <v>2508476</v>
      </c>
      <c r="B1660" s="9">
        <v>44083</v>
      </c>
      <c r="C1660" s="9">
        <v>44083</v>
      </c>
      <c r="D1660" t="s">
        <v>0</v>
      </c>
      <c r="E1660" t="s">
        <v>14</v>
      </c>
      <c r="F1660">
        <v>14</v>
      </c>
      <c r="G1660" t="s">
        <v>1</v>
      </c>
      <c r="H1660">
        <v>48</v>
      </c>
      <c r="I1660" t="s">
        <v>2</v>
      </c>
      <c r="K1660" s="1" t="s">
        <v>121</v>
      </c>
      <c r="M1660" t="s">
        <v>20</v>
      </c>
    </row>
    <row r="1661" spans="1:13" ht="15.75" customHeight="1" x14ac:dyDescent="0.2">
      <c r="A1661">
        <v>2510107</v>
      </c>
      <c r="B1661" s="9">
        <v>44085</v>
      </c>
      <c r="C1661" s="9">
        <v>44087</v>
      </c>
      <c r="D1661" t="s">
        <v>0</v>
      </c>
      <c r="E1661" t="s">
        <v>11</v>
      </c>
      <c r="F1661">
        <v>6</v>
      </c>
      <c r="G1661" t="s">
        <v>6</v>
      </c>
      <c r="H1661">
        <v>59</v>
      </c>
      <c r="I1661" t="s">
        <v>2</v>
      </c>
      <c r="K1661" s="1" t="s">
        <v>121</v>
      </c>
      <c r="M1661" t="s">
        <v>4</v>
      </c>
    </row>
    <row r="1662" spans="1:13" ht="15.75" customHeight="1" x14ac:dyDescent="0.2">
      <c r="A1662">
        <v>2515596</v>
      </c>
      <c r="B1662" s="9">
        <v>44084</v>
      </c>
      <c r="C1662" s="9">
        <v>44084</v>
      </c>
      <c r="D1662" t="s">
        <v>5</v>
      </c>
      <c r="E1662" t="s">
        <v>82</v>
      </c>
      <c r="F1662"/>
      <c r="G1662" t="s">
        <v>1</v>
      </c>
      <c r="H1662">
        <v>34</v>
      </c>
      <c r="I1662" t="s">
        <v>2</v>
      </c>
      <c r="K1662" s="1" t="s">
        <v>121</v>
      </c>
      <c r="M1662" t="s">
        <v>4</v>
      </c>
    </row>
    <row r="1663" spans="1:13" ht="15.75" customHeight="1" x14ac:dyDescent="0.2">
      <c r="A1663">
        <v>2515862</v>
      </c>
      <c r="B1663" s="9">
        <v>44084</v>
      </c>
      <c r="C1663" s="9">
        <v>44084</v>
      </c>
      <c r="D1663" t="s">
        <v>0</v>
      </c>
      <c r="E1663" t="s">
        <v>18</v>
      </c>
      <c r="F1663">
        <v>8</v>
      </c>
      <c r="G1663" t="s">
        <v>6</v>
      </c>
      <c r="H1663">
        <v>68</v>
      </c>
      <c r="I1663" t="s">
        <v>2</v>
      </c>
      <c r="K1663" s="1" t="s">
        <v>121</v>
      </c>
      <c r="M1663" t="s">
        <v>4</v>
      </c>
    </row>
    <row r="1664" spans="1:13" ht="15.75" customHeight="1" x14ac:dyDescent="0.2">
      <c r="A1664">
        <v>2517800</v>
      </c>
      <c r="B1664" s="9">
        <v>44084</v>
      </c>
      <c r="C1664" s="9">
        <v>44084</v>
      </c>
      <c r="D1664" t="s">
        <v>0</v>
      </c>
      <c r="E1664" t="s">
        <v>69</v>
      </c>
      <c r="F1664">
        <v>1</v>
      </c>
      <c r="G1664" t="s">
        <v>1</v>
      </c>
      <c r="H1664">
        <v>50</v>
      </c>
      <c r="I1664" t="s">
        <v>2</v>
      </c>
      <c r="K1664" s="1" t="s">
        <v>121</v>
      </c>
      <c r="M1664" t="s">
        <v>4</v>
      </c>
    </row>
    <row r="1665" spans="1:13" ht="15.75" customHeight="1" x14ac:dyDescent="0.2">
      <c r="A1665">
        <v>2528226</v>
      </c>
      <c r="B1665" s="9">
        <v>44085</v>
      </c>
      <c r="C1665" s="9">
        <v>44088</v>
      </c>
      <c r="D1665" t="s">
        <v>0</v>
      </c>
      <c r="E1665" t="s">
        <v>10</v>
      </c>
      <c r="F1665">
        <v>5</v>
      </c>
      <c r="G1665" t="s">
        <v>6</v>
      </c>
      <c r="H1665">
        <v>85</v>
      </c>
      <c r="I1665" t="s">
        <v>2</v>
      </c>
      <c r="K1665" s="1" t="s">
        <v>121</v>
      </c>
      <c r="M1665" t="s">
        <v>9</v>
      </c>
    </row>
    <row r="1666" spans="1:13" ht="15.75" customHeight="1" x14ac:dyDescent="0.2">
      <c r="A1666">
        <v>2541029</v>
      </c>
      <c r="B1666" s="9">
        <v>44085</v>
      </c>
      <c r="C1666" s="9">
        <v>44086</v>
      </c>
      <c r="D1666" t="s">
        <v>5</v>
      </c>
      <c r="E1666" s="5" t="s">
        <v>76</v>
      </c>
      <c r="F1666"/>
      <c r="G1666" t="s">
        <v>6</v>
      </c>
      <c r="H1666">
        <v>20</v>
      </c>
      <c r="I1666" t="s">
        <v>2</v>
      </c>
      <c r="K1666" s="1" t="s">
        <v>121</v>
      </c>
      <c r="M1666" t="s">
        <v>9</v>
      </c>
    </row>
    <row r="1667" spans="1:13" ht="15.75" customHeight="1" x14ac:dyDescent="0.2">
      <c r="A1667">
        <v>2543698</v>
      </c>
      <c r="B1667" s="9">
        <v>44085</v>
      </c>
      <c r="C1667" s="9">
        <v>44085</v>
      </c>
      <c r="D1667" t="s">
        <v>0</v>
      </c>
      <c r="E1667" t="s">
        <v>27</v>
      </c>
      <c r="F1667">
        <v>4</v>
      </c>
      <c r="G1667" t="s">
        <v>6</v>
      </c>
      <c r="H1667">
        <v>51</v>
      </c>
      <c r="I1667" t="s">
        <v>2</v>
      </c>
      <c r="K1667" s="1" t="s">
        <v>121</v>
      </c>
      <c r="M1667" t="s">
        <v>9</v>
      </c>
    </row>
    <row r="1668" spans="1:13" ht="15.75" customHeight="1" x14ac:dyDescent="0.2">
      <c r="A1668">
        <v>2544768</v>
      </c>
      <c r="B1668" s="9">
        <v>44084</v>
      </c>
      <c r="C1668" s="9">
        <v>44084</v>
      </c>
      <c r="D1668" t="s">
        <v>0</v>
      </c>
      <c r="E1668" t="s">
        <v>10</v>
      </c>
      <c r="F1668">
        <v>5</v>
      </c>
      <c r="G1668" t="s">
        <v>1</v>
      </c>
      <c r="H1668">
        <v>7</v>
      </c>
      <c r="I1668" t="s">
        <v>2</v>
      </c>
      <c r="K1668" s="1" t="s">
        <v>121</v>
      </c>
      <c r="M1668" t="s">
        <v>4</v>
      </c>
    </row>
    <row r="1669" spans="1:13" ht="15.75" customHeight="1" x14ac:dyDescent="0.2">
      <c r="A1669">
        <v>2545159</v>
      </c>
      <c r="B1669" s="9">
        <v>44084</v>
      </c>
      <c r="C1669" s="9">
        <v>44084</v>
      </c>
      <c r="D1669" t="s">
        <v>0</v>
      </c>
      <c r="E1669" t="s">
        <v>10</v>
      </c>
      <c r="F1669">
        <v>5</v>
      </c>
      <c r="G1669" t="s">
        <v>6</v>
      </c>
      <c r="H1669">
        <v>31</v>
      </c>
      <c r="I1669" t="s">
        <v>2</v>
      </c>
      <c r="K1669" s="1" t="s">
        <v>121</v>
      </c>
      <c r="M1669" t="s">
        <v>4</v>
      </c>
    </row>
    <row r="1670" spans="1:13" ht="15.75" customHeight="1" x14ac:dyDescent="0.2">
      <c r="A1670">
        <v>2545604</v>
      </c>
      <c r="B1670" s="9">
        <v>44085</v>
      </c>
      <c r="C1670" s="9">
        <v>44085</v>
      </c>
      <c r="D1670" t="s">
        <v>5</v>
      </c>
      <c r="E1670" t="s">
        <v>82</v>
      </c>
      <c r="F1670"/>
      <c r="G1670" t="s">
        <v>1</v>
      </c>
      <c r="H1670">
        <v>4</v>
      </c>
      <c r="I1670" t="s">
        <v>2</v>
      </c>
      <c r="K1670" s="1" t="s">
        <v>121</v>
      </c>
      <c r="M1670" t="s">
        <v>9</v>
      </c>
    </row>
    <row r="1671" spans="1:13" ht="15.75" customHeight="1" x14ac:dyDescent="0.2">
      <c r="A1671">
        <v>2546436</v>
      </c>
      <c r="B1671" s="9">
        <v>44085</v>
      </c>
      <c r="C1671" s="9">
        <v>44085</v>
      </c>
      <c r="D1671" t="s">
        <v>0</v>
      </c>
      <c r="E1671" t="s">
        <v>27</v>
      </c>
      <c r="F1671">
        <v>4</v>
      </c>
      <c r="G1671" t="s">
        <v>6</v>
      </c>
      <c r="H1671">
        <v>23</v>
      </c>
      <c r="I1671" t="s">
        <v>2</v>
      </c>
      <c r="K1671" s="1" t="s">
        <v>121</v>
      </c>
      <c r="M1671" t="s">
        <v>9</v>
      </c>
    </row>
    <row r="1672" spans="1:13" ht="15.75" customHeight="1" x14ac:dyDescent="0.2">
      <c r="A1672">
        <v>2560265</v>
      </c>
      <c r="B1672" s="9">
        <v>44085</v>
      </c>
      <c r="C1672" s="9">
        <v>44085</v>
      </c>
      <c r="D1672" t="s">
        <v>0</v>
      </c>
      <c r="E1672" t="s">
        <v>16</v>
      </c>
      <c r="F1672">
        <v>15</v>
      </c>
      <c r="G1672" t="s">
        <v>6</v>
      </c>
      <c r="H1672">
        <v>8</v>
      </c>
      <c r="I1672" t="s">
        <v>2</v>
      </c>
      <c r="K1672" s="1" t="s">
        <v>121</v>
      </c>
      <c r="M1672" t="s">
        <v>4</v>
      </c>
    </row>
    <row r="1673" spans="1:13" ht="15.75" customHeight="1" x14ac:dyDescent="0.2">
      <c r="A1673">
        <v>2561656</v>
      </c>
      <c r="B1673" s="9">
        <v>44086</v>
      </c>
      <c r="C1673" s="9">
        <v>44086</v>
      </c>
      <c r="D1673" t="s">
        <v>5</v>
      </c>
      <c r="E1673" t="s">
        <v>82</v>
      </c>
      <c r="F1673"/>
      <c r="G1673" t="s">
        <v>1</v>
      </c>
      <c r="H1673">
        <v>42</v>
      </c>
      <c r="I1673" t="s">
        <v>2</v>
      </c>
      <c r="K1673" s="1" t="s">
        <v>121</v>
      </c>
      <c r="M1673" t="s">
        <v>9</v>
      </c>
    </row>
    <row r="1674" spans="1:13" ht="15.75" customHeight="1" x14ac:dyDescent="0.2">
      <c r="A1674">
        <v>2563577</v>
      </c>
      <c r="B1674" s="9">
        <v>44082</v>
      </c>
      <c r="C1674" s="9">
        <v>44083</v>
      </c>
      <c r="D1674" t="s">
        <v>0</v>
      </c>
      <c r="E1674" t="s">
        <v>29</v>
      </c>
      <c r="F1674">
        <v>12</v>
      </c>
      <c r="G1674" t="s">
        <v>6</v>
      </c>
      <c r="H1674">
        <v>55</v>
      </c>
      <c r="I1674" t="s">
        <v>2</v>
      </c>
      <c r="K1674" s="1" t="s">
        <v>121</v>
      </c>
      <c r="M1674" t="s">
        <v>4</v>
      </c>
    </row>
    <row r="1675" spans="1:13" ht="15.75" customHeight="1" x14ac:dyDescent="0.2">
      <c r="A1675">
        <v>2563762</v>
      </c>
      <c r="B1675" s="9">
        <v>44085</v>
      </c>
      <c r="C1675" s="9">
        <v>44085</v>
      </c>
      <c r="D1675" t="s">
        <v>5</v>
      </c>
      <c r="E1675" t="s">
        <v>83</v>
      </c>
      <c r="F1675"/>
      <c r="G1675" t="s">
        <v>1</v>
      </c>
      <c r="H1675">
        <v>35</v>
      </c>
      <c r="I1675" t="s">
        <v>2</v>
      </c>
      <c r="K1675" s="1" t="s">
        <v>121</v>
      </c>
      <c r="M1675" t="s">
        <v>4</v>
      </c>
    </row>
    <row r="1676" spans="1:13" ht="15.75" customHeight="1" x14ac:dyDescent="0.2">
      <c r="A1676">
        <v>2572259</v>
      </c>
      <c r="B1676" s="9">
        <v>44086</v>
      </c>
      <c r="C1676" s="9">
        <v>44086</v>
      </c>
      <c r="D1676" t="s">
        <v>0</v>
      </c>
      <c r="E1676" t="s">
        <v>14</v>
      </c>
      <c r="F1676">
        <v>14</v>
      </c>
      <c r="G1676" t="s">
        <v>1</v>
      </c>
      <c r="H1676">
        <v>45</v>
      </c>
      <c r="I1676" t="s">
        <v>2</v>
      </c>
      <c r="K1676" s="1" t="s">
        <v>121</v>
      </c>
      <c r="M1676" t="s">
        <v>20</v>
      </c>
    </row>
    <row r="1677" spans="1:13" ht="15.75" customHeight="1" x14ac:dyDescent="0.2">
      <c r="A1677">
        <v>2572386</v>
      </c>
      <c r="B1677" s="9">
        <v>44086</v>
      </c>
      <c r="C1677" s="9">
        <v>44086</v>
      </c>
      <c r="D1677" t="s">
        <v>0</v>
      </c>
      <c r="E1677" t="s">
        <v>28</v>
      </c>
      <c r="F1677">
        <v>11</v>
      </c>
      <c r="G1677" t="s">
        <v>1</v>
      </c>
      <c r="H1677">
        <v>25</v>
      </c>
      <c r="I1677" t="s">
        <v>2</v>
      </c>
      <c r="K1677" s="1" t="s">
        <v>121</v>
      </c>
      <c r="M1677" t="s">
        <v>9</v>
      </c>
    </row>
    <row r="1678" spans="1:13" ht="15.75" customHeight="1" x14ac:dyDescent="0.2">
      <c r="A1678">
        <v>2579044</v>
      </c>
      <c r="B1678" s="9">
        <v>44086</v>
      </c>
      <c r="C1678" s="9">
        <v>44086</v>
      </c>
      <c r="D1678" t="s">
        <v>5</v>
      </c>
      <c r="E1678" t="s">
        <v>82</v>
      </c>
      <c r="F1678"/>
      <c r="G1678" t="s">
        <v>1</v>
      </c>
      <c r="H1678">
        <v>65</v>
      </c>
      <c r="I1678" t="s">
        <v>2</v>
      </c>
      <c r="K1678" s="1" t="s">
        <v>121</v>
      </c>
      <c r="M1678" t="s">
        <v>20</v>
      </c>
    </row>
    <row r="1679" spans="1:13" ht="15.75" customHeight="1" x14ac:dyDescent="0.2">
      <c r="A1679">
        <v>2627071</v>
      </c>
      <c r="B1679" s="9">
        <v>44089</v>
      </c>
      <c r="C1679" s="9">
        <v>44104</v>
      </c>
      <c r="D1679" t="s">
        <v>5</v>
      </c>
      <c r="E1679" t="s">
        <v>82</v>
      </c>
      <c r="F1679"/>
      <c r="G1679" t="s">
        <v>6</v>
      </c>
      <c r="H1679">
        <v>61</v>
      </c>
      <c r="I1679" t="s">
        <v>2</v>
      </c>
      <c r="K1679" s="1" t="s">
        <v>121</v>
      </c>
      <c r="M1679" t="s">
        <v>4</v>
      </c>
    </row>
    <row r="1680" spans="1:13" ht="15.75" customHeight="1" x14ac:dyDescent="0.2">
      <c r="A1680">
        <v>2518816</v>
      </c>
      <c r="B1680" s="9">
        <v>44085</v>
      </c>
      <c r="C1680" s="9">
        <v>44085</v>
      </c>
      <c r="D1680" t="s">
        <v>5</v>
      </c>
      <c r="E1680" t="s">
        <v>75</v>
      </c>
      <c r="F1680"/>
      <c r="G1680" t="s">
        <v>1</v>
      </c>
      <c r="H1680">
        <v>44</v>
      </c>
      <c r="I1680" t="s">
        <v>15</v>
      </c>
      <c r="K1680" s="1" t="s">
        <v>121</v>
      </c>
      <c r="M1680" t="s">
        <v>4</v>
      </c>
    </row>
    <row r="1681" spans="1:13" ht="15.75" customHeight="1" x14ac:dyDescent="0.2">
      <c r="A1681">
        <v>1562216</v>
      </c>
      <c r="B1681" s="9">
        <v>44039</v>
      </c>
      <c r="C1681" s="9">
        <v>44053</v>
      </c>
      <c r="D1681" t="s">
        <v>5</v>
      </c>
      <c r="E1681" t="s">
        <v>82</v>
      </c>
      <c r="F1681"/>
      <c r="G1681" t="s">
        <v>1</v>
      </c>
      <c r="H1681">
        <v>46</v>
      </c>
      <c r="I1681" t="s">
        <v>2</v>
      </c>
      <c r="K1681" s="1" t="s">
        <v>121</v>
      </c>
      <c r="M1681" t="s">
        <v>22</v>
      </c>
    </row>
    <row r="1682" spans="1:13" ht="15.75" customHeight="1" x14ac:dyDescent="0.2">
      <c r="A1682">
        <v>2256380</v>
      </c>
      <c r="B1682" s="9">
        <v>44074</v>
      </c>
      <c r="C1682" s="9">
        <v>44206</v>
      </c>
      <c r="D1682" t="s">
        <v>0</v>
      </c>
      <c r="E1682" t="s">
        <v>47</v>
      </c>
      <c r="F1682">
        <v>12</v>
      </c>
      <c r="G1682" t="s">
        <v>1</v>
      </c>
      <c r="H1682">
        <v>31</v>
      </c>
      <c r="I1682" t="s">
        <v>2</v>
      </c>
      <c r="K1682" s="1" t="s">
        <v>121</v>
      </c>
      <c r="M1682" t="s">
        <v>4</v>
      </c>
    </row>
    <row r="1683" spans="1:13" ht="15.75" customHeight="1" x14ac:dyDescent="0.2">
      <c r="A1683">
        <v>2297343</v>
      </c>
      <c r="B1683" s="9">
        <v>44076</v>
      </c>
      <c r="C1683" s="9">
        <v>44110</v>
      </c>
      <c r="D1683" t="s">
        <v>0</v>
      </c>
      <c r="E1683" t="s">
        <v>8</v>
      </c>
      <c r="F1683">
        <v>7</v>
      </c>
      <c r="G1683" t="s">
        <v>6</v>
      </c>
      <c r="H1683">
        <v>71</v>
      </c>
      <c r="I1683" t="s">
        <v>2</v>
      </c>
      <c r="K1683" s="1" t="s">
        <v>121</v>
      </c>
      <c r="M1683" t="s">
        <v>4</v>
      </c>
    </row>
    <row r="1684" spans="1:13" ht="15.75" customHeight="1" x14ac:dyDescent="0.2">
      <c r="A1684">
        <v>2419049</v>
      </c>
      <c r="B1684" s="9">
        <v>44080</v>
      </c>
      <c r="C1684" s="9">
        <v>44080</v>
      </c>
      <c r="D1684" t="s">
        <v>5</v>
      </c>
      <c r="E1684" t="s">
        <v>91</v>
      </c>
      <c r="F1684"/>
      <c r="G1684" t="s">
        <v>1</v>
      </c>
      <c r="H1684">
        <v>78</v>
      </c>
      <c r="I1684" t="s">
        <v>2</v>
      </c>
      <c r="K1684" s="1" t="s">
        <v>121</v>
      </c>
      <c r="M1684" t="s">
        <v>9</v>
      </c>
    </row>
    <row r="1685" spans="1:13" ht="15.75" customHeight="1" x14ac:dyDescent="0.2">
      <c r="A1685">
        <v>2482936</v>
      </c>
      <c r="B1685" s="9">
        <v>44082</v>
      </c>
      <c r="C1685" s="9">
        <v>44149</v>
      </c>
      <c r="D1685" t="s">
        <v>5</v>
      </c>
      <c r="E1685" t="s">
        <v>75</v>
      </c>
      <c r="F1685"/>
      <c r="G1685" t="s">
        <v>1</v>
      </c>
      <c r="H1685">
        <v>35</v>
      </c>
      <c r="I1685" t="s">
        <v>2</v>
      </c>
      <c r="K1685" s="1" t="s">
        <v>121</v>
      </c>
      <c r="M1685" t="s">
        <v>4</v>
      </c>
    </row>
    <row r="1686" spans="1:13" ht="15.75" customHeight="1" x14ac:dyDescent="0.2">
      <c r="A1686">
        <v>1051629</v>
      </c>
      <c r="B1686" s="9">
        <v>44024</v>
      </c>
      <c r="C1686" s="9">
        <v>44068</v>
      </c>
      <c r="D1686" t="s">
        <v>5</v>
      </c>
      <c r="E1686" t="s">
        <v>83</v>
      </c>
      <c r="F1686"/>
      <c r="G1686" t="s">
        <v>1</v>
      </c>
      <c r="H1686">
        <v>24</v>
      </c>
      <c r="I1686" t="s">
        <v>2</v>
      </c>
      <c r="K1686" s="1" t="s">
        <v>121</v>
      </c>
      <c r="M1686" t="s">
        <v>9</v>
      </c>
    </row>
    <row r="1687" spans="1:13" ht="15.75" customHeight="1" x14ac:dyDescent="0.2">
      <c r="A1687">
        <v>1343371</v>
      </c>
      <c r="B1687" s="9">
        <v>44032</v>
      </c>
      <c r="C1687" s="9">
        <v>44077</v>
      </c>
      <c r="D1687" t="s">
        <v>0</v>
      </c>
      <c r="E1687" t="s">
        <v>38</v>
      </c>
      <c r="F1687">
        <v>12</v>
      </c>
      <c r="G1687" t="s">
        <v>1</v>
      </c>
      <c r="H1687">
        <v>37</v>
      </c>
      <c r="I1687" t="s">
        <v>2</v>
      </c>
      <c r="K1687" s="1" t="s">
        <v>121</v>
      </c>
      <c r="M1687" t="s">
        <v>4</v>
      </c>
    </row>
    <row r="1688" spans="1:13" ht="15.75" customHeight="1" x14ac:dyDescent="0.2">
      <c r="A1688">
        <v>2482436</v>
      </c>
      <c r="B1688" s="9">
        <v>44083</v>
      </c>
      <c r="C1688" s="9">
        <v>44083</v>
      </c>
      <c r="D1688" t="s">
        <v>0</v>
      </c>
      <c r="E1688" t="s">
        <v>7</v>
      </c>
      <c r="F1688">
        <v>3</v>
      </c>
      <c r="G1688" t="s">
        <v>6</v>
      </c>
      <c r="H1688">
        <v>50</v>
      </c>
      <c r="I1688" t="s">
        <v>2</v>
      </c>
      <c r="K1688" s="1" t="s">
        <v>121</v>
      </c>
      <c r="M1688" t="s">
        <v>9</v>
      </c>
    </row>
    <row r="1689" spans="1:13" ht="15.75" customHeight="1" x14ac:dyDescent="0.2">
      <c r="A1689">
        <v>2483234</v>
      </c>
      <c r="B1689" s="9">
        <v>44083</v>
      </c>
      <c r="C1689" s="9">
        <v>44083</v>
      </c>
      <c r="D1689" t="s">
        <v>0</v>
      </c>
      <c r="E1689" t="s">
        <v>27</v>
      </c>
      <c r="F1689">
        <v>4</v>
      </c>
      <c r="G1689" t="s">
        <v>6</v>
      </c>
      <c r="H1689">
        <v>35</v>
      </c>
      <c r="I1689" t="s">
        <v>2</v>
      </c>
      <c r="K1689" s="1" t="s">
        <v>121</v>
      </c>
      <c r="M1689" t="s">
        <v>20</v>
      </c>
    </row>
    <row r="1690" spans="1:13" ht="15.75" customHeight="1" x14ac:dyDescent="0.2">
      <c r="A1690">
        <v>2501285</v>
      </c>
      <c r="B1690" s="9">
        <v>44084</v>
      </c>
      <c r="C1690" s="9">
        <v>44084</v>
      </c>
      <c r="D1690" t="s">
        <v>5</v>
      </c>
      <c r="E1690" t="s">
        <v>74</v>
      </c>
      <c r="F1690"/>
      <c r="G1690" t="s">
        <v>1</v>
      </c>
      <c r="H1690">
        <v>37</v>
      </c>
      <c r="I1690" t="s">
        <v>2</v>
      </c>
      <c r="K1690" s="1" t="s">
        <v>121</v>
      </c>
      <c r="M1690" t="s">
        <v>20</v>
      </c>
    </row>
    <row r="1691" spans="1:13" ht="15.75" customHeight="1" x14ac:dyDescent="0.2">
      <c r="A1691">
        <v>2508962</v>
      </c>
      <c r="B1691" s="9">
        <v>44083</v>
      </c>
      <c r="C1691" s="9">
        <v>44083</v>
      </c>
      <c r="D1691" t="s">
        <v>0</v>
      </c>
      <c r="E1691" t="s">
        <v>33</v>
      </c>
      <c r="F1691">
        <v>13</v>
      </c>
      <c r="G1691" t="s">
        <v>6</v>
      </c>
      <c r="H1691">
        <v>41</v>
      </c>
      <c r="I1691" t="s">
        <v>2</v>
      </c>
      <c r="K1691" s="1" t="s">
        <v>121</v>
      </c>
      <c r="M1691" t="s">
        <v>9</v>
      </c>
    </row>
    <row r="1692" spans="1:13" ht="15.75" customHeight="1" x14ac:dyDescent="0.2">
      <c r="A1692">
        <v>5712894</v>
      </c>
      <c r="B1692" s="9">
        <v>44194</v>
      </c>
      <c r="C1692" s="9">
        <v>44194</v>
      </c>
      <c r="D1692" t="s">
        <v>0</v>
      </c>
      <c r="E1692" t="s">
        <v>30</v>
      </c>
      <c r="F1692">
        <v>15</v>
      </c>
      <c r="G1692" t="s">
        <v>6</v>
      </c>
      <c r="H1692">
        <v>28</v>
      </c>
      <c r="I1692" t="s">
        <v>2</v>
      </c>
      <c r="K1692" s="1" t="s">
        <v>121</v>
      </c>
      <c r="M1692" t="s">
        <v>9</v>
      </c>
    </row>
    <row r="1693" spans="1:13" ht="15.75" customHeight="1" x14ac:dyDescent="0.2">
      <c r="A1693">
        <v>5789837</v>
      </c>
      <c r="B1693" s="9">
        <v>44195</v>
      </c>
      <c r="C1693" s="9">
        <v>44195</v>
      </c>
      <c r="D1693" t="s">
        <v>5</v>
      </c>
      <c r="E1693" t="s">
        <v>75</v>
      </c>
      <c r="F1693"/>
      <c r="G1693" t="s">
        <v>6</v>
      </c>
      <c r="H1693">
        <v>40</v>
      </c>
      <c r="I1693" t="s">
        <v>2</v>
      </c>
      <c r="K1693" s="1" t="s">
        <v>121</v>
      </c>
      <c r="M1693" t="s">
        <v>4</v>
      </c>
    </row>
    <row r="1694" spans="1:13" ht="15.75" customHeight="1" x14ac:dyDescent="0.2">
      <c r="A1694">
        <v>1029343</v>
      </c>
      <c r="B1694" s="9">
        <v>44076</v>
      </c>
      <c r="C1694" s="9">
        <v>44077</v>
      </c>
      <c r="D1694" t="s">
        <v>5</v>
      </c>
      <c r="E1694" t="s">
        <v>75</v>
      </c>
      <c r="F1694"/>
      <c r="G1694" t="s">
        <v>6</v>
      </c>
      <c r="H1694">
        <v>28</v>
      </c>
      <c r="I1694" t="s">
        <v>2</v>
      </c>
      <c r="K1694" s="1" t="s">
        <v>121</v>
      </c>
      <c r="M1694" t="s">
        <v>20</v>
      </c>
    </row>
    <row r="1695" spans="1:13" ht="15.75" customHeight="1" x14ac:dyDescent="0.2">
      <c r="A1695">
        <v>1140844</v>
      </c>
      <c r="B1695" s="9">
        <v>44017</v>
      </c>
      <c r="C1695" s="9">
        <v>44017</v>
      </c>
      <c r="D1695" t="s">
        <v>0</v>
      </c>
      <c r="E1695" t="s">
        <v>29</v>
      </c>
      <c r="F1695">
        <v>12</v>
      </c>
      <c r="G1695" t="s">
        <v>6</v>
      </c>
      <c r="H1695">
        <v>68</v>
      </c>
      <c r="I1695" t="s">
        <v>2</v>
      </c>
      <c r="K1695" s="1" t="s">
        <v>121</v>
      </c>
      <c r="M1695" t="s">
        <v>4</v>
      </c>
    </row>
    <row r="1696" spans="1:13" ht="15.75" customHeight="1" x14ac:dyDescent="0.2">
      <c r="A1696">
        <v>1242658</v>
      </c>
      <c r="B1696" s="9">
        <v>44075</v>
      </c>
      <c r="C1696" s="9">
        <v>44075</v>
      </c>
      <c r="D1696" t="s">
        <v>5</v>
      </c>
      <c r="E1696" t="s">
        <v>74</v>
      </c>
      <c r="F1696"/>
      <c r="G1696" t="s">
        <v>1</v>
      </c>
      <c r="H1696">
        <v>40</v>
      </c>
      <c r="I1696" t="s">
        <v>2</v>
      </c>
      <c r="K1696" s="1" t="s">
        <v>121</v>
      </c>
      <c r="M1696" t="s">
        <v>4</v>
      </c>
    </row>
    <row r="1697" spans="1:13" ht="15.75" customHeight="1" x14ac:dyDescent="0.2">
      <c r="A1697">
        <v>1514775</v>
      </c>
      <c r="B1697" s="9">
        <v>44036</v>
      </c>
      <c r="C1697" s="9">
        <v>44037</v>
      </c>
      <c r="D1697" t="s">
        <v>0</v>
      </c>
      <c r="E1697" t="s">
        <v>39</v>
      </c>
      <c r="F1697">
        <v>8</v>
      </c>
      <c r="G1697" t="s">
        <v>6</v>
      </c>
      <c r="H1697">
        <v>59</v>
      </c>
      <c r="I1697" t="s">
        <v>2</v>
      </c>
      <c r="K1697" s="1" t="s">
        <v>121</v>
      </c>
      <c r="M1697" t="s">
        <v>4</v>
      </c>
    </row>
    <row r="1698" spans="1:13" ht="15.75" customHeight="1" x14ac:dyDescent="0.2">
      <c r="A1698">
        <v>1633398</v>
      </c>
      <c r="B1698" s="9">
        <v>44044</v>
      </c>
      <c r="C1698" s="9">
        <v>44044</v>
      </c>
      <c r="D1698" t="s">
        <v>5</v>
      </c>
      <c r="E1698" t="s">
        <v>75</v>
      </c>
      <c r="F1698"/>
      <c r="G1698" t="s">
        <v>6</v>
      </c>
      <c r="H1698">
        <v>43</v>
      </c>
      <c r="I1698" t="s">
        <v>2</v>
      </c>
      <c r="K1698" s="1" t="s">
        <v>121</v>
      </c>
      <c r="M1698" t="s">
        <v>4</v>
      </c>
    </row>
    <row r="1699" spans="1:13" ht="15.75" customHeight="1" x14ac:dyDescent="0.2">
      <c r="A1699">
        <v>1677617</v>
      </c>
      <c r="B1699" s="9">
        <v>44045</v>
      </c>
      <c r="C1699" s="9">
        <v>44047</v>
      </c>
      <c r="D1699" t="s">
        <v>0</v>
      </c>
      <c r="E1699" t="s">
        <v>36</v>
      </c>
      <c r="F1699">
        <v>1</v>
      </c>
      <c r="G1699" t="s">
        <v>6</v>
      </c>
      <c r="H1699">
        <v>76</v>
      </c>
      <c r="I1699" t="s">
        <v>2</v>
      </c>
      <c r="K1699" s="1" t="s">
        <v>121</v>
      </c>
      <c r="M1699" t="s">
        <v>4</v>
      </c>
    </row>
    <row r="1700" spans="1:13" ht="15.75" customHeight="1" x14ac:dyDescent="0.2">
      <c r="A1700">
        <v>1689423</v>
      </c>
      <c r="B1700" s="9">
        <v>44047</v>
      </c>
      <c r="C1700" s="9">
        <v>44047</v>
      </c>
      <c r="D1700" s="1" t="s">
        <v>72</v>
      </c>
      <c r="E1700" s="1" t="s">
        <v>119</v>
      </c>
      <c r="F1700"/>
      <c r="G1700" t="s">
        <v>6</v>
      </c>
      <c r="H1700">
        <v>48</v>
      </c>
      <c r="I1700" t="s">
        <v>2</v>
      </c>
      <c r="K1700" s="1" t="s">
        <v>121</v>
      </c>
      <c r="M1700" t="s">
        <v>4</v>
      </c>
    </row>
    <row r="1701" spans="1:13" ht="15.75" customHeight="1" x14ac:dyDescent="0.2">
      <c r="A1701">
        <v>1811465</v>
      </c>
      <c r="B1701" s="9">
        <v>44053</v>
      </c>
      <c r="C1701" s="9">
        <v>44053</v>
      </c>
      <c r="D1701" t="s">
        <v>5</v>
      </c>
      <c r="E1701" s="1" t="s">
        <v>90</v>
      </c>
      <c r="F1701"/>
      <c r="G1701" t="s">
        <v>6</v>
      </c>
      <c r="H1701">
        <v>67</v>
      </c>
      <c r="I1701" t="s">
        <v>2</v>
      </c>
      <c r="K1701" s="1" t="s">
        <v>121</v>
      </c>
      <c r="M1701" t="s">
        <v>20</v>
      </c>
    </row>
    <row r="1702" spans="1:13" ht="15.75" customHeight="1" x14ac:dyDescent="0.2">
      <c r="A1702">
        <v>1813954</v>
      </c>
      <c r="B1702" s="9">
        <v>44053</v>
      </c>
      <c r="C1702" s="9">
        <v>44053</v>
      </c>
      <c r="D1702" t="s">
        <v>5</v>
      </c>
      <c r="E1702" t="s">
        <v>75</v>
      </c>
      <c r="F1702"/>
      <c r="G1702" t="s">
        <v>6</v>
      </c>
      <c r="H1702">
        <v>64</v>
      </c>
      <c r="I1702" t="s">
        <v>2</v>
      </c>
      <c r="K1702" s="1" t="s">
        <v>121</v>
      </c>
      <c r="M1702" t="s">
        <v>9</v>
      </c>
    </row>
    <row r="1703" spans="1:13" ht="15.75" customHeight="1" x14ac:dyDescent="0.2">
      <c r="A1703">
        <v>1824117</v>
      </c>
      <c r="B1703" s="9">
        <v>44054</v>
      </c>
      <c r="C1703" s="9">
        <v>44055</v>
      </c>
      <c r="D1703" t="s">
        <v>0</v>
      </c>
      <c r="E1703" t="s">
        <v>8</v>
      </c>
      <c r="F1703">
        <v>7</v>
      </c>
      <c r="G1703" t="s">
        <v>1</v>
      </c>
      <c r="H1703">
        <v>80</v>
      </c>
      <c r="I1703" t="s">
        <v>2</v>
      </c>
      <c r="K1703" s="1" t="s">
        <v>121</v>
      </c>
      <c r="M1703" t="s">
        <v>4</v>
      </c>
    </row>
    <row r="1704" spans="1:13" ht="15.75" customHeight="1" x14ac:dyDescent="0.2">
      <c r="A1704">
        <v>1844578</v>
      </c>
      <c r="B1704" s="9">
        <v>44054</v>
      </c>
      <c r="C1704" s="9">
        <v>44054</v>
      </c>
      <c r="D1704" t="s">
        <v>5</v>
      </c>
      <c r="E1704" t="s">
        <v>75</v>
      </c>
      <c r="F1704"/>
      <c r="G1704" t="s">
        <v>6</v>
      </c>
      <c r="H1704">
        <v>29</v>
      </c>
      <c r="I1704" t="s">
        <v>2</v>
      </c>
      <c r="K1704" s="1" t="s">
        <v>121</v>
      </c>
      <c r="M1704" t="s">
        <v>20</v>
      </c>
    </row>
    <row r="1705" spans="1:13" ht="15.75" customHeight="1" x14ac:dyDescent="0.2">
      <c r="A1705">
        <v>1908386</v>
      </c>
      <c r="B1705" s="9">
        <v>44071</v>
      </c>
      <c r="C1705" s="9">
        <v>44071</v>
      </c>
      <c r="D1705" t="s">
        <v>0</v>
      </c>
      <c r="E1705" t="s">
        <v>11</v>
      </c>
      <c r="F1705">
        <v>6</v>
      </c>
      <c r="G1705" t="s">
        <v>6</v>
      </c>
      <c r="H1705">
        <v>70</v>
      </c>
      <c r="I1705" t="s">
        <v>2</v>
      </c>
      <c r="K1705" s="1" t="s">
        <v>121</v>
      </c>
      <c r="M1705" t="s">
        <v>4</v>
      </c>
    </row>
    <row r="1706" spans="1:13" ht="15.75" customHeight="1" x14ac:dyDescent="0.2">
      <c r="A1706">
        <v>1921451</v>
      </c>
      <c r="B1706" s="9">
        <v>44074</v>
      </c>
      <c r="C1706" s="9">
        <v>44074</v>
      </c>
      <c r="D1706" t="s">
        <v>0</v>
      </c>
      <c r="E1706" t="s">
        <v>38</v>
      </c>
      <c r="F1706">
        <v>12</v>
      </c>
      <c r="G1706" t="s">
        <v>6</v>
      </c>
      <c r="H1706">
        <v>44</v>
      </c>
      <c r="I1706" t="s">
        <v>2</v>
      </c>
      <c r="K1706" s="1" t="s">
        <v>121</v>
      </c>
      <c r="M1706" t="s">
        <v>4</v>
      </c>
    </row>
    <row r="1707" spans="1:13" ht="15.75" customHeight="1" x14ac:dyDescent="0.2">
      <c r="A1707">
        <v>1961680</v>
      </c>
      <c r="B1707" s="9">
        <v>44074</v>
      </c>
      <c r="C1707" s="9">
        <v>44074</v>
      </c>
      <c r="D1707" t="s">
        <v>5</v>
      </c>
      <c r="E1707" t="s">
        <v>91</v>
      </c>
      <c r="F1707"/>
      <c r="G1707" t="s">
        <v>6</v>
      </c>
      <c r="H1707">
        <v>31</v>
      </c>
      <c r="I1707" t="s">
        <v>2</v>
      </c>
      <c r="K1707" s="1" t="s">
        <v>121</v>
      </c>
      <c r="M1707" t="s">
        <v>4</v>
      </c>
    </row>
    <row r="1708" spans="1:13" ht="15.75" customHeight="1" x14ac:dyDescent="0.2">
      <c r="A1708">
        <v>1965993</v>
      </c>
      <c r="B1708" s="9">
        <v>44071</v>
      </c>
      <c r="C1708" s="9">
        <v>44071</v>
      </c>
      <c r="D1708" t="s">
        <v>0</v>
      </c>
      <c r="E1708" t="s">
        <v>7</v>
      </c>
      <c r="F1708">
        <v>3</v>
      </c>
      <c r="G1708" t="s">
        <v>6</v>
      </c>
      <c r="H1708">
        <v>46</v>
      </c>
      <c r="I1708" t="s">
        <v>2</v>
      </c>
      <c r="K1708" s="1" t="s">
        <v>121</v>
      </c>
      <c r="M1708" t="s">
        <v>22</v>
      </c>
    </row>
    <row r="1709" spans="1:13" ht="15.75" customHeight="1" x14ac:dyDescent="0.2">
      <c r="A1709">
        <v>1990006</v>
      </c>
      <c r="B1709" s="9">
        <v>44062</v>
      </c>
      <c r="C1709" s="9">
        <v>44062</v>
      </c>
      <c r="D1709" t="s">
        <v>0</v>
      </c>
      <c r="E1709" t="s">
        <v>11</v>
      </c>
      <c r="F1709">
        <v>6</v>
      </c>
      <c r="G1709" t="s">
        <v>6</v>
      </c>
      <c r="H1709">
        <v>38</v>
      </c>
      <c r="I1709" t="s">
        <v>2</v>
      </c>
      <c r="K1709" s="1" t="s">
        <v>121</v>
      </c>
      <c r="M1709" t="s">
        <v>4</v>
      </c>
    </row>
    <row r="1710" spans="1:13" ht="15.75" customHeight="1" x14ac:dyDescent="0.2">
      <c r="A1710">
        <v>1992613</v>
      </c>
      <c r="B1710" s="9">
        <v>44062</v>
      </c>
      <c r="C1710" s="9">
        <v>44063</v>
      </c>
      <c r="D1710" t="s">
        <v>0</v>
      </c>
      <c r="E1710" t="s">
        <v>14</v>
      </c>
      <c r="F1710">
        <v>14</v>
      </c>
      <c r="G1710" t="s">
        <v>1</v>
      </c>
      <c r="H1710">
        <v>55</v>
      </c>
      <c r="I1710" t="s">
        <v>2</v>
      </c>
      <c r="K1710" s="1" t="s">
        <v>121</v>
      </c>
      <c r="M1710" t="s">
        <v>22</v>
      </c>
    </row>
    <row r="1711" spans="1:13" ht="15.75" customHeight="1" x14ac:dyDescent="0.2">
      <c r="A1711">
        <v>2022080</v>
      </c>
      <c r="B1711" s="9">
        <v>44064</v>
      </c>
      <c r="C1711" s="9">
        <v>44065</v>
      </c>
      <c r="D1711" t="s">
        <v>0</v>
      </c>
      <c r="E1711" t="s">
        <v>35</v>
      </c>
      <c r="F1711">
        <v>3</v>
      </c>
      <c r="G1711" t="s">
        <v>6</v>
      </c>
      <c r="H1711">
        <v>59</v>
      </c>
      <c r="I1711" t="s">
        <v>2</v>
      </c>
      <c r="K1711" s="1" t="s">
        <v>121</v>
      </c>
      <c r="M1711" t="s">
        <v>4</v>
      </c>
    </row>
    <row r="1712" spans="1:13" ht="15.75" customHeight="1" x14ac:dyDescent="0.2">
      <c r="A1712">
        <v>2028758</v>
      </c>
      <c r="B1712" s="9">
        <v>44063</v>
      </c>
      <c r="C1712" s="9">
        <v>44063</v>
      </c>
      <c r="D1712" t="s">
        <v>0</v>
      </c>
      <c r="E1712" t="s">
        <v>25</v>
      </c>
      <c r="F1712">
        <v>13</v>
      </c>
      <c r="G1712" t="s">
        <v>1</v>
      </c>
      <c r="H1712">
        <v>72</v>
      </c>
      <c r="I1712" t="s">
        <v>2</v>
      </c>
      <c r="K1712" s="1" t="s">
        <v>121</v>
      </c>
      <c r="M1712" t="s">
        <v>4</v>
      </c>
    </row>
    <row r="1713" spans="1:13" ht="15.75" customHeight="1" x14ac:dyDescent="0.2">
      <c r="A1713">
        <v>2030129</v>
      </c>
      <c r="B1713" s="9">
        <v>44064</v>
      </c>
      <c r="C1713" s="9">
        <v>44065</v>
      </c>
      <c r="D1713" t="s">
        <v>0</v>
      </c>
      <c r="E1713" t="s">
        <v>34</v>
      </c>
      <c r="F1713">
        <v>9</v>
      </c>
      <c r="G1713" t="s">
        <v>6</v>
      </c>
      <c r="H1713">
        <v>58</v>
      </c>
      <c r="I1713" t="s">
        <v>2</v>
      </c>
      <c r="K1713" s="1" t="s">
        <v>121</v>
      </c>
      <c r="M1713" t="s">
        <v>4</v>
      </c>
    </row>
    <row r="1714" spans="1:13" ht="15.75" customHeight="1" x14ac:dyDescent="0.2">
      <c r="A1714">
        <v>2040588</v>
      </c>
      <c r="B1714" s="9">
        <v>44076</v>
      </c>
      <c r="C1714" s="9">
        <v>44076</v>
      </c>
      <c r="D1714" t="s">
        <v>5</v>
      </c>
      <c r="E1714" s="5" t="s">
        <v>76</v>
      </c>
      <c r="F1714"/>
      <c r="G1714" t="s">
        <v>6</v>
      </c>
      <c r="H1714">
        <v>28</v>
      </c>
      <c r="I1714" t="s">
        <v>2</v>
      </c>
      <c r="K1714" s="1" t="s">
        <v>121</v>
      </c>
      <c r="M1714" t="s">
        <v>4</v>
      </c>
    </row>
    <row r="1715" spans="1:13" ht="15.75" customHeight="1" x14ac:dyDescent="0.2">
      <c r="A1715">
        <v>2046655</v>
      </c>
      <c r="B1715" s="9">
        <v>44062</v>
      </c>
      <c r="C1715" s="9">
        <v>44064</v>
      </c>
      <c r="D1715" t="s">
        <v>5</v>
      </c>
      <c r="E1715" t="s">
        <v>76</v>
      </c>
      <c r="F1715"/>
      <c r="G1715" t="s">
        <v>6</v>
      </c>
      <c r="H1715">
        <v>57</v>
      </c>
      <c r="I1715" t="s">
        <v>2</v>
      </c>
      <c r="K1715" s="1" t="s">
        <v>121</v>
      </c>
      <c r="M1715" t="s">
        <v>4</v>
      </c>
    </row>
    <row r="1716" spans="1:13" ht="15.75" customHeight="1" x14ac:dyDescent="0.2">
      <c r="A1716">
        <v>2056486</v>
      </c>
      <c r="B1716" s="9">
        <v>44068</v>
      </c>
      <c r="C1716" s="9">
        <v>44068</v>
      </c>
      <c r="D1716" t="s">
        <v>0</v>
      </c>
      <c r="E1716" t="s">
        <v>8</v>
      </c>
      <c r="F1716">
        <v>7</v>
      </c>
      <c r="G1716" t="s">
        <v>6</v>
      </c>
      <c r="H1716">
        <v>60</v>
      </c>
      <c r="I1716" t="s">
        <v>2</v>
      </c>
      <c r="K1716" s="1" t="s">
        <v>121</v>
      </c>
      <c r="M1716" t="s">
        <v>20</v>
      </c>
    </row>
    <row r="1717" spans="1:13" ht="15.75" customHeight="1" x14ac:dyDescent="0.2">
      <c r="A1717">
        <v>2065577</v>
      </c>
      <c r="B1717" s="9">
        <v>44067</v>
      </c>
      <c r="C1717" s="9">
        <v>44067</v>
      </c>
      <c r="D1717" t="s">
        <v>0</v>
      </c>
      <c r="E1717" t="s">
        <v>54</v>
      </c>
      <c r="F1717">
        <v>7</v>
      </c>
      <c r="G1717" t="s">
        <v>1</v>
      </c>
      <c r="H1717">
        <v>37</v>
      </c>
      <c r="I1717" t="s">
        <v>2</v>
      </c>
      <c r="K1717" s="1" t="s">
        <v>121</v>
      </c>
      <c r="M1717" t="s">
        <v>4</v>
      </c>
    </row>
    <row r="1718" spans="1:13" ht="15.75" customHeight="1" x14ac:dyDescent="0.2">
      <c r="A1718">
        <v>2076602</v>
      </c>
      <c r="B1718" s="9">
        <v>44075</v>
      </c>
      <c r="C1718" s="9">
        <v>44075</v>
      </c>
      <c r="D1718" t="s">
        <v>0</v>
      </c>
      <c r="E1718" t="s">
        <v>7</v>
      </c>
      <c r="F1718">
        <v>3</v>
      </c>
      <c r="G1718" t="s">
        <v>6</v>
      </c>
      <c r="H1718">
        <v>49</v>
      </c>
      <c r="I1718" t="s">
        <v>2</v>
      </c>
      <c r="K1718" s="1" t="s">
        <v>121</v>
      </c>
      <c r="M1718" t="s">
        <v>4</v>
      </c>
    </row>
    <row r="1719" spans="1:13" ht="15.75" customHeight="1" x14ac:dyDescent="0.2">
      <c r="A1719">
        <v>2088808</v>
      </c>
      <c r="B1719" s="9">
        <v>44068</v>
      </c>
      <c r="C1719" s="9">
        <v>44069</v>
      </c>
      <c r="D1719" t="s">
        <v>5</v>
      </c>
      <c r="E1719" t="s">
        <v>75</v>
      </c>
      <c r="F1719"/>
      <c r="G1719" t="s">
        <v>6</v>
      </c>
      <c r="H1719">
        <v>45</v>
      </c>
      <c r="I1719" t="s">
        <v>2</v>
      </c>
      <c r="K1719" s="1" t="s">
        <v>121</v>
      </c>
      <c r="M1719" t="s">
        <v>4</v>
      </c>
    </row>
    <row r="1720" spans="1:13" ht="15.75" customHeight="1" x14ac:dyDescent="0.2">
      <c r="A1720">
        <v>2092596</v>
      </c>
      <c r="B1720" s="9">
        <v>44075</v>
      </c>
      <c r="C1720" s="9">
        <v>44076</v>
      </c>
      <c r="D1720" t="s">
        <v>0</v>
      </c>
      <c r="E1720" t="s">
        <v>18</v>
      </c>
      <c r="F1720">
        <v>8</v>
      </c>
      <c r="G1720" t="s">
        <v>6</v>
      </c>
      <c r="H1720">
        <v>30</v>
      </c>
      <c r="I1720" t="s">
        <v>2</v>
      </c>
      <c r="K1720" s="1" t="s">
        <v>121</v>
      </c>
      <c r="M1720" t="s">
        <v>4</v>
      </c>
    </row>
    <row r="1721" spans="1:13" ht="15.75" customHeight="1" x14ac:dyDescent="0.2">
      <c r="A1721">
        <v>2102111</v>
      </c>
      <c r="B1721" s="9">
        <v>44067</v>
      </c>
      <c r="C1721" s="9">
        <v>44068</v>
      </c>
      <c r="D1721" t="s">
        <v>0</v>
      </c>
      <c r="E1721" t="s">
        <v>12</v>
      </c>
      <c r="F1721">
        <v>1</v>
      </c>
      <c r="G1721" t="s">
        <v>6</v>
      </c>
      <c r="H1721">
        <v>25</v>
      </c>
      <c r="I1721" t="s">
        <v>2</v>
      </c>
      <c r="K1721" s="1" t="s">
        <v>121</v>
      </c>
      <c r="M1721" t="s">
        <v>4</v>
      </c>
    </row>
    <row r="1722" spans="1:13" ht="15.75" customHeight="1" x14ac:dyDescent="0.2">
      <c r="A1722">
        <v>2109159</v>
      </c>
      <c r="B1722" s="9">
        <v>44069</v>
      </c>
      <c r="C1722" s="9">
        <v>44069</v>
      </c>
      <c r="D1722" t="s">
        <v>5</v>
      </c>
      <c r="E1722" s="1" t="s">
        <v>90</v>
      </c>
      <c r="F1722"/>
      <c r="G1722" t="s">
        <v>1</v>
      </c>
      <c r="H1722">
        <v>74</v>
      </c>
      <c r="I1722" t="s">
        <v>2</v>
      </c>
      <c r="K1722" s="1" t="s">
        <v>121</v>
      </c>
      <c r="M1722" t="s">
        <v>4</v>
      </c>
    </row>
    <row r="1723" spans="1:13" ht="15.75" customHeight="1" x14ac:dyDescent="0.2">
      <c r="A1723">
        <v>2113986</v>
      </c>
      <c r="B1723" s="9">
        <v>44077</v>
      </c>
      <c r="C1723" s="9">
        <v>44077</v>
      </c>
      <c r="D1723" t="s">
        <v>0</v>
      </c>
      <c r="E1723" t="s">
        <v>43</v>
      </c>
      <c r="F1723">
        <v>10</v>
      </c>
      <c r="G1723" t="s">
        <v>1</v>
      </c>
      <c r="H1723">
        <v>25</v>
      </c>
      <c r="I1723" t="s">
        <v>2</v>
      </c>
      <c r="K1723" s="1" t="s">
        <v>121</v>
      </c>
      <c r="M1723" t="s">
        <v>4</v>
      </c>
    </row>
    <row r="1724" spans="1:13" ht="15.75" customHeight="1" x14ac:dyDescent="0.2">
      <c r="A1724">
        <v>2225243</v>
      </c>
      <c r="B1724" s="9">
        <v>44073</v>
      </c>
      <c r="C1724" s="9">
        <v>44074</v>
      </c>
      <c r="D1724" t="s">
        <v>0</v>
      </c>
      <c r="E1724" t="s">
        <v>10</v>
      </c>
      <c r="F1724">
        <v>5</v>
      </c>
      <c r="G1724" t="s">
        <v>1</v>
      </c>
      <c r="H1724">
        <v>90</v>
      </c>
      <c r="I1724" t="s">
        <v>2</v>
      </c>
      <c r="K1724" s="1" t="s">
        <v>121</v>
      </c>
      <c r="M1724" t="s">
        <v>4</v>
      </c>
    </row>
    <row r="1725" spans="1:13" ht="15.75" customHeight="1" x14ac:dyDescent="0.2">
      <c r="A1725">
        <v>2225365</v>
      </c>
      <c r="B1725" s="9">
        <v>44073</v>
      </c>
      <c r="C1725" s="9">
        <v>44074</v>
      </c>
      <c r="D1725" t="s">
        <v>0</v>
      </c>
      <c r="E1725" t="s">
        <v>23</v>
      </c>
      <c r="F1725">
        <v>10</v>
      </c>
      <c r="G1725" t="s">
        <v>1</v>
      </c>
      <c r="H1725">
        <v>68</v>
      </c>
      <c r="I1725" t="s">
        <v>2</v>
      </c>
      <c r="K1725" s="1" t="s">
        <v>121</v>
      </c>
      <c r="M1725" t="s">
        <v>4</v>
      </c>
    </row>
    <row r="1726" spans="1:13" ht="15.75" customHeight="1" x14ac:dyDescent="0.2">
      <c r="A1726">
        <v>2225876</v>
      </c>
      <c r="B1726" s="9">
        <v>44073</v>
      </c>
      <c r="C1726" s="9">
        <v>44073</v>
      </c>
      <c r="D1726" t="s">
        <v>0</v>
      </c>
      <c r="E1726" t="s">
        <v>13</v>
      </c>
      <c r="F1726">
        <v>2</v>
      </c>
      <c r="G1726" t="s">
        <v>6</v>
      </c>
      <c r="H1726">
        <v>71</v>
      </c>
      <c r="I1726" t="s">
        <v>2</v>
      </c>
      <c r="K1726" s="1" t="s">
        <v>121</v>
      </c>
      <c r="M1726" t="s">
        <v>20</v>
      </c>
    </row>
    <row r="1727" spans="1:13" ht="15.75" customHeight="1" x14ac:dyDescent="0.2">
      <c r="A1727">
        <v>2226026</v>
      </c>
      <c r="B1727" s="9">
        <v>44074</v>
      </c>
      <c r="C1727" s="9">
        <v>44074</v>
      </c>
      <c r="D1727" t="s">
        <v>0</v>
      </c>
      <c r="E1727" t="s">
        <v>16</v>
      </c>
      <c r="F1727">
        <v>15</v>
      </c>
      <c r="G1727" t="s">
        <v>6</v>
      </c>
      <c r="H1727">
        <v>34</v>
      </c>
      <c r="I1727" t="s">
        <v>2</v>
      </c>
      <c r="K1727" s="1" t="s">
        <v>121</v>
      </c>
      <c r="M1727" t="s">
        <v>20</v>
      </c>
    </row>
    <row r="1728" spans="1:13" ht="15.75" customHeight="1" x14ac:dyDescent="0.2">
      <c r="A1728">
        <v>2227820</v>
      </c>
      <c r="B1728" s="9">
        <v>44072</v>
      </c>
      <c r="C1728" s="9">
        <v>44072</v>
      </c>
      <c r="D1728" t="s">
        <v>0</v>
      </c>
      <c r="E1728" t="s">
        <v>18</v>
      </c>
      <c r="F1728">
        <v>8</v>
      </c>
      <c r="G1728" t="s">
        <v>6</v>
      </c>
      <c r="H1728">
        <v>55</v>
      </c>
      <c r="I1728" t="s">
        <v>2</v>
      </c>
      <c r="K1728" s="1" t="s">
        <v>121</v>
      </c>
      <c r="M1728" t="s">
        <v>4</v>
      </c>
    </row>
    <row r="1729" spans="1:13" ht="15.75" customHeight="1" x14ac:dyDescent="0.2">
      <c r="A1729">
        <v>2228042</v>
      </c>
      <c r="B1729" s="9">
        <v>44073</v>
      </c>
      <c r="C1729" s="9">
        <v>44073</v>
      </c>
      <c r="D1729" t="s">
        <v>0</v>
      </c>
      <c r="E1729" t="s">
        <v>8</v>
      </c>
      <c r="F1729">
        <v>7</v>
      </c>
      <c r="G1729" t="s">
        <v>1</v>
      </c>
      <c r="H1729">
        <v>51</v>
      </c>
      <c r="I1729" t="s">
        <v>2</v>
      </c>
      <c r="K1729" s="1" t="s">
        <v>121</v>
      </c>
      <c r="M1729" t="s">
        <v>20</v>
      </c>
    </row>
    <row r="1730" spans="1:13" ht="15.75" customHeight="1" x14ac:dyDescent="0.2">
      <c r="A1730">
        <v>2228079</v>
      </c>
      <c r="B1730" s="9">
        <v>44071</v>
      </c>
      <c r="C1730" s="9">
        <v>44071</v>
      </c>
      <c r="D1730" t="s">
        <v>0</v>
      </c>
      <c r="E1730" t="s">
        <v>8</v>
      </c>
      <c r="F1730">
        <v>7</v>
      </c>
      <c r="G1730" t="s">
        <v>6</v>
      </c>
      <c r="H1730">
        <v>22</v>
      </c>
      <c r="I1730" t="s">
        <v>2</v>
      </c>
      <c r="K1730" s="1" t="s">
        <v>121</v>
      </c>
      <c r="M1730" t="s">
        <v>4</v>
      </c>
    </row>
    <row r="1731" spans="1:13" ht="15.75" customHeight="1" x14ac:dyDescent="0.2">
      <c r="A1731">
        <v>2228133</v>
      </c>
      <c r="B1731" s="9">
        <v>44071</v>
      </c>
      <c r="C1731" s="9">
        <v>44071</v>
      </c>
      <c r="D1731" t="s">
        <v>0</v>
      </c>
      <c r="E1731" t="s">
        <v>8</v>
      </c>
      <c r="F1731">
        <v>7</v>
      </c>
      <c r="G1731" t="s">
        <v>6</v>
      </c>
      <c r="H1731">
        <v>22</v>
      </c>
      <c r="I1731" t="s">
        <v>2</v>
      </c>
      <c r="K1731" s="1" t="s">
        <v>121</v>
      </c>
      <c r="M1731" t="s">
        <v>4</v>
      </c>
    </row>
    <row r="1732" spans="1:13" ht="15.75" customHeight="1" x14ac:dyDescent="0.2">
      <c r="A1732">
        <v>2228179</v>
      </c>
      <c r="B1732" s="9">
        <v>44071</v>
      </c>
      <c r="C1732" s="9">
        <v>44071</v>
      </c>
      <c r="D1732" t="s">
        <v>0</v>
      </c>
      <c r="E1732" t="s">
        <v>8</v>
      </c>
      <c r="F1732">
        <v>7</v>
      </c>
      <c r="G1732" t="s">
        <v>1</v>
      </c>
      <c r="H1732">
        <v>56</v>
      </c>
      <c r="I1732" t="s">
        <v>2</v>
      </c>
      <c r="K1732" s="1" t="s">
        <v>121</v>
      </c>
      <c r="M1732" t="s">
        <v>4</v>
      </c>
    </row>
    <row r="1733" spans="1:13" ht="15.75" customHeight="1" x14ac:dyDescent="0.2">
      <c r="A1733">
        <v>2228441</v>
      </c>
      <c r="B1733" s="9">
        <v>44073</v>
      </c>
      <c r="C1733" s="9">
        <v>44073</v>
      </c>
      <c r="D1733" t="s">
        <v>0</v>
      </c>
      <c r="E1733" t="s">
        <v>14</v>
      </c>
      <c r="F1733">
        <v>14</v>
      </c>
      <c r="G1733" t="s">
        <v>6</v>
      </c>
      <c r="H1733">
        <v>36</v>
      </c>
      <c r="I1733" t="s">
        <v>2</v>
      </c>
      <c r="K1733" s="1" t="s">
        <v>121</v>
      </c>
      <c r="M1733" t="s">
        <v>22</v>
      </c>
    </row>
    <row r="1734" spans="1:13" ht="15.75" customHeight="1" x14ac:dyDescent="0.2">
      <c r="A1734">
        <v>2228471</v>
      </c>
      <c r="B1734" s="9">
        <v>44073</v>
      </c>
      <c r="C1734" s="9">
        <v>44073</v>
      </c>
      <c r="D1734" t="s">
        <v>0</v>
      </c>
      <c r="E1734" t="s">
        <v>55</v>
      </c>
      <c r="F1734">
        <v>15</v>
      </c>
      <c r="G1734" t="s">
        <v>1</v>
      </c>
      <c r="H1734">
        <v>29</v>
      </c>
      <c r="I1734" t="s">
        <v>2</v>
      </c>
      <c r="K1734" s="1" t="s">
        <v>121</v>
      </c>
      <c r="M1734" t="s">
        <v>22</v>
      </c>
    </row>
    <row r="1735" spans="1:13" ht="15.75" customHeight="1" x14ac:dyDescent="0.2">
      <c r="A1735">
        <v>2228487</v>
      </c>
      <c r="B1735" s="9">
        <v>44071</v>
      </c>
      <c r="C1735" s="9">
        <v>44073</v>
      </c>
      <c r="D1735" t="s">
        <v>0</v>
      </c>
      <c r="E1735" t="s">
        <v>48</v>
      </c>
      <c r="F1735">
        <v>10</v>
      </c>
      <c r="G1735" t="s">
        <v>1</v>
      </c>
      <c r="H1735">
        <v>55</v>
      </c>
      <c r="I1735" t="s">
        <v>2</v>
      </c>
      <c r="K1735" s="1" t="s">
        <v>121</v>
      </c>
      <c r="M1735" t="s">
        <v>4</v>
      </c>
    </row>
    <row r="1736" spans="1:13" ht="15.75" customHeight="1" x14ac:dyDescent="0.2">
      <c r="A1736">
        <v>2228568</v>
      </c>
      <c r="B1736" s="9">
        <v>44073</v>
      </c>
      <c r="C1736" s="9">
        <v>44085</v>
      </c>
      <c r="D1736" t="s">
        <v>5</v>
      </c>
      <c r="E1736" t="s">
        <v>76</v>
      </c>
      <c r="F1736"/>
      <c r="G1736" t="s">
        <v>1</v>
      </c>
      <c r="H1736">
        <v>46</v>
      </c>
      <c r="I1736" t="s">
        <v>2</v>
      </c>
      <c r="K1736" s="1" t="s">
        <v>121</v>
      </c>
      <c r="M1736" t="s">
        <v>4</v>
      </c>
    </row>
    <row r="1737" spans="1:13" ht="15.75" customHeight="1" x14ac:dyDescent="0.2">
      <c r="A1737">
        <v>2228777</v>
      </c>
      <c r="B1737" s="9">
        <v>44072</v>
      </c>
      <c r="C1737" s="9">
        <v>44073</v>
      </c>
      <c r="D1737" t="s">
        <v>0</v>
      </c>
      <c r="E1737" t="s">
        <v>13</v>
      </c>
      <c r="F1737">
        <v>2</v>
      </c>
      <c r="G1737" t="s">
        <v>1</v>
      </c>
      <c r="H1737">
        <v>25</v>
      </c>
      <c r="I1737" t="s">
        <v>2</v>
      </c>
      <c r="K1737" s="1" t="s">
        <v>121</v>
      </c>
      <c r="M1737" t="s">
        <v>9</v>
      </c>
    </row>
    <row r="1738" spans="1:13" ht="15.75" customHeight="1" x14ac:dyDescent="0.2">
      <c r="A1738">
        <v>2229469</v>
      </c>
      <c r="B1738" s="9">
        <v>44071</v>
      </c>
      <c r="C1738" s="9">
        <v>44071</v>
      </c>
      <c r="D1738" t="s">
        <v>5</v>
      </c>
      <c r="E1738" t="s">
        <v>83</v>
      </c>
      <c r="F1738"/>
      <c r="G1738" t="s">
        <v>1</v>
      </c>
      <c r="H1738">
        <v>38</v>
      </c>
      <c r="I1738" t="s">
        <v>2</v>
      </c>
      <c r="K1738" s="1" t="s">
        <v>121</v>
      </c>
      <c r="M1738" t="s">
        <v>4</v>
      </c>
    </row>
    <row r="1739" spans="1:13" ht="15.75" customHeight="1" x14ac:dyDescent="0.2">
      <c r="A1739">
        <v>2229473</v>
      </c>
      <c r="B1739" s="9">
        <v>44071</v>
      </c>
      <c r="C1739" s="9">
        <v>44071</v>
      </c>
      <c r="D1739" t="s">
        <v>0</v>
      </c>
      <c r="E1739" t="s">
        <v>34</v>
      </c>
      <c r="F1739">
        <v>9</v>
      </c>
      <c r="G1739" t="s">
        <v>1</v>
      </c>
      <c r="H1739">
        <v>13</v>
      </c>
      <c r="I1739" t="s">
        <v>2</v>
      </c>
      <c r="K1739" s="1" t="s">
        <v>121</v>
      </c>
      <c r="M1739" t="s">
        <v>4</v>
      </c>
    </row>
    <row r="1740" spans="1:13" ht="15.75" customHeight="1" x14ac:dyDescent="0.2">
      <c r="A1740">
        <v>2229477</v>
      </c>
      <c r="B1740" s="9">
        <v>44071</v>
      </c>
      <c r="C1740" s="9">
        <v>44071</v>
      </c>
      <c r="D1740" t="s">
        <v>0</v>
      </c>
      <c r="E1740" t="s">
        <v>34</v>
      </c>
      <c r="F1740">
        <v>9</v>
      </c>
      <c r="G1740" t="s">
        <v>1</v>
      </c>
      <c r="H1740">
        <v>14</v>
      </c>
      <c r="I1740" t="s">
        <v>2</v>
      </c>
      <c r="K1740" s="1" t="s">
        <v>121</v>
      </c>
      <c r="M1740" t="s">
        <v>4</v>
      </c>
    </row>
    <row r="1741" spans="1:13" ht="15.75" customHeight="1" x14ac:dyDescent="0.2">
      <c r="A1741">
        <v>2229485</v>
      </c>
      <c r="B1741" s="9">
        <v>44071</v>
      </c>
      <c r="C1741" s="9">
        <v>44071</v>
      </c>
      <c r="D1741" t="s">
        <v>0</v>
      </c>
      <c r="E1741" t="s">
        <v>8</v>
      </c>
      <c r="F1741">
        <v>7</v>
      </c>
      <c r="G1741" t="s">
        <v>6</v>
      </c>
      <c r="H1741">
        <v>44</v>
      </c>
      <c r="I1741" t="s">
        <v>2</v>
      </c>
      <c r="K1741" s="1" t="s">
        <v>121</v>
      </c>
      <c r="M1741" t="s">
        <v>4</v>
      </c>
    </row>
    <row r="1742" spans="1:13" ht="15.75" customHeight="1" x14ac:dyDescent="0.2">
      <c r="A1742">
        <v>2231668</v>
      </c>
      <c r="B1742" s="9">
        <v>44074</v>
      </c>
      <c r="C1742" s="9">
        <v>44074</v>
      </c>
      <c r="D1742" t="s">
        <v>0</v>
      </c>
      <c r="E1742" t="s">
        <v>17</v>
      </c>
      <c r="F1742">
        <v>1</v>
      </c>
      <c r="G1742" t="s">
        <v>6</v>
      </c>
      <c r="H1742">
        <v>28</v>
      </c>
      <c r="I1742" t="s">
        <v>2</v>
      </c>
      <c r="K1742" s="1" t="s">
        <v>121</v>
      </c>
      <c r="M1742" t="s">
        <v>9</v>
      </c>
    </row>
    <row r="1743" spans="1:13" ht="15.75" customHeight="1" x14ac:dyDescent="0.2">
      <c r="A1743">
        <v>2232235</v>
      </c>
      <c r="B1743" s="9">
        <v>44073</v>
      </c>
      <c r="C1743" s="9">
        <v>44074</v>
      </c>
      <c r="D1743" t="s">
        <v>5</v>
      </c>
      <c r="E1743" t="s">
        <v>76</v>
      </c>
      <c r="F1743"/>
      <c r="G1743" t="s">
        <v>1</v>
      </c>
      <c r="H1743">
        <v>35</v>
      </c>
      <c r="I1743" t="s">
        <v>2</v>
      </c>
      <c r="K1743" s="1" t="s">
        <v>121</v>
      </c>
      <c r="M1743" t="s">
        <v>9</v>
      </c>
    </row>
    <row r="1744" spans="1:13" ht="15.75" customHeight="1" x14ac:dyDescent="0.2">
      <c r="A1744">
        <v>2232705</v>
      </c>
      <c r="B1744" s="9">
        <v>44073</v>
      </c>
      <c r="C1744" s="9">
        <v>44073</v>
      </c>
      <c r="D1744" t="s">
        <v>0</v>
      </c>
      <c r="E1744" t="s">
        <v>39</v>
      </c>
      <c r="F1744">
        <v>8</v>
      </c>
      <c r="G1744" t="s">
        <v>1</v>
      </c>
      <c r="H1744">
        <v>27</v>
      </c>
      <c r="I1744" t="s">
        <v>2</v>
      </c>
      <c r="K1744" s="1" t="s">
        <v>121</v>
      </c>
      <c r="M1744" t="s">
        <v>9</v>
      </c>
    </row>
    <row r="1745" spans="1:13" ht="15.75" customHeight="1" x14ac:dyDescent="0.2">
      <c r="A1745">
        <v>2232992</v>
      </c>
      <c r="B1745" s="9">
        <v>44073</v>
      </c>
      <c r="C1745" s="9">
        <v>44073</v>
      </c>
      <c r="D1745" t="s">
        <v>0</v>
      </c>
      <c r="E1745" t="s">
        <v>39</v>
      </c>
      <c r="F1745">
        <v>8</v>
      </c>
      <c r="G1745" t="s">
        <v>1</v>
      </c>
      <c r="H1745">
        <v>2</v>
      </c>
      <c r="I1745" t="s">
        <v>2</v>
      </c>
      <c r="K1745" s="1" t="s">
        <v>121</v>
      </c>
      <c r="M1745" t="s">
        <v>9</v>
      </c>
    </row>
    <row r="1746" spans="1:13" ht="15.75" customHeight="1" x14ac:dyDescent="0.2">
      <c r="A1746">
        <v>2233620</v>
      </c>
      <c r="B1746" s="9">
        <v>44073</v>
      </c>
      <c r="C1746" s="9">
        <v>44073</v>
      </c>
      <c r="D1746" t="s">
        <v>0</v>
      </c>
      <c r="E1746" t="s">
        <v>8</v>
      </c>
      <c r="F1746">
        <v>7</v>
      </c>
      <c r="G1746" t="s">
        <v>6</v>
      </c>
      <c r="H1746">
        <v>35</v>
      </c>
      <c r="I1746" t="s">
        <v>2</v>
      </c>
      <c r="K1746" s="1" t="s">
        <v>121</v>
      </c>
      <c r="M1746" t="s">
        <v>20</v>
      </c>
    </row>
    <row r="1747" spans="1:13" ht="15.75" customHeight="1" x14ac:dyDescent="0.2">
      <c r="A1747">
        <v>2234207</v>
      </c>
      <c r="B1747" s="9">
        <v>44072</v>
      </c>
      <c r="C1747" s="9">
        <v>44072</v>
      </c>
      <c r="D1747" t="s">
        <v>0</v>
      </c>
      <c r="E1747" t="s">
        <v>39</v>
      </c>
      <c r="F1747">
        <v>8</v>
      </c>
      <c r="G1747" t="s">
        <v>1</v>
      </c>
      <c r="H1747">
        <v>44</v>
      </c>
      <c r="I1747" t="s">
        <v>2</v>
      </c>
      <c r="K1747" s="1" t="s">
        <v>121</v>
      </c>
      <c r="M1747" t="s">
        <v>4</v>
      </c>
    </row>
    <row r="1748" spans="1:13" ht="15.75" customHeight="1" x14ac:dyDescent="0.2">
      <c r="A1748">
        <v>2234476</v>
      </c>
      <c r="B1748" s="9">
        <v>44072</v>
      </c>
      <c r="C1748" s="9">
        <v>44072</v>
      </c>
      <c r="D1748" t="s">
        <v>0</v>
      </c>
      <c r="E1748" t="s">
        <v>45</v>
      </c>
      <c r="F1748">
        <v>4</v>
      </c>
      <c r="G1748" t="s">
        <v>1</v>
      </c>
      <c r="H1748">
        <v>5</v>
      </c>
      <c r="I1748" t="s">
        <v>2</v>
      </c>
      <c r="K1748" s="1" t="s">
        <v>121</v>
      </c>
      <c r="M1748" t="s">
        <v>4</v>
      </c>
    </row>
    <row r="1749" spans="1:13" ht="15.75" customHeight="1" x14ac:dyDescent="0.2">
      <c r="A1749">
        <v>2234529</v>
      </c>
      <c r="B1749" s="9">
        <v>44072</v>
      </c>
      <c r="C1749" s="9">
        <v>44072</v>
      </c>
      <c r="D1749" t="s">
        <v>0</v>
      </c>
      <c r="E1749" t="s">
        <v>45</v>
      </c>
      <c r="F1749">
        <v>4</v>
      </c>
      <c r="G1749" t="s">
        <v>6</v>
      </c>
      <c r="H1749">
        <v>59</v>
      </c>
      <c r="I1749" t="s">
        <v>2</v>
      </c>
      <c r="K1749" s="1" t="s">
        <v>121</v>
      </c>
      <c r="M1749" t="s">
        <v>9</v>
      </c>
    </row>
    <row r="1750" spans="1:13" ht="15.75" customHeight="1" x14ac:dyDescent="0.2">
      <c r="A1750">
        <v>2234885</v>
      </c>
      <c r="B1750" s="9">
        <v>44072</v>
      </c>
      <c r="C1750" s="9">
        <v>44072</v>
      </c>
      <c r="D1750" t="s">
        <v>5</v>
      </c>
      <c r="E1750" t="s">
        <v>76</v>
      </c>
      <c r="F1750"/>
      <c r="G1750" t="s">
        <v>6</v>
      </c>
      <c r="H1750">
        <v>25</v>
      </c>
      <c r="I1750" t="s">
        <v>2</v>
      </c>
      <c r="K1750" s="1" t="s">
        <v>121</v>
      </c>
      <c r="M1750" t="s">
        <v>9</v>
      </c>
    </row>
    <row r="1751" spans="1:13" ht="15.75" customHeight="1" x14ac:dyDescent="0.2">
      <c r="A1751">
        <v>2235462</v>
      </c>
      <c r="B1751" s="9">
        <v>44072</v>
      </c>
      <c r="C1751" s="9">
        <v>44072</v>
      </c>
      <c r="D1751" t="s">
        <v>0</v>
      </c>
      <c r="E1751" t="s">
        <v>39</v>
      </c>
      <c r="F1751">
        <v>8</v>
      </c>
      <c r="G1751" t="s">
        <v>1</v>
      </c>
      <c r="H1751">
        <v>72</v>
      </c>
      <c r="I1751" t="s">
        <v>2</v>
      </c>
      <c r="K1751" s="1" t="s">
        <v>121</v>
      </c>
      <c r="M1751" t="s">
        <v>9</v>
      </c>
    </row>
    <row r="1752" spans="1:13" ht="15.75" customHeight="1" x14ac:dyDescent="0.2">
      <c r="A1752">
        <v>2242968</v>
      </c>
      <c r="B1752" s="9">
        <v>44074</v>
      </c>
      <c r="C1752" s="9">
        <v>44074</v>
      </c>
      <c r="D1752" t="s">
        <v>0</v>
      </c>
      <c r="E1752" t="s">
        <v>26</v>
      </c>
      <c r="F1752">
        <v>4</v>
      </c>
      <c r="G1752" t="s">
        <v>6</v>
      </c>
      <c r="H1752">
        <v>81</v>
      </c>
      <c r="I1752" t="s">
        <v>2</v>
      </c>
      <c r="K1752" s="1" t="s">
        <v>121</v>
      </c>
      <c r="M1752" t="s">
        <v>20</v>
      </c>
    </row>
    <row r="1753" spans="1:13" ht="15.75" customHeight="1" x14ac:dyDescent="0.2">
      <c r="A1753">
        <v>2243057</v>
      </c>
      <c r="B1753" s="9">
        <v>44070</v>
      </c>
      <c r="C1753" s="9">
        <v>44071</v>
      </c>
      <c r="D1753" t="s">
        <v>5</v>
      </c>
      <c r="E1753" t="s">
        <v>76</v>
      </c>
      <c r="F1753"/>
      <c r="G1753" t="s">
        <v>1</v>
      </c>
      <c r="H1753">
        <v>57</v>
      </c>
      <c r="I1753" t="s">
        <v>2</v>
      </c>
      <c r="K1753" s="1" t="s">
        <v>121</v>
      </c>
      <c r="M1753" t="s">
        <v>4</v>
      </c>
    </row>
    <row r="1754" spans="1:13" ht="15.75" customHeight="1" x14ac:dyDescent="0.2">
      <c r="A1754">
        <v>2243338</v>
      </c>
      <c r="B1754" s="9">
        <v>44074</v>
      </c>
      <c r="C1754" s="9">
        <v>44077</v>
      </c>
      <c r="D1754" t="s">
        <v>0</v>
      </c>
      <c r="E1754" t="s">
        <v>40</v>
      </c>
      <c r="F1754">
        <v>1</v>
      </c>
      <c r="G1754" t="s">
        <v>1</v>
      </c>
      <c r="H1754">
        <v>54</v>
      </c>
      <c r="I1754" t="s">
        <v>2</v>
      </c>
      <c r="K1754" s="1" t="s">
        <v>121</v>
      </c>
      <c r="M1754" t="s">
        <v>4</v>
      </c>
    </row>
    <row r="1755" spans="1:13" ht="15.75" customHeight="1" x14ac:dyDescent="0.2">
      <c r="A1755">
        <v>2244747</v>
      </c>
      <c r="B1755" s="9">
        <v>44072</v>
      </c>
      <c r="C1755" s="9">
        <v>44074</v>
      </c>
      <c r="D1755" t="s">
        <v>5</v>
      </c>
      <c r="E1755" t="s">
        <v>76</v>
      </c>
      <c r="F1755"/>
      <c r="G1755" t="s">
        <v>1</v>
      </c>
      <c r="H1755">
        <v>25</v>
      </c>
      <c r="I1755" t="s">
        <v>2</v>
      </c>
      <c r="K1755" s="1" t="s">
        <v>121</v>
      </c>
      <c r="M1755" t="s">
        <v>4</v>
      </c>
    </row>
    <row r="1756" spans="1:13" ht="15.75" customHeight="1" x14ac:dyDescent="0.2">
      <c r="A1756">
        <v>2248377</v>
      </c>
      <c r="B1756" s="9">
        <v>44072</v>
      </c>
      <c r="C1756" s="9">
        <v>44072</v>
      </c>
      <c r="D1756" t="s">
        <v>0</v>
      </c>
      <c r="E1756" t="s">
        <v>14</v>
      </c>
      <c r="F1756">
        <v>14</v>
      </c>
      <c r="G1756" t="s">
        <v>6</v>
      </c>
      <c r="H1756">
        <v>29</v>
      </c>
      <c r="I1756" t="s">
        <v>2</v>
      </c>
      <c r="K1756" s="1" t="s">
        <v>121</v>
      </c>
      <c r="M1756" t="s">
        <v>4</v>
      </c>
    </row>
    <row r="1757" spans="1:13" ht="15.75" customHeight="1" x14ac:dyDescent="0.2">
      <c r="A1757">
        <v>2248776</v>
      </c>
      <c r="B1757" s="9">
        <v>44072</v>
      </c>
      <c r="C1757" s="9">
        <v>44072</v>
      </c>
      <c r="D1757" t="s">
        <v>5</v>
      </c>
      <c r="E1757" t="s">
        <v>83</v>
      </c>
      <c r="F1757"/>
      <c r="G1757" t="s">
        <v>1</v>
      </c>
      <c r="H1757">
        <v>77</v>
      </c>
      <c r="I1757" t="s">
        <v>2</v>
      </c>
      <c r="K1757" s="1" t="s">
        <v>121</v>
      </c>
      <c r="M1757" t="s">
        <v>9</v>
      </c>
    </row>
    <row r="1758" spans="1:13" ht="15.75" customHeight="1" x14ac:dyDescent="0.2">
      <c r="A1758">
        <v>2249379</v>
      </c>
      <c r="B1758" s="9">
        <v>44072</v>
      </c>
      <c r="C1758" s="9">
        <v>44072</v>
      </c>
      <c r="D1758" t="s">
        <v>0</v>
      </c>
      <c r="E1758" t="s">
        <v>25</v>
      </c>
      <c r="F1758">
        <v>13</v>
      </c>
      <c r="G1758" t="s">
        <v>6</v>
      </c>
      <c r="H1758">
        <v>69</v>
      </c>
      <c r="I1758" t="s">
        <v>2</v>
      </c>
      <c r="K1758" s="1" t="s">
        <v>121</v>
      </c>
      <c r="M1758" t="s">
        <v>20</v>
      </c>
    </row>
    <row r="1759" spans="1:13" ht="15.75" customHeight="1" x14ac:dyDescent="0.2">
      <c r="A1759">
        <v>2251380</v>
      </c>
      <c r="B1759" s="9">
        <v>44074</v>
      </c>
      <c r="C1759" s="9">
        <v>44075</v>
      </c>
      <c r="D1759" t="s">
        <v>0</v>
      </c>
      <c r="E1759" t="s">
        <v>14</v>
      </c>
      <c r="F1759">
        <v>14</v>
      </c>
      <c r="G1759" t="s">
        <v>1</v>
      </c>
      <c r="H1759">
        <v>37</v>
      </c>
      <c r="I1759" t="s">
        <v>2</v>
      </c>
      <c r="K1759" s="1" t="s">
        <v>121</v>
      </c>
      <c r="M1759" t="s">
        <v>9</v>
      </c>
    </row>
    <row r="1760" spans="1:13" ht="15.75" customHeight="1" x14ac:dyDescent="0.2">
      <c r="A1760">
        <v>2252128</v>
      </c>
      <c r="B1760" s="9">
        <v>44073</v>
      </c>
      <c r="C1760" s="9">
        <v>44073</v>
      </c>
      <c r="D1760" t="s">
        <v>5</v>
      </c>
      <c r="E1760" t="s">
        <v>76</v>
      </c>
      <c r="F1760"/>
      <c r="G1760" t="s">
        <v>6</v>
      </c>
      <c r="H1760">
        <v>42</v>
      </c>
      <c r="I1760" t="s">
        <v>2</v>
      </c>
      <c r="K1760" s="1" t="s">
        <v>121</v>
      </c>
      <c r="M1760" t="s">
        <v>4</v>
      </c>
    </row>
    <row r="1761" spans="1:13" ht="15.75" customHeight="1" x14ac:dyDescent="0.2">
      <c r="A1761">
        <v>2252397</v>
      </c>
      <c r="B1761" s="9">
        <v>44073</v>
      </c>
      <c r="C1761" s="9">
        <v>44073</v>
      </c>
      <c r="D1761" t="s">
        <v>0</v>
      </c>
      <c r="E1761" t="s">
        <v>42</v>
      </c>
      <c r="F1761">
        <v>11</v>
      </c>
      <c r="G1761" t="s">
        <v>6</v>
      </c>
      <c r="H1761">
        <v>54</v>
      </c>
      <c r="I1761" t="s">
        <v>2</v>
      </c>
      <c r="K1761" s="1" t="s">
        <v>121</v>
      </c>
      <c r="M1761" t="s">
        <v>4</v>
      </c>
    </row>
    <row r="1762" spans="1:13" ht="15.75" customHeight="1" x14ac:dyDescent="0.2">
      <c r="A1762">
        <v>2252943</v>
      </c>
      <c r="B1762" s="9">
        <v>44074</v>
      </c>
      <c r="C1762" s="9">
        <v>44076</v>
      </c>
      <c r="D1762" t="s">
        <v>0</v>
      </c>
      <c r="E1762" t="s">
        <v>34</v>
      </c>
      <c r="F1762">
        <v>9</v>
      </c>
      <c r="G1762" t="s">
        <v>6</v>
      </c>
      <c r="H1762">
        <v>56</v>
      </c>
      <c r="I1762" t="s">
        <v>2</v>
      </c>
      <c r="K1762" s="1" t="s">
        <v>121</v>
      </c>
      <c r="M1762" t="s">
        <v>4</v>
      </c>
    </row>
    <row r="1763" spans="1:13" ht="15.75" customHeight="1" x14ac:dyDescent="0.2">
      <c r="A1763">
        <v>2253722</v>
      </c>
      <c r="B1763" s="9">
        <v>44072</v>
      </c>
      <c r="C1763" s="9">
        <v>44074</v>
      </c>
      <c r="D1763" t="s">
        <v>5</v>
      </c>
      <c r="E1763" t="s">
        <v>75</v>
      </c>
      <c r="F1763"/>
      <c r="G1763" t="s">
        <v>1</v>
      </c>
      <c r="H1763">
        <v>39</v>
      </c>
      <c r="I1763" t="s">
        <v>2</v>
      </c>
      <c r="K1763" s="1" t="s">
        <v>121</v>
      </c>
      <c r="M1763" t="s">
        <v>4</v>
      </c>
    </row>
    <row r="1764" spans="1:13" ht="15.75" customHeight="1" x14ac:dyDescent="0.2">
      <c r="A1764">
        <v>2254014</v>
      </c>
      <c r="B1764" s="9">
        <v>44073</v>
      </c>
      <c r="C1764" s="9">
        <v>44073</v>
      </c>
      <c r="D1764" t="s">
        <v>0</v>
      </c>
      <c r="E1764" t="s">
        <v>48</v>
      </c>
      <c r="F1764">
        <v>10</v>
      </c>
      <c r="G1764" t="s">
        <v>1</v>
      </c>
      <c r="H1764">
        <v>66</v>
      </c>
      <c r="I1764" t="s">
        <v>2</v>
      </c>
      <c r="K1764" s="1" t="s">
        <v>121</v>
      </c>
      <c r="M1764" t="s">
        <v>4</v>
      </c>
    </row>
    <row r="1765" spans="1:13" ht="15.75" customHeight="1" x14ac:dyDescent="0.2">
      <c r="A1765">
        <v>2254062</v>
      </c>
      <c r="B1765" s="9">
        <v>44074</v>
      </c>
      <c r="C1765" s="9">
        <v>44074</v>
      </c>
      <c r="D1765" t="s">
        <v>5</v>
      </c>
      <c r="E1765" t="s">
        <v>76</v>
      </c>
      <c r="F1765"/>
      <c r="G1765" t="s">
        <v>6</v>
      </c>
      <c r="H1765">
        <v>52</v>
      </c>
      <c r="I1765" t="s">
        <v>2</v>
      </c>
      <c r="K1765" s="1" t="s">
        <v>121</v>
      </c>
      <c r="M1765" t="s">
        <v>9</v>
      </c>
    </row>
    <row r="1766" spans="1:13" ht="15.75" customHeight="1" x14ac:dyDescent="0.2">
      <c r="A1766">
        <v>2254461</v>
      </c>
      <c r="B1766" s="9">
        <v>44074</v>
      </c>
      <c r="C1766" s="9">
        <v>44074</v>
      </c>
      <c r="D1766" t="s">
        <v>0</v>
      </c>
      <c r="E1766" t="s">
        <v>34</v>
      </c>
      <c r="F1766">
        <v>9</v>
      </c>
      <c r="G1766" t="s">
        <v>6</v>
      </c>
      <c r="H1766">
        <v>35</v>
      </c>
      <c r="I1766" t="s">
        <v>2</v>
      </c>
      <c r="K1766" s="1" t="s">
        <v>121</v>
      </c>
      <c r="M1766" t="s">
        <v>9</v>
      </c>
    </row>
    <row r="1767" spans="1:13" ht="15.75" customHeight="1" x14ac:dyDescent="0.2">
      <c r="A1767">
        <v>2258234</v>
      </c>
      <c r="B1767" s="9">
        <v>44074</v>
      </c>
      <c r="C1767" s="9">
        <v>44074</v>
      </c>
      <c r="D1767" t="s">
        <v>0</v>
      </c>
      <c r="E1767" t="s">
        <v>31</v>
      </c>
      <c r="F1767">
        <v>10</v>
      </c>
      <c r="G1767" t="s">
        <v>1</v>
      </c>
      <c r="H1767">
        <v>22</v>
      </c>
      <c r="I1767" t="s">
        <v>2</v>
      </c>
      <c r="K1767" s="1" t="s">
        <v>121</v>
      </c>
      <c r="M1767" t="s">
        <v>4</v>
      </c>
    </row>
    <row r="1768" spans="1:13" ht="15.75" customHeight="1" x14ac:dyDescent="0.2">
      <c r="A1768">
        <v>2258248</v>
      </c>
      <c r="B1768" s="9">
        <v>44074</v>
      </c>
      <c r="C1768" s="9">
        <v>44074</v>
      </c>
      <c r="D1768" t="s">
        <v>0</v>
      </c>
      <c r="E1768" t="s">
        <v>31</v>
      </c>
      <c r="F1768">
        <v>10</v>
      </c>
      <c r="G1768" t="s">
        <v>1</v>
      </c>
      <c r="H1768">
        <v>20</v>
      </c>
      <c r="I1768" t="s">
        <v>2</v>
      </c>
      <c r="K1768" s="1" t="s">
        <v>121</v>
      </c>
      <c r="M1768" t="s">
        <v>4</v>
      </c>
    </row>
    <row r="1769" spans="1:13" ht="15.75" customHeight="1" x14ac:dyDescent="0.2">
      <c r="A1769">
        <v>2258356</v>
      </c>
      <c r="B1769" s="9">
        <v>44074</v>
      </c>
      <c r="C1769" s="9">
        <v>44074</v>
      </c>
      <c r="D1769" t="s">
        <v>0</v>
      </c>
      <c r="E1769" t="s">
        <v>34</v>
      </c>
      <c r="F1769">
        <v>9</v>
      </c>
      <c r="G1769" t="s">
        <v>6</v>
      </c>
      <c r="H1769">
        <v>53</v>
      </c>
      <c r="I1769" t="s">
        <v>2</v>
      </c>
      <c r="K1769" s="1" t="s">
        <v>121</v>
      </c>
      <c r="M1769" t="s">
        <v>4</v>
      </c>
    </row>
    <row r="1770" spans="1:13" ht="15.75" customHeight="1" x14ac:dyDescent="0.2">
      <c r="A1770">
        <v>2259210</v>
      </c>
      <c r="B1770" s="9">
        <v>44074</v>
      </c>
      <c r="C1770" s="9">
        <v>44077</v>
      </c>
      <c r="D1770" t="s">
        <v>0</v>
      </c>
      <c r="E1770" t="s">
        <v>38</v>
      </c>
      <c r="F1770">
        <v>12</v>
      </c>
      <c r="G1770" t="s">
        <v>6</v>
      </c>
      <c r="H1770">
        <v>52</v>
      </c>
      <c r="I1770" t="s">
        <v>2</v>
      </c>
      <c r="K1770" s="1" t="s">
        <v>121</v>
      </c>
      <c r="M1770" t="s">
        <v>9</v>
      </c>
    </row>
    <row r="1771" spans="1:13" ht="15.75" customHeight="1" x14ac:dyDescent="0.2">
      <c r="A1771">
        <v>2260714</v>
      </c>
      <c r="B1771" s="9">
        <v>44075</v>
      </c>
      <c r="C1771" s="9">
        <v>44075</v>
      </c>
      <c r="D1771" t="s">
        <v>5</v>
      </c>
      <c r="E1771" t="s">
        <v>76</v>
      </c>
      <c r="F1771"/>
      <c r="G1771" t="s">
        <v>1</v>
      </c>
      <c r="H1771">
        <v>26</v>
      </c>
      <c r="I1771" t="s">
        <v>2</v>
      </c>
      <c r="K1771" s="1" t="s">
        <v>121</v>
      </c>
      <c r="M1771" t="s">
        <v>9</v>
      </c>
    </row>
    <row r="1772" spans="1:13" ht="15.75" customHeight="1" x14ac:dyDescent="0.2">
      <c r="A1772">
        <v>2261179</v>
      </c>
      <c r="B1772" s="9">
        <v>44075</v>
      </c>
      <c r="C1772" s="9">
        <v>44075</v>
      </c>
      <c r="D1772" t="s">
        <v>5</v>
      </c>
      <c r="E1772" t="s">
        <v>76</v>
      </c>
      <c r="F1772"/>
      <c r="G1772" t="s">
        <v>6</v>
      </c>
      <c r="H1772">
        <v>29</v>
      </c>
      <c r="I1772" t="s">
        <v>2</v>
      </c>
      <c r="K1772" s="1" t="s">
        <v>121</v>
      </c>
      <c r="M1772" t="s">
        <v>9</v>
      </c>
    </row>
    <row r="1773" spans="1:13" ht="15.75" customHeight="1" x14ac:dyDescent="0.2">
      <c r="A1773">
        <v>2261310</v>
      </c>
      <c r="B1773" s="9">
        <v>44075</v>
      </c>
      <c r="C1773" s="9">
        <v>44075</v>
      </c>
      <c r="D1773" t="s">
        <v>5</v>
      </c>
      <c r="E1773" t="s">
        <v>83</v>
      </c>
      <c r="F1773"/>
      <c r="G1773" t="s">
        <v>1</v>
      </c>
      <c r="H1773">
        <v>36</v>
      </c>
      <c r="I1773" t="s">
        <v>2</v>
      </c>
      <c r="K1773" s="1" t="s">
        <v>121</v>
      </c>
      <c r="M1773" t="s">
        <v>22</v>
      </c>
    </row>
    <row r="1774" spans="1:13" ht="15.75" customHeight="1" x14ac:dyDescent="0.2">
      <c r="A1774">
        <v>2263324</v>
      </c>
      <c r="B1774" s="9">
        <v>44074</v>
      </c>
      <c r="C1774" s="9">
        <v>44075</v>
      </c>
      <c r="D1774" t="s">
        <v>0</v>
      </c>
      <c r="E1774" t="s">
        <v>7</v>
      </c>
      <c r="F1774">
        <v>3</v>
      </c>
      <c r="G1774" t="s">
        <v>1</v>
      </c>
      <c r="H1774">
        <v>26</v>
      </c>
      <c r="I1774" t="s">
        <v>2</v>
      </c>
      <c r="K1774" s="1" t="s">
        <v>121</v>
      </c>
      <c r="M1774" t="s">
        <v>4</v>
      </c>
    </row>
    <row r="1775" spans="1:13" ht="15.75" customHeight="1" x14ac:dyDescent="0.2">
      <c r="A1775">
        <v>2265130</v>
      </c>
      <c r="B1775" s="9">
        <v>44075</v>
      </c>
      <c r="C1775" s="9">
        <v>44075</v>
      </c>
      <c r="D1775" t="s">
        <v>0</v>
      </c>
      <c r="E1775" t="s">
        <v>34</v>
      </c>
      <c r="F1775">
        <v>9</v>
      </c>
      <c r="G1775" t="s">
        <v>6</v>
      </c>
      <c r="H1775">
        <v>28</v>
      </c>
      <c r="I1775" t="s">
        <v>2</v>
      </c>
      <c r="K1775" s="1" t="s">
        <v>121</v>
      </c>
      <c r="M1775" t="s">
        <v>4</v>
      </c>
    </row>
    <row r="1776" spans="1:13" ht="15.75" customHeight="1" x14ac:dyDescent="0.2">
      <c r="A1776">
        <v>2265300</v>
      </c>
      <c r="B1776" s="9">
        <v>44075</v>
      </c>
      <c r="C1776" s="9">
        <v>44075</v>
      </c>
      <c r="D1776" t="s">
        <v>0</v>
      </c>
      <c r="E1776" t="s">
        <v>34</v>
      </c>
      <c r="F1776">
        <v>9</v>
      </c>
      <c r="G1776" t="s">
        <v>6</v>
      </c>
      <c r="H1776">
        <v>26</v>
      </c>
      <c r="I1776" t="s">
        <v>2</v>
      </c>
      <c r="K1776" s="1" t="s">
        <v>121</v>
      </c>
      <c r="M1776" t="s">
        <v>4</v>
      </c>
    </row>
    <row r="1777" spans="1:13" ht="15.75" customHeight="1" x14ac:dyDescent="0.2">
      <c r="A1777">
        <v>2265709</v>
      </c>
      <c r="B1777" s="9">
        <v>44075</v>
      </c>
      <c r="C1777" s="9">
        <v>44075</v>
      </c>
      <c r="D1777" t="s">
        <v>5</v>
      </c>
      <c r="E1777" t="s">
        <v>76</v>
      </c>
      <c r="F1777"/>
      <c r="G1777" t="s">
        <v>6</v>
      </c>
      <c r="H1777">
        <v>44</v>
      </c>
      <c r="I1777" t="s">
        <v>2</v>
      </c>
      <c r="K1777" s="1" t="s">
        <v>121</v>
      </c>
      <c r="M1777" t="s">
        <v>4</v>
      </c>
    </row>
    <row r="1778" spans="1:13" ht="15.75" customHeight="1" x14ac:dyDescent="0.2">
      <c r="A1778">
        <v>2265794</v>
      </c>
      <c r="B1778" s="9">
        <v>44075</v>
      </c>
      <c r="C1778" s="9">
        <v>44075</v>
      </c>
      <c r="D1778" t="s">
        <v>0</v>
      </c>
      <c r="E1778" t="s">
        <v>7</v>
      </c>
      <c r="F1778">
        <v>3</v>
      </c>
      <c r="G1778" t="s">
        <v>6</v>
      </c>
      <c r="H1778">
        <v>13</v>
      </c>
      <c r="I1778" t="s">
        <v>2</v>
      </c>
      <c r="K1778" s="1" t="s">
        <v>121</v>
      </c>
      <c r="M1778" t="s">
        <v>4</v>
      </c>
    </row>
    <row r="1779" spans="1:13" ht="15.75" customHeight="1" x14ac:dyDescent="0.2">
      <c r="A1779">
        <v>2268498</v>
      </c>
      <c r="B1779" s="9">
        <v>44074</v>
      </c>
      <c r="C1779" s="9">
        <v>44075</v>
      </c>
      <c r="D1779" t="s">
        <v>0</v>
      </c>
      <c r="E1779" t="s">
        <v>10</v>
      </c>
      <c r="F1779">
        <v>5</v>
      </c>
      <c r="G1779" t="s">
        <v>6</v>
      </c>
      <c r="H1779">
        <v>91</v>
      </c>
      <c r="I1779" t="s">
        <v>2</v>
      </c>
      <c r="K1779" s="1" t="s">
        <v>121</v>
      </c>
      <c r="M1779" t="s">
        <v>20</v>
      </c>
    </row>
    <row r="1780" spans="1:13" ht="15.75" customHeight="1" x14ac:dyDescent="0.2">
      <c r="A1780">
        <v>2271252</v>
      </c>
      <c r="B1780" s="9">
        <v>44075</v>
      </c>
      <c r="C1780" s="9">
        <v>44075</v>
      </c>
      <c r="D1780" t="s">
        <v>5</v>
      </c>
      <c r="E1780" t="s">
        <v>75</v>
      </c>
      <c r="F1780"/>
      <c r="G1780" t="s">
        <v>1</v>
      </c>
      <c r="H1780">
        <v>52</v>
      </c>
      <c r="I1780" t="s">
        <v>2</v>
      </c>
      <c r="K1780" s="1" t="s">
        <v>121</v>
      </c>
      <c r="M1780" t="s">
        <v>4</v>
      </c>
    </row>
    <row r="1781" spans="1:13" ht="15.75" customHeight="1" x14ac:dyDescent="0.2">
      <c r="A1781">
        <v>2272987</v>
      </c>
      <c r="B1781" s="9">
        <v>44075</v>
      </c>
      <c r="C1781" s="9">
        <v>44075</v>
      </c>
      <c r="D1781" t="s">
        <v>0</v>
      </c>
      <c r="E1781" t="s">
        <v>37</v>
      </c>
      <c r="F1781">
        <v>13</v>
      </c>
      <c r="G1781" t="s">
        <v>1</v>
      </c>
      <c r="H1781">
        <v>54</v>
      </c>
      <c r="I1781" t="s">
        <v>2</v>
      </c>
      <c r="K1781" s="1" t="s">
        <v>121</v>
      </c>
      <c r="M1781" t="s">
        <v>4</v>
      </c>
    </row>
    <row r="1782" spans="1:13" ht="15.75" customHeight="1" x14ac:dyDescent="0.2">
      <c r="A1782">
        <v>2273257</v>
      </c>
      <c r="B1782" s="9">
        <v>44072</v>
      </c>
      <c r="C1782" s="9">
        <v>44075</v>
      </c>
      <c r="D1782" t="s">
        <v>5</v>
      </c>
      <c r="E1782" t="s">
        <v>76</v>
      </c>
      <c r="F1782"/>
      <c r="G1782" t="s">
        <v>1</v>
      </c>
      <c r="H1782">
        <v>32</v>
      </c>
      <c r="I1782" t="s">
        <v>2</v>
      </c>
      <c r="K1782" s="1" t="s">
        <v>121</v>
      </c>
      <c r="M1782" t="s">
        <v>4</v>
      </c>
    </row>
    <row r="1783" spans="1:13" ht="15.75" customHeight="1" x14ac:dyDescent="0.2">
      <c r="A1783">
        <v>2273357</v>
      </c>
      <c r="B1783" s="9">
        <v>44072</v>
      </c>
      <c r="C1783" s="9">
        <v>44075</v>
      </c>
      <c r="D1783" t="s">
        <v>5</v>
      </c>
      <c r="E1783" s="5" t="s">
        <v>76</v>
      </c>
      <c r="F1783"/>
      <c r="G1783" t="s">
        <v>6</v>
      </c>
      <c r="H1783">
        <v>35</v>
      </c>
      <c r="I1783" t="s">
        <v>2</v>
      </c>
      <c r="K1783" s="1" t="s">
        <v>121</v>
      </c>
      <c r="M1783" t="s">
        <v>4</v>
      </c>
    </row>
    <row r="1784" spans="1:13" ht="15.75" customHeight="1" x14ac:dyDescent="0.2">
      <c r="A1784">
        <v>1810662</v>
      </c>
      <c r="B1784" s="9">
        <v>44054</v>
      </c>
      <c r="C1784" s="9">
        <v>44055</v>
      </c>
      <c r="D1784" t="s">
        <v>5</v>
      </c>
      <c r="E1784" t="s">
        <v>76</v>
      </c>
      <c r="F1784"/>
      <c r="G1784" t="s">
        <v>1</v>
      </c>
      <c r="H1784">
        <v>29</v>
      </c>
      <c r="I1784" t="s">
        <v>2</v>
      </c>
      <c r="K1784" s="1" t="s">
        <v>121</v>
      </c>
      <c r="M1784" t="s">
        <v>4</v>
      </c>
    </row>
    <row r="1785" spans="1:13" ht="15.75" customHeight="1" x14ac:dyDescent="0.2">
      <c r="A1785">
        <v>2273497</v>
      </c>
      <c r="B1785" s="9">
        <v>44075</v>
      </c>
      <c r="C1785" s="9">
        <v>44075</v>
      </c>
      <c r="D1785" t="s">
        <v>5</v>
      </c>
      <c r="E1785" s="1" t="s">
        <v>90</v>
      </c>
      <c r="F1785"/>
      <c r="G1785" t="s">
        <v>6</v>
      </c>
      <c r="H1785">
        <v>46</v>
      </c>
      <c r="I1785" t="s">
        <v>2</v>
      </c>
      <c r="K1785" s="1" t="s">
        <v>121</v>
      </c>
      <c r="M1785" t="s">
        <v>9</v>
      </c>
    </row>
    <row r="1786" spans="1:13" ht="15.75" customHeight="1" x14ac:dyDescent="0.2">
      <c r="A1786">
        <v>2274197</v>
      </c>
      <c r="B1786" s="9">
        <v>44075</v>
      </c>
      <c r="C1786" s="9">
        <v>44075</v>
      </c>
      <c r="D1786" t="s">
        <v>0</v>
      </c>
      <c r="E1786" t="s">
        <v>11</v>
      </c>
      <c r="F1786">
        <v>6</v>
      </c>
      <c r="G1786" t="s">
        <v>1</v>
      </c>
      <c r="H1786">
        <v>50</v>
      </c>
      <c r="I1786" t="s">
        <v>2</v>
      </c>
      <c r="K1786" s="1" t="s">
        <v>121</v>
      </c>
      <c r="M1786" t="s">
        <v>4</v>
      </c>
    </row>
    <row r="1787" spans="1:13" ht="15.75" customHeight="1" x14ac:dyDescent="0.2">
      <c r="A1787">
        <v>2274859</v>
      </c>
      <c r="B1787" s="9">
        <v>44075</v>
      </c>
      <c r="C1787" s="9">
        <v>44076</v>
      </c>
      <c r="D1787" t="s">
        <v>0</v>
      </c>
      <c r="E1787" t="s">
        <v>35</v>
      </c>
      <c r="F1787">
        <v>3</v>
      </c>
      <c r="G1787" t="s">
        <v>1</v>
      </c>
      <c r="H1787">
        <v>5</v>
      </c>
      <c r="I1787" t="s">
        <v>2</v>
      </c>
      <c r="K1787" s="1" t="s">
        <v>121</v>
      </c>
      <c r="M1787" t="s">
        <v>9</v>
      </c>
    </row>
    <row r="1788" spans="1:13" ht="15.75" customHeight="1" x14ac:dyDescent="0.2">
      <c r="A1788">
        <v>2275630</v>
      </c>
      <c r="B1788" s="9">
        <v>44075</v>
      </c>
      <c r="C1788" s="9">
        <v>44075</v>
      </c>
      <c r="D1788" t="s">
        <v>5</v>
      </c>
      <c r="E1788" t="s">
        <v>75</v>
      </c>
      <c r="F1788"/>
      <c r="G1788" t="s">
        <v>1</v>
      </c>
      <c r="H1788">
        <v>29</v>
      </c>
      <c r="I1788" t="s">
        <v>2</v>
      </c>
      <c r="K1788" s="1" t="s">
        <v>121</v>
      </c>
      <c r="M1788" t="s">
        <v>9</v>
      </c>
    </row>
    <row r="1789" spans="1:13" ht="15.75" customHeight="1" x14ac:dyDescent="0.2">
      <c r="A1789">
        <v>2276307</v>
      </c>
      <c r="B1789" s="9">
        <v>44075</v>
      </c>
      <c r="C1789" s="9">
        <v>44076</v>
      </c>
      <c r="D1789" t="s">
        <v>0</v>
      </c>
      <c r="E1789" t="s">
        <v>46</v>
      </c>
      <c r="F1789">
        <v>5</v>
      </c>
      <c r="G1789" t="s">
        <v>6</v>
      </c>
      <c r="H1789">
        <v>28</v>
      </c>
      <c r="I1789" t="s">
        <v>2</v>
      </c>
      <c r="K1789" s="1" t="s">
        <v>121</v>
      </c>
      <c r="M1789" t="s">
        <v>4</v>
      </c>
    </row>
    <row r="1790" spans="1:13" ht="15.75" customHeight="1" x14ac:dyDescent="0.2">
      <c r="A1790">
        <v>2277476</v>
      </c>
      <c r="B1790" s="9">
        <v>44075</v>
      </c>
      <c r="C1790" s="9">
        <v>44076</v>
      </c>
      <c r="D1790" t="s">
        <v>5</v>
      </c>
      <c r="E1790" t="s">
        <v>76</v>
      </c>
      <c r="F1790"/>
      <c r="G1790" t="s">
        <v>6</v>
      </c>
      <c r="H1790">
        <v>9</v>
      </c>
      <c r="I1790" t="s">
        <v>2</v>
      </c>
      <c r="K1790" s="1" t="s">
        <v>121</v>
      </c>
      <c r="M1790" t="s">
        <v>9</v>
      </c>
    </row>
    <row r="1791" spans="1:13" ht="15.75" customHeight="1" x14ac:dyDescent="0.2">
      <c r="A1791">
        <v>2278879</v>
      </c>
      <c r="B1791" s="9">
        <v>44075</v>
      </c>
      <c r="C1791" s="9">
        <v>44076</v>
      </c>
      <c r="D1791" t="s">
        <v>5</v>
      </c>
      <c r="E1791" t="s">
        <v>83</v>
      </c>
      <c r="F1791"/>
      <c r="G1791" t="s">
        <v>6</v>
      </c>
      <c r="H1791">
        <v>64</v>
      </c>
      <c r="I1791" t="s">
        <v>2</v>
      </c>
      <c r="K1791" s="1" t="s">
        <v>121</v>
      </c>
      <c r="M1791" t="s">
        <v>4</v>
      </c>
    </row>
    <row r="1792" spans="1:13" ht="15.75" customHeight="1" x14ac:dyDescent="0.2">
      <c r="A1792">
        <v>2279879</v>
      </c>
      <c r="B1792" s="9">
        <v>44075</v>
      </c>
      <c r="C1792" s="9">
        <v>44076</v>
      </c>
      <c r="D1792" t="s">
        <v>0</v>
      </c>
      <c r="E1792" t="s">
        <v>23</v>
      </c>
      <c r="F1792">
        <v>10</v>
      </c>
      <c r="G1792" t="s">
        <v>1</v>
      </c>
      <c r="H1792">
        <v>49</v>
      </c>
      <c r="I1792" t="s">
        <v>2</v>
      </c>
      <c r="K1792" s="1" t="s">
        <v>121</v>
      </c>
      <c r="M1792" t="s">
        <v>4</v>
      </c>
    </row>
    <row r="1793" spans="1:13" ht="15.75" customHeight="1" x14ac:dyDescent="0.2">
      <c r="A1793">
        <v>2280596</v>
      </c>
      <c r="B1793" s="9">
        <v>44075</v>
      </c>
      <c r="C1793" s="9">
        <v>44075</v>
      </c>
      <c r="D1793" t="s">
        <v>0</v>
      </c>
      <c r="E1793" t="s">
        <v>10</v>
      </c>
      <c r="F1793">
        <v>5</v>
      </c>
      <c r="G1793" t="s">
        <v>1</v>
      </c>
      <c r="H1793">
        <v>28</v>
      </c>
      <c r="I1793" t="s">
        <v>2</v>
      </c>
      <c r="K1793" s="1" t="s">
        <v>121</v>
      </c>
      <c r="M1793" t="s">
        <v>20</v>
      </c>
    </row>
    <row r="1794" spans="1:13" ht="15.75" customHeight="1" x14ac:dyDescent="0.2">
      <c r="A1794">
        <v>2280634</v>
      </c>
      <c r="B1794" s="9">
        <v>44076</v>
      </c>
      <c r="C1794" s="9">
        <v>44077</v>
      </c>
      <c r="D1794" t="s">
        <v>5</v>
      </c>
      <c r="E1794" t="s">
        <v>76</v>
      </c>
      <c r="F1794"/>
      <c r="G1794" t="s">
        <v>6</v>
      </c>
      <c r="H1794">
        <v>66</v>
      </c>
      <c r="I1794" t="s">
        <v>2</v>
      </c>
      <c r="K1794" s="1" t="s">
        <v>121</v>
      </c>
      <c r="M1794" t="s">
        <v>9</v>
      </c>
    </row>
    <row r="1795" spans="1:13" ht="15.75" customHeight="1" x14ac:dyDescent="0.2">
      <c r="A1795">
        <v>2281014</v>
      </c>
      <c r="B1795" s="9">
        <v>44075</v>
      </c>
      <c r="C1795" s="9">
        <v>44075</v>
      </c>
      <c r="D1795" t="s">
        <v>5</v>
      </c>
      <c r="E1795" s="1" t="s">
        <v>90</v>
      </c>
      <c r="F1795"/>
      <c r="G1795" t="s">
        <v>6</v>
      </c>
      <c r="H1795">
        <v>21</v>
      </c>
      <c r="I1795" t="s">
        <v>2</v>
      </c>
      <c r="K1795" s="1" t="s">
        <v>121</v>
      </c>
      <c r="M1795" t="s">
        <v>20</v>
      </c>
    </row>
    <row r="1796" spans="1:13" ht="15.75" customHeight="1" x14ac:dyDescent="0.2">
      <c r="A1796">
        <v>2256250</v>
      </c>
      <c r="B1796" s="9">
        <v>44076</v>
      </c>
      <c r="C1796" s="9">
        <v>44076</v>
      </c>
      <c r="D1796" t="s">
        <v>5</v>
      </c>
      <c r="E1796" t="s">
        <v>83</v>
      </c>
      <c r="F1796"/>
      <c r="G1796" t="s">
        <v>1</v>
      </c>
      <c r="H1796">
        <v>29</v>
      </c>
      <c r="I1796" t="s">
        <v>2</v>
      </c>
      <c r="K1796" s="1" t="s">
        <v>121</v>
      </c>
      <c r="M1796" t="s">
        <v>4</v>
      </c>
    </row>
    <row r="1797" spans="1:13" ht="15.75" customHeight="1" x14ac:dyDescent="0.2">
      <c r="A1797">
        <v>2256309</v>
      </c>
      <c r="B1797" s="9">
        <v>44074</v>
      </c>
      <c r="C1797" s="9">
        <v>44074</v>
      </c>
      <c r="D1797" t="s">
        <v>0</v>
      </c>
      <c r="E1797" t="s">
        <v>50</v>
      </c>
      <c r="F1797">
        <v>1</v>
      </c>
      <c r="G1797" t="s">
        <v>6</v>
      </c>
      <c r="H1797">
        <v>19</v>
      </c>
      <c r="I1797" t="s">
        <v>2</v>
      </c>
      <c r="K1797" s="1" t="s">
        <v>121</v>
      </c>
      <c r="M1797" t="s">
        <v>20</v>
      </c>
    </row>
    <row r="1798" spans="1:13" ht="15.75" customHeight="1" x14ac:dyDescent="0.2">
      <c r="A1798">
        <v>2256377</v>
      </c>
      <c r="B1798" s="9">
        <v>44074</v>
      </c>
      <c r="C1798" s="9">
        <v>44074</v>
      </c>
      <c r="D1798" t="s">
        <v>0</v>
      </c>
      <c r="E1798" t="s">
        <v>8</v>
      </c>
      <c r="F1798">
        <v>7</v>
      </c>
      <c r="G1798" t="s">
        <v>6</v>
      </c>
      <c r="H1798">
        <v>53</v>
      </c>
      <c r="I1798" t="s">
        <v>2</v>
      </c>
      <c r="K1798" s="1" t="s">
        <v>121</v>
      </c>
      <c r="M1798" t="s">
        <v>4</v>
      </c>
    </row>
    <row r="1799" spans="1:13" ht="15.75" customHeight="1" x14ac:dyDescent="0.2">
      <c r="A1799">
        <v>2257613</v>
      </c>
      <c r="B1799" s="9">
        <v>44074</v>
      </c>
      <c r="C1799" s="9">
        <v>44074</v>
      </c>
      <c r="D1799" t="s">
        <v>5</v>
      </c>
      <c r="E1799" t="s">
        <v>76</v>
      </c>
      <c r="F1799"/>
      <c r="G1799" t="s">
        <v>6</v>
      </c>
      <c r="H1799">
        <v>28</v>
      </c>
      <c r="I1799" t="s">
        <v>2</v>
      </c>
      <c r="K1799" s="1" t="s">
        <v>121</v>
      </c>
      <c r="M1799" t="s">
        <v>4</v>
      </c>
    </row>
    <row r="1800" spans="1:13" ht="15.75" customHeight="1" x14ac:dyDescent="0.2">
      <c r="A1800">
        <v>2261929</v>
      </c>
      <c r="B1800" s="9">
        <v>44075</v>
      </c>
      <c r="C1800" s="9">
        <v>44076</v>
      </c>
      <c r="D1800" t="s">
        <v>0</v>
      </c>
      <c r="E1800" t="s">
        <v>14</v>
      </c>
      <c r="F1800">
        <v>14</v>
      </c>
      <c r="G1800" t="s">
        <v>6</v>
      </c>
      <c r="H1800">
        <v>42</v>
      </c>
      <c r="I1800" t="s">
        <v>2</v>
      </c>
      <c r="K1800" s="1" t="s">
        <v>121</v>
      </c>
      <c r="M1800" t="s">
        <v>4</v>
      </c>
    </row>
    <row r="1801" spans="1:13" ht="15.75" customHeight="1" x14ac:dyDescent="0.2">
      <c r="A1801">
        <v>2263462</v>
      </c>
      <c r="B1801" s="9">
        <v>44074</v>
      </c>
      <c r="C1801" s="9">
        <v>44075</v>
      </c>
      <c r="D1801" t="s">
        <v>0</v>
      </c>
      <c r="E1801" t="s">
        <v>7</v>
      </c>
      <c r="F1801">
        <v>3</v>
      </c>
      <c r="G1801" t="s">
        <v>6</v>
      </c>
      <c r="H1801">
        <v>36</v>
      </c>
      <c r="I1801" t="s">
        <v>2</v>
      </c>
      <c r="K1801" s="1" t="s">
        <v>121</v>
      </c>
      <c r="M1801" t="s">
        <v>9</v>
      </c>
    </row>
    <row r="1802" spans="1:13" ht="15.75" customHeight="1" x14ac:dyDescent="0.2">
      <c r="A1802">
        <v>2263829</v>
      </c>
      <c r="B1802" s="9">
        <v>44074</v>
      </c>
      <c r="C1802" s="9">
        <v>44075</v>
      </c>
      <c r="D1802" t="s">
        <v>0</v>
      </c>
      <c r="E1802" t="s">
        <v>35</v>
      </c>
      <c r="F1802">
        <v>3</v>
      </c>
      <c r="G1802" t="s">
        <v>6</v>
      </c>
      <c r="H1802">
        <v>20</v>
      </c>
      <c r="I1802" t="s">
        <v>2</v>
      </c>
      <c r="K1802" s="1" t="s">
        <v>121</v>
      </c>
      <c r="M1802" t="s">
        <v>9</v>
      </c>
    </row>
    <row r="1803" spans="1:13" ht="15.75" customHeight="1" x14ac:dyDescent="0.2">
      <c r="A1803">
        <v>2264163</v>
      </c>
      <c r="B1803" s="9">
        <v>44073</v>
      </c>
      <c r="C1803" s="9">
        <v>44074</v>
      </c>
      <c r="D1803" t="s">
        <v>0</v>
      </c>
      <c r="E1803" t="s">
        <v>43</v>
      </c>
      <c r="F1803">
        <v>10</v>
      </c>
      <c r="G1803" t="s">
        <v>6</v>
      </c>
      <c r="H1803">
        <v>40</v>
      </c>
      <c r="I1803" t="s">
        <v>2</v>
      </c>
      <c r="K1803" s="1" t="s">
        <v>121</v>
      </c>
      <c r="M1803" t="s">
        <v>20</v>
      </c>
    </row>
    <row r="1804" spans="1:13" ht="15.75" customHeight="1" x14ac:dyDescent="0.2">
      <c r="A1804">
        <v>2264940</v>
      </c>
      <c r="B1804" s="9">
        <v>44074</v>
      </c>
      <c r="C1804" s="9">
        <v>44075</v>
      </c>
      <c r="D1804" t="s">
        <v>0</v>
      </c>
      <c r="E1804" t="s">
        <v>7</v>
      </c>
      <c r="F1804">
        <v>3</v>
      </c>
      <c r="G1804" t="s">
        <v>1</v>
      </c>
      <c r="H1804">
        <v>45</v>
      </c>
      <c r="I1804" t="s">
        <v>2</v>
      </c>
      <c r="K1804" s="1" t="s">
        <v>121</v>
      </c>
      <c r="M1804" t="s">
        <v>9</v>
      </c>
    </row>
    <row r="1805" spans="1:13" ht="15.75" customHeight="1" x14ac:dyDescent="0.2">
      <c r="A1805">
        <v>2266360</v>
      </c>
      <c r="B1805" s="9">
        <v>44073</v>
      </c>
      <c r="C1805" s="9">
        <v>44074</v>
      </c>
      <c r="D1805" t="s">
        <v>5</v>
      </c>
      <c r="E1805" t="s">
        <v>75</v>
      </c>
      <c r="F1805"/>
      <c r="G1805" t="s">
        <v>6</v>
      </c>
      <c r="H1805">
        <v>51</v>
      </c>
      <c r="I1805" t="s">
        <v>2</v>
      </c>
      <c r="K1805" s="1" t="s">
        <v>121</v>
      </c>
      <c r="M1805" t="s">
        <v>20</v>
      </c>
    </row>
    <row r="1806" spans="1:13" ht="15.75" customHeight="1" x14ac:dyDescent="0.2">
      <c r="A1806">
        <v>2266859</v>
      </c>
      <c r="B1806" s="9">
        <v>44075</v>
      </c>
      <c r="C1806" s="9">
        <v>44075</v>
      </c>
      <c r="D1806" t="s">
        <v>0</v>
      </c>
      <c r="E1806" t="s">
        <v>13</v>
      </c>
      <c r="F1806">
        <v>2</v>
      </c>
      <c r="G1806" t="s">
        <v>6</v>
      </c>
      <c r="H1806">
        <v>45</v>
      </c>
      <c r="I1806" t="s">
        <v>2</v>
      </c>
      <c r="K1806" s="1" t="s">
        <v>121</v>
      </c>
      <c r="M1806" t="s">
        <v>20</v>
      </c>
    </row>
    <row r="1807" spans="1:13" ht="15.75" customHeight="1" x14ac:dyDescent="0.2">
      <c r="A1807">
        <v>2266992</v>
      </c>
      <c r="B1807" s="9">
        <v>44076</v>
      </c>
      <c r="C1807" s="9">
        <v>44077</v>
      </c>
      <c r="D1807" t="s">
        <v>0</v>
      </c>
      <c r="E1807" t="s">
        <v>40</v>
      </c>
      <c r="F1807">
        <v>1</v>
      </c>
      <c r="G1807" t="s">
        <v>6</v>
      </c>
      <c r="H1807">
        <v>59</v>
      </c>
      <c r="I1807" t="s">
        <v>2</v>
      </c>
      <c r="K1807" s="1" t="s">
        <v>121</v>
      </c>
      <c r="M1807" t="s">
        <v>20</v>
      </c>
    </row>
    <row r="1808" spans="1:13" ht="15.75" customHeight="1" x14ac:dyDescent="0.2">
      <c r="A1808">
        <v>2267646</v>
      </c>
      <c r="B1808" s="9">
        <v>44075</v>
      </c>
      <c r="C1808" s="9">
        <v>44075</v>
      </c>
      <c r="D1808" t="s">
        <v>0</v>
      </c>
      <c r="E1808" t="s">
        <v>40</v>
      </c>
      <c r="F1808">
        <v>1</v>
      </c>
      <c r="G1808" t="s">
        <v>6</v>
      </c>
      <c r="H1808">
        <v>49</v>
      </c>
      <c r="I1808" t="s">
        <v>2</v>
      </c>
      <c r="K1808" s="1" t="s">
        <v>121</v>
      </c>
      <c r="M1808" t="s">
        <v>20</v>
      </c>
    </row>
    <row r="1809" spans="1:13" ht="15.75" customHeight="1" x14ac:dyDescent="0.2">
      <c r="A1809">
        <v>2268479</v>
      </c>
      <c r="B1809" s="9">
        <v>44077</v>
      </c>
      <c r="C1809" s="9">
        <v>44077</v>
      </c>
      <c r="D1809" t="s">
        <v>0</v>
      </c>
      <c r="E1809" t="s">
        <v>10</v>
      </c>
      <c r="F1809">
        <v>5</v>
      </c>
      <c r="G1809" t="s">
        <v>1</v>
      </c>
      <c r="H1809">
        <v>52</v>
      </c>
      <c r="I1809" t="s">
        <v>2</v>
      </c>
      <c r="K1809" s="1" t="s">
        <v>121</v>
      </c>
      <c r="M1809" t="s">
        <v>4</v>
      </c>
    </row>
    <row r="1810" spans="1:13" ht="15.75" customHeight="1" x14ac:dyDescent="0.2">
      <c r="A1810">
        <v>2271947</v>
      </c>
      <c r="B1810" s="9">
        <v>44074</v>
      </c>
      <c r="C1810" s="9">
        <v>44075</v>
      </c>
      <c r="D1810" t="s">
        <v>0</v>
      </c>
      <c r="E1810" t="s">
        <v>38</v>
      </c>
      <c r="F1810">
        <v>12</v>
      </c>
      <c r="G1810" t="s">
        <v>1</v>
      </c>
      <c r="H1810">
        <v>43</v>
      </c>
      <c r="I1810" t="s">
        <v>2</v>
      </c>
      <c r="K1810" s="1" t="s">
        <v>121</v>
      </c>
      <c r="M1810" t="s">
        <v>20</v>
      </c>
    </row>
    <row r="1811" spans="1:13" ht="15.75" customHeight="1" x14ac:dyDescent="0.2">
      <c r="A1811">
        <v>2272829</v>
      </c>
      <c r="B1811" s="9">
        <v>44075</v>
      </c>
      <c r="C1811" s="9">
        <v>44075</v>
      </c>
      <c r="D1811" t="s">
        <v>0</v>
      </c>
      <c r="E1811" t="s">
        <v>29</v>
      </c>
      <c r="F1811">
        <v>12</v>
      </c>
      <c r="G1811" t="s">
        <v>6</v>
      </c>
      <c r="H1811">
        <v>66</v>
      </c>
      <c r="I1811" t="s">
        <v>2</v>
      </c>
      <c r="K1811" s="1" t="s">
        <v>121</v>
      </c>
      <c r="M1811" t="s">
        <v>9</v>
      </c>
    </row>
    <row r="1812" spans="1:13" ht="15.75" customHeight="1" x14ac:dyDescent="0.2">
      <c r="A1812">
        <v>2273192</v>
      </c>
      <c r="B1812" s="9">
        <v>44075</v>
      </c>
      <c r="C1812" s="9">
        <v>44075</v>
      </c>
      <c r="D1812" t="s">
        <v>0</v>
      </c>
      <c r="E1812" t="s">
        <v>48</v>
      </c>
      <c r="F1812">
        <v>10</v>
      </c>
      <c r="G1812" t="s">
        <v>6</v>
      </c>
      <c r="H1812">
        <v>65</v>
      </c>
      <c r="I1812" t="s">
        <v>2</v>
      </c>
      <c r="K1812" s="1" t="s">
        <v>121</v>
      </c>
      <c r="M1812" t="s">
        <v>4</v>
      </c>
    </row>
    <row r="1813" spans="1:13" ht="15.75" customHeight="1" x14ac:dyDescent="0.2">
      <c r="A1813">
        <v>2273311</v>
      </c>
      <c r="B1813" s="9">
        <v>44075</v>
      </c>
      <c r="C1813" s="9">
        <v>44075</v>
      </c>
      <c r="D1813" t="s">
        <v>0</v>
      </c>
      <c r="E1813" t="s">
        <v>46</v>
      </c>
      <c r="F1813">
        <v>5</v>
      </c>
      <c r="G1813" t="s">
        <v>1</v>
      </c>
      <c r="H1813">
        <v>29</v>
      </c>
      <c r="I1813" t="s">
        <v>2</v>
      </c>
      <c r="K1813" s="1" t="s">
        <v>121</v>
      </c>
      <c r="M1813" t="s">
        <v>9</v>
      </c>
    </row>
    <row r="1814" spans="1:13" ht="15.75" customHeight="1" x14ac:dyDescent="0.2">
      <c r="A1814">
        <v>2273712</v>
      </c>
      <c r="B1814" s="9">
        <v>44073</v>
      </c>
      <c r="C1814" s="9">
        <v>44073</v>
      </c>
      <c r="D1814" t="s">
        <v>0</v>
      </c>
      <c r="E1814" t="s">
        <v>14</v>
      </c>
      <c r="F1814">
        <v>14</v>
      </c>
      <c r="G1814" t="s">
        <v>6</v>
      </c>
      <c r="H1814">
        <v>27</v>
      </c>
      <c r="I1814" t="s">
        <v>2</v>
      </c>
      <c r="K1814" s="1" t="s">
        <v>121</v>
      </c>
      <c r="M1814" t="s">
        <v>4</v>
      </c>
    </row>
    <row r="1815" spans="1:13" ht="15.75" customHeight="1" x14ac:dyDescent="0.2">
      <c r="A1815">
        <v>2278744</v>
      </c>
      <c r="B1815" s="9">
        <v>44074</v>
      </c>
      <c r="C1815" s="9">
        <v>44074</v>
      </c>
      <c r="D1815" t="s">
        <v>0</v>
      </c>
      <c r="E1815" t="s">
        <v>12</v>
      </c>
      <c r="F1815">
        <v>1</v>
      </c>
      <c r="G1815" t="s">
        <v>1</v>
      </c>
      <c r="H1815">
        <v>28</v>
      </c>
      <c r="I1815" t="s">
        <v>2</v>
      </c>
      <c r="K1815" s="1" t="s">
        <v>121</v>
      </c>
      <c r="M1815" t="s">
        <v>4</v>
      </c>
    </row>
    <row r="1816" spans="1:13" ht="15.75" customHeight="1" x14ac:dyDescent="0.2">
      <c r="A1816">
        <v>2279376</v>
      </c>
      <c r="B1816" s="9">
        <v>44074</v>
      </c>
      <c r="C1816" s="9">
        <v>44074</v>
      </c>
      <c r="D1816" t="s">
        <v>0</v>
      </c>
      <c r="E1816" t="s">
        <v>45</v>
      </c>
      <c r="F1816">
        <v>4</v>
      </c>
      <c r="G1816" t="s">
        <v>6</v>
      </c>
      <c r="H1816">
        <v>68</v>
      </c>
      <c r="I1816" t="s">
        <v>2</v>
      </c>
      <c r="K1816" s="1" t="s">
        <v>121</v>
      </c>
      <c r="M1816" t="s">
        <v>4</v>
      </c>
    </row>
    <row r="1817" spans="1:13" ht="15.75" customHeight="1" x14ac:dyDescent="0.2">
      <c r="A1817">
        <v>2280258</v>
      </c>
      <c r="B1817" s="9">
        <v>44075</v>
      </c>
      <c r="C1817" s="9">
        <v>44075</v>
      </c>
      <c r="D1817" t="s">
        <v>5</v>
      </c>
      <c r="E1817" t="s">
        <v>76</v>
      </c>
      <c r="F1817"/>
      <c r="G1817" t="s">
        <v>6</v>
      </c>
      <c r="H1817">
        <v>30</v>
      </c>
      <c r="I1817" t="s">
        <v>2</v>
      </c>
      <c r="K1817" s="1" t="s">
        <v>121</v>
      </c>
      <c r="M1817" t="s">
        <v>9</v>
      </c>
    </row>
    <row r="1818" spans="1:13" ht="15.75" customHeight="1" x14ac:dyDescent="0.2">
      <c r="A1818">
        <v>2282115</v>
      </c>
      <c r="B1818" s="9">
        <v>44075</v>
      </c>
      <c r="C1818" s="9">
        <v>44075</v>
      </c>
      <c r="D1818" t="s">
        <v>0</v>
      </c>
      <c r="E1818" t="s">
        <v>8</v>
      </c>
      <c r="F1818">
        <v>7</v>
      </c>
      <c r="G1818" t="s">
        <v>1</v>
      </c>
      <c r="H1818">
        <v>51</v>
      </c>
      <c r="I1818" t="s">
        <v>2</v>
      </c>
      <c r="K1818" s="1" t="s">
        <v>121</v>
      </c>
      <c r="M1818" t="s">
        <v>20</v>
      </c>
    </row>
    <row r="1819" spans="1:13" ht="15.75" customHeight="1" x14ac:dyDescent="0.2">
      <c r="A1819">
        <v>2282671</v>
      </c>
      <c r="B1819" s="9">
        <v>44075</v>
      </c>
      <c r="C1819" s="9">
        <v>44075</v>
      </c>
      <c r="D1819" t="s">
        <v>0</v>
      </c>
      <c r="E1819" t="s">
        <v>54</v>
      </c>
      <c r="F1819">
        <v>7</v>
      </c>
      <c r="G1819" t="s">
        <v>1</v>
      </c>
      <c r="H1819">
        <v>43</v>
      </c>
      <c r="I1819" t="s">
        <v>2</v>
      </c>
      <c r="K1819" s="1" t="s">
        <v>121</v>
      </c>
      <c r="M1819" t="s">
        <v>4</v>
      </c>
    </row>
    <row r="1820" spans="1:13" ht="15.75" customHeight="1" x14ac:dyDescent="0.2">
      <c r="A1820">
        <v>2284030</v>
      </c>
      <c r="B1820" s="9">
        <v>44075</v>
      </c>
      <c r="C1820" s="9">
        <v>44075</v>
      </c>
      <c r="D1820" t="s">
        <v>5</v>
      </c>
      <c r="E1820" t="s">
        <v>76</v>
      </c>
      <c r="F1820"/>
      <c r="G1820" t="s">
        <v>6</v>
      </c>
      <c r="H1820">
        <v>23</v>
      </c>
      <c r="I1820" t="s">
        <v>2</v>
      </c>
      <c r="K1820" s="1" t="s">
        <v>121</v>
      </c>
      <c r="M1820" t="s">
        <v>4</v>
      </c>
    </row>
    <row r="1821" spans="1:13" ht="15.75" customHeight="1" x14ac:dyDescent="0.2">
      <c r="A1821">
        <v>2284049</v>
      </c>
      <c r="B1821" s="9">
        <v>44074</v>
      </c>
      <c r="C1821" s="9">
        <v>44074</v>
      </c>
      <c r="D1821" t="s">
        <v>0</v>
      </c>
      <c r="E1821" t="s">
        <v>35</v>
      </c>
      <c r="F1821">
        <v>3</v>
      </c>
      <c r="G1821" t="s">
        <v>1</v>
      </c>
      <c r="H1821">
        <v>45</v>
      </c>
      <c r="I1821" t="s">
        <v>2</v>
      </c>
      <c r="K1821" s="1" t="s">
        <v>121</v>
      </c>
      <c r="M1821" t="s">
        <v>4</v>
      </c>
    </row>
    <row r="1822" spans="1:13" ht="15.75" customHeight="1" x14ac:dyDescent="0.2">
      <c r="A1822">
        <v>2284066</v>
      </c>
      <c r="B1822" s="9">
        <v>44074</v>
      </c>
      <c r="C1822" s="9">
        <v>44075</v>
      </c>
      <c r="D1822" t="s">
        <v>5</v>
      </c>
      <c r="E1822" t="s">
        <v>97</v>
      </c>
      <c r="F1822"/>
      <c r="G1822" t="s">
        <v>6</v>
      </c>
      <c r="H1822">
        <v>40</v>
      </c>
      <c r="I1822" t="s">
        <v>2</v>
      </c>
      <c r="K1822" s="1" t="s">
        <v>121</v>
      </c>
      <c r="M1822" t="s">
        <v>4</v>
      </c>
    </row>
    <row r="1823" spans="1:13" ht="15.75" customHeight="1" x14ac:dyDescent="0.2">
      <c r="A1823">
        <v>2284090</v>
      </c>
      <c r="B1823" s="9">
        <v>44075</v>
      </c>
      <c r="C1823" s="9">
        <v>44075</v>
      </c>
      <c r="D1823" t="s">
        <v>0</v>
      </c>
      <c r="E1823" t="s">
        <v>24</v>
      </c>
      <c r="F1823">
        <v>9</v>
      </c>
      <c r="G1823" t="s">
        <v>1</v>
      </c>
      <c r="H1823">
        <v>28</v>
      </c>
      <c r="I1823" t="s">
        <v>2</v>
      </c>
      <c r="K1823" s="1" t="s">
        <v>121</v>
      </c>
      <c r="M1823" t="s">
        <v>4</v>
      </c>
    </row>
    <row r="1824" spans="1:13" ht="15.75" customHeight="1" x14ac:dyDescent="0.2">
      <c r="A1824">
        <v>2284109</v>
      </c>
      <c r="B1824" s="9">
        <v>44074</v>
      </c>
      <c r="C1824" s="9">
        <v>44074</v>
      </c>
      <c r="D1824" t="s">
        <v>0</v>
      </c>
      <c r="E1824" t="s">
        <v>45</v>
      </c>
      <c r="F1824">
        <v>4</v>
      </c>
      <c r="G1824" t="s">
        <v>6</v>
      </c>
      <c r="H1824">
        <v>20</v>
      </c>
      <c r="I1824" t="s">
        <v>2</v>
      </c>
      <c r="K1824" s="1" t="s">
        <v>121</v>
      </c>
      <c r="M1824" t="s">
        <v>4</v>
      </c>
    </row>
    <row r="1825" spans="1:13" ht="15.75" customHeight="1" x14ac:dyDescent="0.2">
      <c r="A1825">
        <v>2284162</v>
      </c>
      <c r="B1825" s="9">
        <v>44075</v>
      </c>
      <c r="C1825" s="9">
        <v>44075</v>
      </c>
      <c r="D1825" t="s">
        <v>0</v>
      </c>
      <c r="E1825" t="s">
        <v>39</v>
      </c>
      <c r="F1825">
        <v>8</v>
      </c>
      <c r="G1825" t="s">
        <v>6</v>
      </c>
      <c r="H1825">
        <v>49</v>
      </c>
      <c r="I1825" t="s">
        <v>2</v>
      </c>
      <c r="K1825" s="1" t="s">
        <v>121</v>
      </c>
      <c r="M1825" t="s">
        <v>4</v>
      </c>
    </row>
    <row r="1826" spans="1:13" ht="15.75" customHeight="1" x14ac:dyDescent="0.2">
      <c r="A1826">
        <v>2284216</v>
      </c>
      <c r="B1826" s="9">
        <v>44075</v>
      </c>
      <c r="C1826" s="9">
        <v>44075</v>
      </c>
      <c r="D1826" t="s">
        <v>5</v>
      </c>
      <c r="E1826" s="1" t="s">
        <v>90</v>
      </c>
      <c r="F1826"/>
      <c r="G1826" t="s">
        <v>6</v>
      </c>
      <c r="H1826">
        <v>47</v>
      </c>
      <c r="I1826" t="s">
        <v>2</v>
      </c>
      <c r="K1826" s="1" t="s">
        <v>121</v>
      </c>
      <c r="M1826" t="s">
        <v>4</v>
      </c>
    </row>
    <row r="1827" spans="1:13" ht="15.75" customHeight="1" x14ac:dyDescent="0.2">
      <c r="A1827">
        <v>2284222</v>
      </c>
      <c r="B1827" s="9">
        <v>44074</v>
      </c>
      <c r="C1827" s="9">
        <v>44074</v>
      </c>
      <c r="D1827" t="s">
        <v>0</v>
      </c>
      <c r="E1827" t="s">
        <v>54</v>
      </c>
      <c r="F1827">
        <v>7</v>
      </c>
      <c r="G1827" t="s">
        <v>1</v>
      </c>
      <c r="H1827">
        <v>35</v>
      </c>
      <c r="I1827" t="s">
        <v>2</v>
      </c>
      <c r="K1827" s="1" t="s">
        <v>121</v>
      </c>
      <c r="M1827" t="s">
        <v>4</v>
      </c>
    </row>
    <row r="1828" spans="1:13" ht="15.75" customHeight="1" x14ac:dyDescent="0.2">
      <c r="A1828">
        <v>2284268</v>
      </c>
      <c r="B1828" s="9">
        <v>44074</v>
      </c>
      <c r="C1828" s="9">
        <v>44074</v>
      </c>
      <c r="D1828" t="s">
        <v>0</v>
      </c>
      <c r="E1828" t="s">
        <v>34</v>
      </c>
      <c r="F1828">
        <v>9</v>
      </c>
      <c r="G1828" t="s">
        <v>1</v>
      </c>
      <c r="H1828">
        <v>20</v>
      </c>
      <c r="I1828" t="s">
        <v>2</v>
      </c>
      <c r="K1828" s="1" t="s">
        <v>121</v>
      </c>
      <c r="M1828" t="s">
        <v>4</v>
      </c>
    </row>
    <row r="1829" spans="1:13" ht="15.75" customHeight="1" x14ac:dyDescent="0.2">
      <c r="A1829">
        <v>4045692</v>
      </c>
      <c r="B1829" s="9">
        <v>44136</v>
      </c>
      <c r="C1829" s="9">
        <v>44137</v>
      </c>
      <c r="D1829" t="s">
        <v>0</v>
      </c>
      <c r="E1829" t="s">
        <v>7</v>
      </c>
      <c r="F1829">
        <v>3</v>
      </c>
      <c r="G1829" t="s">
        <v>6</v>
      </c>
      <c r="H1829">
        <v>40</v>
      </c>
      <c r="I1829" t="s">
        <v>2</v>
      </c>
      <c r="K1829" s="1" t="s">
        <v>121</v>
      </c>
      <c r="M1829" t="s">
        <v>4</v>
      </c>
    </row>
    <row r="1830" spans="1:13" ht="15.75" customHeight="1" x14ac:dyDescent="0.2">
      <c r="A1830">
        <v>4045693</v>
      </c>
      <c r="B1830" s="9">
        <v>44136</v>
      </c>
      <c r="C1830" s="9">
        <v>44137</v>
      </c>
      <c r="D1830" t="s">
        <v>0</v>
      </c>
      <c r="E1830" t="s">
        <v>10</v>
      </c>
      <c r="F1830">
        <v>5</v>
      </c>
      <c r="G1830" t="s">
        <v>6</v>
      </c>
      <c r="H1830">
        <v>44</v>
      </c>
      <c r="I1830" t="s">
        <v>2</v>
      </c>
      <c r="K1830" s="1" t="s">
        <v>121</v>
      </c>
      <c r="M1830" t="s">
        <v>4</v>
      </c>
    </row>
    <row r="1831" spans="1:13" ht="15.75" customHeight="1" x14ac:dyDescent="0.2">
      <c r="A1831">
        <v>4045696</v>
      </c>
      <c r="B1831" s="9">
        <v>44136</v>
      </c>
      <c r="C1831" s="9">
        <v>44137</v>
      </c>
      <c r="D1831" t="s">
        <v>0</v>
      </c>
      <c r="E1831" t="s">
        <v>7</v>
      </c>
      <c r="F1831">
        <v>3</v>
      </c>
      <c r="G1831" t="s">
        <v>1</v>
      </c>
      <c r="H1831">
        <v>38</v>
      </c>
      <c r="I1831" t="s">
        <v>2</v>
      </c>
      <c r="K1831" s="1" t="s">
        <v>121</v>
      </c>
      <c r="M1831" t="s">
        <v>4</v>
      </c>
    </row>
    <row r="1832" spans="1:13" ht="15.75" customHeight="1" x14ac:dyDescent="0.2">
      <c r="A1832">
        <v>1197227</v>
      </c>
      <c r="B1832" s="9">
        <v>44068</v>
      </c>
      <c r="C1832" s="9">
        <v>44068</v>
      </c>
      <c r="D1832" t="s">
        <v>0</v>
      </c>
      <c r="E1832" t="s">
        <v>17</v>
      </c>
      <c r="F1832">
        <v>1</v>
      </c>
      <c r="G1832" t="s">
        <v>1</v>
      </c>
      <c r="H1832">
        <v>36</v>
      </c>
      <c r="I1832" t="s">
        <v>2</v>
      </c>
      <c r="K1832" s="1" t="s">
        <v>121</v>
      </c>
      <c r="M1832" t="s">
        <v>9</v>
      </c>
    </row>
    <row r="1833" spans="1:13" ht="15.75" customHeight="1" x14ac:dyDescent="0.2">
      <c r="A1833">
        <v>1615849</v>
      </c>
      <c r="B1833" s="9">
        <v>44078</v>
      </c>
      <c r="C1833" s="9">
        <v>44078</v>
      </c>
      <c r="D1833" t="s">
        <v>0</v>
      </c>
      <c r="E1833" t="s">
        <v>58</v>
      </c>
      <c r="F1833">
        <v>8</v>
      </c>
      <c r="G1833" t="s">
        <v>1</v>
      </c>
      <c r="H1833">
        <v>20</v>
      </c>
      <c r="I1833" t="s">
        <v>2</v>
      </c>
      <c r="K1833" s="1" t="s">
        <v>121</v>
      </c>
      <c r="M1833" t="s">
        <v>9</v>
      </c>
    </row>
    <row r="1834" spans="1:13" ht="15.75" customHeight="1" x14ac:dyDescent="0.2">
      <c r="A1834">
        <v>1617992</v>
      </c>
      <c r="B1834" s="9">
        <v>44043</v>
      </c>
      <c r="C1834" s="9">
        <v>44043</v>
      </c>
      <c r="D1834" t="s">
        <v>0</v>
      </c>
      <c r="E1834" t="s">
        <v>28</v>
      </c>
      <c r="F1834">
        <v>11</v>
      </c>
      <c r="G1834" t="s">
        <v>6</v>
      </c>
      <c r="H1834">
        <v>65</v>
      </c>
      <c r="I1834" t="s">
        <v>2</v>
      </c>
      <c r="K1834" s="1" t="s">
        <v>121</v>
      </c>
      <c r="M1834" t="s">
        <v>20</v>
      </c>
    </row>
    <row r="1835" spans="1:13" ht="15.75" customHeight="1" x14ac:dyDescent="0.2">
      <c r="A1835">
        <v>1762069</v>
      </c>
      <c r="B1835" s="9">
        <v>44059</v>
      </c>
      <c r="C1835" s="9">
        <v>44059</v>
      </c>
      <c r="D1835" t="s">
        <v>0</v>
      </c>
      <c r="E1835" t="s">
        <v>8</v>
      </c>
      <c r="F1835">
        <v>7</v>
      </c>
      <c r="G1835" t="s">
        <v>6</v>
      </c>
      <c r="H1835">
        <v>82</v>
      </c>
      <c r="I1835" t="s">
        <v>2</v>
      </c>
      <c r="K1835" s="1" t="s">
        <v>121</v>
      </c>
      <c r="M1835" t="s">
        <v>9</v>
      </c>
    </row>
    <row r="1836" spans="1:13" ht="15.75" customHeight="1" x14ac:dyDescent="0.2">
      <c r="A1836">
        <v>1764580</v>
      </c>
      <c r="B1836" s="9">
        <v>44050</v>
      </c>
      <c r="C1836" s="9">
        <v>44052</v>
      </c>
      <c r="D1836" t="s">
        <v>5</v>
      </c>
      <c r="E1836" t="s">
        <v>74</v>
      </c>
      <c r="F1836"/>
      <c r="G1836" t="s">
        <v>6</v>
      </c>
      <c r="H1836">
        <v>55</v>
      </c>
      <c r="I1836" t="s">
        <v>2</v>
      </c>
      <c r="K1836" s="1" t="s">
        <v>121</v>
      </c>
      <c r="M1836" t="s">
        <v>4</v>
      </c>
    </row>
    <row r="1837" spans="1:13" ht="15.75" customHeight="1" x14ac:dyDescent="0.2">
      <c r="A1837">
        <v>1826237</v>
      </c>
      <c r="B1837" s="9">
        <v>44054</v>
      </c>
      <c r="C1837" s="9">
        <v>44054</v>
      </c>
      <c r="D1837" t="s">
        <v>0</v>
      </c>
      <c r="E1837" t="s">
        <v>16</v>
      </c>
      <c r="F1837">
        <v>15</v>
      </c>
      <c r="G1837" t="s">
        <v>1</v>
      </c>
      <c r="H1837">
        <v>91</v>
      </c>
      <c r="I1837" t="s">
        <v>2</v>
      </c>
      <c r="K1837" s="1" t="s">
        <v>121</v>
      </c>
      <c r="M1837" t="s">
        <v>4</v>
      </c>
    </row>
    <row r="1838" spans="1:13" ht="15.75" customHeight="1" x14ac:dyDescent="0.2">
      <c r="A1838">
        <v>1932765</v>
      </c>
      <c r="B1838" s="9">
        <v>44060</v>
      </c>
      <c r="C1838" s="9">
        <v>44060</v>
      </c>
      <c r="D1838" t="s">
        <v>5</v>
      </c>
      <c r="E1838" t="s">
        <v>83</v>
      </c>
      <c r="F1838"/>
      <c r="G1838" t="s">
        <v>6</v>
      </c>
      <c r="H1838">
        <v>61</v>
      </c>
      <c r="I1838" t="s">
        <v>2</v>
      </c>
      <c r="K1838" s="1" t="s">
        <v>121</v>
      </c>
      <c r="M1838" t="s">
        <v>9</v>
      </c>
    </row>
    <row r="1839" spans="1:13" ht="15.75" customHeight="1" x14ac:dyDescent="0.2">
      <c r="A1839">
        <v>1939778</v>
      </c>
      <c r="B1839" s="9">
        <v>44069</v>
      </c>
      <c r="C1839" s="9">
        <v>44069</v>
      </c>
      <c r="D1839" t="s">
        <v>0</v>
      </c>
      <c r="E1839" t="s">
        <v>18</v>
      </c>
      <c r="F1839">
        <v>8</v>
      </c>
      <c r="G1839" t="s">
        <v>6</v>
      </c>
      <c r="H1839">
        <v>31</v>
      </c>
      <c r="I1839" t="s">
        <v>2</v>
      </c>
      <c r="K1839" s="1" t="s">
        <v>121</v>
      </c>
      <c r="M1839" t="s">
        <v>4</v>
      </c>
    </row>
    <row r="1840" spans="1:13" ht="15.75" customHeight="1" x14ac:dyDescent="0.2">
      <c r="A1840">
        <v>1942913</v>
      </c>
      <c r="B1840" s="9">
        <v>44060</v>
      </c>
      <c r="C1840" s="9">
        <v>44061</v>
      </c>
      <c r="D1840" t="s">
        <v>5</v>
      </c>
      <c r="E1840" t="s">
        <v>75</v>
      </c>
      <c r="F1840"/>
      <c r="G1840" t="s">
        <v>1</v>
      </c>
      <c r="H1840">
        <v>84</v>
      </c>
      <c r="I1840" t="s">
        <v>2</v>
      </c>
      <c r="K1840" s="1" t="s">
        <v>121</v>
      </c>
      <c r="M1840" t="s">
        <v>20</v>
      </c>
    </row>
    <row r="1841" spans="1:13" ht="15.75" customHeight="1" x14ac:dyDescent="0.2">
      <c r="A1841">
        <v>1957914</v>
      </c>
      <c r="B1841" s="9">
        <v>44074</v>
      </c>
      <c r="C1841" s="9">
        <v>44074</v>
      </c>
      <c r="D1841" t="s">
        <v>5</v>
      </c>
      <c r="E1841" t="s">
        <v>91</v>
      </c>
      <c r="F1841"/>
      <c r="G1841" t="s">
        <v>6</v>
      </c>
      <c r="H1841">
        <v>46</v>
      </c>
      <c r="I1841" t="s">
        <v>2</v>
      </c>
      <c r="K1841" s="1" t="s">
        <v>121</v>
      </c>
      <c r="M1841" t="s">
        <v>4</v>
      </c>
    </row>
    <row r="1842" spans="1:13" ht="15.75" customHeight="1" x14ac:dyDescent="0.2">
      <c r="A1842">
        <v>1989863</v>
      </c>
      <c r="B1842" s="9">
        <v>44060</v>
      </c>
      <c r="C1842" s="9">
        <v>44062</v>
      </c>
      <c r="D1842" t="s">
        <v>0</v>
      </c>
      <c r="E1842" t="s">
        <v>12</v>
      </c>
      <c r="F1842">
        <v>1</v>
      </c>
      <c r="G1842" t="s">
        <v>6</v>
      </c>
      <c r="H1842">
        <v>73</v>
      </c>
      <c r="I1842" t="s">
        <v>2</v>
      </c>
      <c r="K1842" s="1" t="s">
        <v>121</v>
      </c>
      <c r="M1842" t="s">
        <v>4</v>
      </c>
    </row>
    <row r="1843" spans="1:13" ht="15.75" customHeight="1" x14ac:dyDescent="0.2">
      <c r="A1843">
        <v>2007290</v>
      </c>
      <c r="B1843" s="9">
        <v>44063</v>
      </c>
      <c r="C1843" s="9">
        <v>44064</v>
      </c>
      <c r="D1843" t="s">
        <v>0</v>
      </c>
      <c r="E1843" t="s">
        <v>10</v>
      </c>
      <c r="F1843">
        <v>5</v>
      </c>
      <c r="G1843" t="s">
        <v>6</v>
      </c>
      <c r="H1843">
        <v>63</v>
      </c>
      <c r="I1843" t="s">
        <v>2</v>
      </c>
      <c r="K1843" s="1" t="s">
        <v>121</v>
      </c>
      <c r="M1843" t="s">
        <v>22</v>
      </c>
    </row>
    <row r="1844" spans="1:13" ht="15.75" customHeight="1" x14ac:dyDescent="0.2">
      <c r="A1844">
        <v>2022740</v>
      </c>
      <c r="B1844" s="9">
        <v>44069</v>
      </c>
      <c r="C1844" s="9">
        <v>44069</v>
      </c>
      <c r="D1844" t="s">
        <v>0</v>
      </c>
      <c r="E1844" t="s">
        <v>24</v>
      </c>
      <c r="F1844">
        <v>9</v>
      </c>
      <c r="G1844" t="s">
        <v>6</v>
      </c>
      <c r="H1844">
        <v>26</v>
      </c>
      <c r="I1844" t="s">
        <v>2</v>
      </c>
      <c r="K1844" s="1" t="s">
        <v>121</v>
      </c>
      <c r="M1844" t="s">
        <v>4</v>
      </c>
    </row>
    <row r="1845" spans="1:13" ht="15.75" customHeight="1" x14ac:dyDescent="0.2">
      <c r="A1845">
        <v>2025918</v>
      </c>
      <c r="B1845" s="9">
        <v>44063</v>
      </c>
      <c r="C1845" s="9">
        <v>44064</v>
      </c>
      <c r="D1845" t="s">
        <v>0</v>
      </c>
      <c r="E1845" t="s">
        <v>33</v>
      </c>
      <c r="F1845">
        <v>13</v>
      </c>
      <c r="G1845" t="s">
        <v>6</v>
      </c>
      <c r="H1845">
        <v>53</v>
      </c>
      <c r="I1845" t="s">
        <v>2</v>
      </c>
      <c r="K1845" s="1" t="s">
        <v>121</v>
      </c>
      <c r="M1845" t="s">
        <v>4</v>
      </c>
    </row>
    <row r="1846" spans="1:13" ht="15.75" customHeight="1" x14ac:dyDescent="0.2">
      <c r="A1846">
        <v>2033753</v>
      </c>
      <c r="B1846" s="9">
        <v>44064</v>
      </c>
      <c r="C1846" s="9">
        <v>44065</v>
      </c>
      <c r="D1846" t="s">
        <v>0</v>
      </c>
      <c r="E1846" t="s">
        <v>24</v>
      </c>
      <c r="F1846">
        <v>9</v>
      </c>
      <c r="G1846" t="s">
        <v>6</v>
      </c>
      <c r="H1846">
        <v>72</v>
      </c>
      <c r="I1846" t="s">
        <v>2</v>
      </c>
      <c r="K1846" s="1" t="s">
        <v>121</v>
      </c>
      <c r="M1846" t="s">
        <v>4</v>
      </c>
    </row>
    <row r="1847" spans="1:13" ht="15.75" customHeight="1" x14ac:dyDescent="0.2">
      <c r="A1847">
        <v>2036724</v>
      </c>
      <c r="B1847" s="9">
        <v>44064</v>
      </c>
      <c r="C1847" s="9">
        <v>44064</v>
      </c>
      <c r="D1847" t="s">
        <v>0</v>
      </c>
      <c r="E1847" t="s">
        <v>11</v>
      </c>
      <c r="F1847">
        <v>6</v>
      </c>
      <c r="G1847" t="s">
        <v>1</v>
      </c>
      <c r="H1847">
        <v>89</v>
      </c>
      <c r="I1847" t="s">
        <v>2</v>
      </c>
      <c r="K1847" s="1" t="s">
        <v>121</v>
      </c>
      <c r="M1847" t="s">
        <v>4</v>
      </c>
    </row>
    <row r="1848" spans="1:13" ht="15.75" customHeight="1" x14ac:dyDescent="0.2">
      <c r="A1848">
        <v>2038443</v>
      </c>
      <c r="B1848" s="9">
        <v>44064</v>
      </c>
      <c r="C1848" s="9">
        <v>44065</v>
      </c>
      <c r="D1848" t="s">
        <v>0</v>
      </c>
      <c r="E1848" t="s">
        <v>43</v>
      </c>
      <c r="F1848">
        <v>10</v>
      </c>
      <c r="G1848" t="s">
        <v>1</v>
      </c>
      <c r="H1848">
        <v>42</v>
      </c>
      <c r="I1848" t="s">
        <v>2</v>
      </c>
      <c r="K1848" s="1" t="s">
        <v>121</v>
      </c>
      <c r="M1848" t="s">
        <v>20</v>
      </c>
    </row>
    <row r="1849" spans="1:13" ht="15.75" customHeight="1" x14ac:dyDescent="0.2">
      <c r="A1849">
        <v>2048466</v>
      </c>
      <c r="B1849" s="9">
        <v>44065</v>
      </c>
      <c r="C1849" s="9">
        <v>44065</v>
      </c>
      <c r="D1849" t="s">
        <v>0</v>
      </c>
      <c r="E1849" t="s">
        <v>17</v>
      </c>
      <c r="F1849">
        <v>1</v>
      </c>
      <c r="G1849" t="s">
        <v>1</v>
      </c>
      <c r="H1849">
        <v>56</v>
      </c>
      <c r="I1849" t="s">
        <v>2</v>
      </c>
      <c r="K1849" s="1" t="s">
        <v>121</v>
      </c>
      <c r="M1849" t="s">
        <v>4</v>
      </c>
    </row>
    <row r="1850" spans="1:13" ht="15.75" customHeight="1" x14ac:dyDescent="0.2">
      <c r="A1850">
        <v>2049012</v>
      </c>
      <c r="B1850" s="9">
        <v>44066</v>
      </c>
      <c r="C1850" s="9">
        <v>44066</v>
      </c>
      <c r="D1850" t="s">
        <v>0</v>
      </c>
      <c r="E1850" t="s">
        <v>10</v>
      </c>
      <c r="F1850">
        <v>5</v>
      </c>
      <c r="G1850" t="s">
        <v>1</v>
      </c>
      <c r="H1850">
        <v>87</v>
      </c>
      <c r="I1850" t="s">
        <v>2</v>
      </c>
      <c r="K1850" s="1" t="s">
        <v>121</v>
      </c>
      <c r="M1850" t="s">
        <v>20</v>
      </c>
    </row>
    <row r="1851" spans="1:13" ht="15.75" customHeight="1" x14ac:dyDescent="0.2">
      <c r="A1851">
        <v>2054868</v>
      </c>
      <c r="B1851" s="9">
        <v>44066</v>
      </c>
      <c r="C1851" s="9">
        <v>44066</v>
      </c>
      <c r="D1851" t="s">
        <v>5</v>
      </c>
      <c r="E1851" t="s">
        <v>97</v>
      </c>
      <c r="F1851"/>
      <c r="G1851" t="s">
        <v>6</v>
      </c>
      <c r="H1851">
        <v>61</v>
      </c>
      <c r="I1851" t="s">
        <v>2</v>
      </c>
      <c r="K1851" s="1" t="s">
        <v>121</v>
      </c>
      <c r="M1851" t="s">
        <v>4</v>
      </c>
    </row>
    <row r="1852" spans="1:13" ht="15.75" customHeight="1" x14ac:dyDescent="0.2">
      <c r="A1852">
        <v>2057741</v>
      </c>
      <c r="B1852" s="9">
        <v>44078</v>
      </c>
      <c r="C1852" s="9">
        <v>44078</v>
      </c>
      <c r="D1852" t="s">
        <v>0</v>
      </c>
      <c r="E1852" t="s">
        <v>11</v>
      </c>
      <c r="F1852">
        <v>6</v>
      </c>
      <c r="G1852" t="s">
        <v>6</v>
      </c>
      <c r="H1852">
        <v>54</v>
      </c>
      <c r="I1852" t="s">
        <v>2</v>
      </c>
      <c r="K1852" s="1" t="s">
        <v>121</v>
      </c>
      <c r="M1852" t="s">
        <v>4</v>
      </c>
    </row>
    <row r="1853" spans="1:13" ht="15.75" customHeight="1" x14ac:dyDescent="0.2">
      <c r="A1853">
        <v>2060703</v>
      </c>
      <c r="B1853" s="9">
        <v>44068</v>
      </c>
      <c r="C1853" s="9">
        <v>44070</v>
      </c>
      <c r="D1853" t="s">
        <v>5</v>
      </c>
      <c r="E1853" s="5" t="s">
        <v>76</v>
      </c>
      <c r="F1853"/>
      <c r="G1853" t="s">
        <v>6</v>
      </c>
      <c r="H1853">
        <v>45</v>
      </c>
      <c r="I1853" t="s">
        <v>2</v>
      </c>
      <c r="K1853" s="1" t="s">
        <v>121</v>
      </c>
      <c r="M1853" t="s">
        <v>4</v>
      </c>
    </row>
    <row r="1854" spans="1:13" ht="15.75" customHeight="1" x14ac:dyDescent="0.2">
      <c r="A1854">
        <v>2075681</v>
      </c>
      <c r="B1854" s="9">
        <v>44067</v>
      </c>
      <c r="C1854" s="9">
        <v>44067</v>
      </c>
      <c r="D1854" t="s">
        <v>5</v>
      </c>
      <c r="E1854" t="s">
        <v>76</v>
      </c>
      <c r="F1854"/>
      <c r="G1854" t="s">
        <v>6</v>
      </c>
      <c r="H1854">
        <v>61</v>
      </c>
      <c r="I1854" t="s">
        <v>2</v>
      </c>
      <c r="K1854" s="1" t="s">
        <v>121</v>
      </c>
      <c r="M1854" t="s">
        <v>4</v>
      </c>
    </row>
    <row r="1855" spans="1:13" ht="15.75" customHeight="1" x14ac:dyDescent="0.2">
      <c r="A1855">
        <v>2079668</v>
      </c>
      <c r="B1855" s="9">
        <v>44067</v>
      </c>
      <c r="C1855" s="9">
        <v>44067</v>
      </c>
      <c r="D1855" t="s">
        <v>0</v>
      </c>
      <c r="E1855" t="s">
        <v>14</v>
      </c>
      <c r="F1855">
        <v>14</v>
      </c>
      <c r="G1855" t="s">
        <v>6</v>
      </c>
      <c r="H1855">
        <v>86</v>
      </c>
      <c r="I1855" t="s">
        <v>2</v>
      </c>
      <c r="K1855" s="1" t="s">
        <v>121</v>
      </c>
      <c r="M1855" t="s">
        <v>20</v>
      </c>
    </row>
    <row r="1856" spans="1:13" ht="15.75" customHeight="1" x14ac:dyDescent="0.2">
      <c r="A1856">
        <v>2083629</v>
      </c>
      <c r="B1856" s="9">
        <v>44067</v>
      </c>
      <c r="C1856" s="9">
        <v>44067</v>
      </c>
      <c r="D1856" t="s">
        <v>0</v>
      </c>
      <c r="E1856" t="s">
        <v>45</v>
      </c>
      <c r="F1856">
        <v>4</v>
      </c>
      <c r="G1856" t="s">
        <v>1</v>
      </c>
      <c r="H1856">
        <v>33</v>
      </c>
      <c r="I1856" t="s">
        <v>2</v>
      </c>
      <c r="K1856" s="1" t="s">
        <v>121</v>
      </c>
      <c r="M1856" t="s">
        <v>9</v>
      </c>
    </row>
    <row r="1857" spans="1:13" ht="15.75" customHeight="1" x14ac:dyDescent="0.2">
      <c r="A1857">
        <v>2084895</v>
      </c>
      <c r="B1857" s="9">
        <v>44068</v>
      </c>
      <c r="C1857" s="9">
        <v>44068</v>
      </c>
      <c r="D1857" t="s">
        <v>0</v>
      </c>
      <c r="E1857" t="s">
        <v>40</v>
      </c>
      <c r="F1857">
        <v>1</v>
      </c>
      <c r="G1857" t="s">
        <v>1</v>
      </c>
      <c r="H1857">
        <v>25</v>
      </c>
      <c r="I1857" t="s">
        <v>2</v>
      </c>
      <c r="K1857" s="1" t="s">
        <v>121</v>
      </c>
      <c r="M1857" t="s">
        <v>20</v>
      </c>
    </row>
    <row r="1858" spans="1:13" ht="15.75" customHeight="1" x14ac:dyDescent="0.2">
      <c r="A1858">
        <v>2086513</v>
      </c>
      <c r="B1858" s="9">
        <v>44067</v>
      </c>
      <c r="C1858" s="9">
        <v>44067</v>
      </c>
      <c r="D1858" t="s">
        <v>0</v>
      </c>
      <c r="E1858" t="s">
        <v>45</v>
      </c>
      <c r="F1858">
        <v>4</v>
      </c>
      <c r="G1858" t="s">
        <v>6</v>
      </c>
      <c r="H1858">
        <v>30</v>
      </c>
      <c r="I1858" t="s">
        <v>2</v>
      </c>
      <c r="K1858" s="1" t="s">
        <v>121</v>
      </c>
      <c r="M1858" t="s">
        <v>4</v>
      </c>
    </row>
    <row r="1859" spans="1:13" ht="15.75" customHeight="1" x14ac:dyDescent="0.2">
      <c r="A1859">
        <v>2088229</v>
      </c>
      <c r="B1859" s="9">
        <v>44067</v>
      </c>
      <c r="C1859" s="9">
        <v>44067</v>
      </c>
      <c r="D1859" t="s">
        <v>0</v>
      </c>
      <c r="E1859" t="s">
        <v>40</v>
      </c>
      <c r="F1859">
        <v>1</v>
      </c>
      <c r="G1859" t="s">
        <v>6</v>
      </c>
      <c r="H1859">
        <v>31</v>
      </c>
      <c r="I1859" t="s">
        <v>2</v>
      </c>
      <c r="K1859" s="1" t="s">
        <v>121</v>
      </c>
      <c r="M1859" t="s">
        <v>4</v>
      </c>
    </row>
    <row r="1860" spans="1:13" ht="15.75" customHeight="1" x14ac:dyDescent="0.2">
      <c r="A1860">
        <v>2088663</v>
      </c>
      <c r="B1860" s="9">
        <v>44067</v>
      </c>
      <c r="C1860" s="9">
        <v>44067</v>
      </c>
      <c r="D1860" t="s">
        <v>0</v>
      </c>
      <c r="E1860" t="s">
        <v>39</v>
      </c>
      <c r="F1860">
        <v>8</v>
      </c>
      <c r="G1860" t="s">
        <v>1</v>
      </c>
      <c r="H1860">
        <v>24</v>
      </c>
      <c r="I1860" t="s">
        <v>2</v>
      </c>
      <c r="K1860" s="1" t="s">
        <v>121</v>
      </c>
      <c r="M1860" t="s">
        <v>20</v>
      </c>
    </row>
    <row r="1861" spans="1:13" ht="15.75" customHeight="1" x14ac:dyDescent="0.2">
      <c r="A1861">
        <v>2098363</v>
      </c>
      <c r="B1861" s="9">
        <v>44068</v>
      </c>
      <c r="C1861" s="9">
        <v>44068</v>
      </c>
      <c r="D1861" t="s">
        <v>5</v>
      </c>
      <c r="E1861" t="s">
        <v>91</v>
      </c>
      <c r="F1861"/>
      <c r="G1861" t="s">
        <v>6</v>
      </c>
      <c r="H1861">
        <v>22</v>
      </c>
      <c r="I1861" t="s">
        <v>2</v>
      </c>
      <c r="K1861" s="1" t="s">
        <v>121</v>
      </c>
      <c r="M1861" t="s">
        <v>9</v>
      </c>
    </row>
    <row r="1862" spans="1:13" ht="15.75" customHeight="1" x14ac:dyDescent="0.2">
      <c r="A1862">
        <v>2100300</v>
      </c>
      <c r="B1862" s="9">
        <v>44068</v>
      </c>
      <c r="C1862" s="9">
        <v>44068</v>
      </c>
      <c r="D1862" t="s">
        <v>0</v>
      </c>
      <c r="E1862" t="s">
        <v>12</v>
      </c>
      <c r="F1862">
        <v>1</v>
      </c>
      <c r="G1862" t="s">
        <v>6</v>
      </c>
      <c r="H1862">
        <v>25</v>
      </c>
      <c r="I1862" t="s">
        <v>2</v>
      </c>
      <c r="K1862" s="1" t="s">
        <v>121</v>
      </c>
      <c r="M1862" t="s">
        <v>9</v>
      </c>
    </row>
    <row r="1863" spans="1:13" ht="15.75" customHeight="1" x14ac:dyDescent="0.2">
      <c r="A1863">
        <v>2100320</v>
      </c>
      <c r="B1863" s="9">
        <v>44066</v>
      </c>
      <c r="C1863" s="9">
        <v>44067</v>
      </c>
      <c r="D1863" t="s">
        <v>0</v>
      </c>
      <c r="E1863" t="s">
        <v>11</v>
      </c>
      <c r="F1863">
        <v>6</v>
      </c>
      <c r="G1863" t="s">
        <v>6</v>
      </c>
      <c r="H1863">
        <v>61</v>
      </c>
      <c r="I1863" t="s">
        <v>2</v>
      </c>
      <c r="K1863" s="1" t="s">
        <v>121</v>
      </c>
      <c r="M1863" t="s">
        <v>4</v>
      </c>
    </row>
    <row r="1864" spans="1:13" ht="15.75" customHeight="1" x14ac:dyDescent="0.2">
      <c r="A1864">
        <v>2100410</v>
      </c>
      <c r="B1864" s="9">
        <v>44068</v>
      </c>
      <c r="C1864" s="9">
        <v>44068</v>
      </c>
      <c r="D1864" t="s">
        <v>0</v>
      </c>
      <c r="E1864" t="s">
        <v>12</v>
      </c>
      <c r="F1864">
        <v>1</v>
      </c>
      <c r="G1864" t="s">
        <v>1</v>
      </c>
      <c r="H1864">
        <v>24</v>
      </c>
      <c r="I1864" t="s">
        <v>2</v>
      </c>
      <c r="K1864" s="1" t="s">
        <v>121</v>
      </c>
      <c r="M1864" t="s">
        <v>9</v>
      </c>
    </row>
    <row r="1865" spans="1:13" ht="15.75" customHeight="1" x14ac:dyDescent="0.2">
      <c r="A1865">
        <v>2100708</v>
      </c>
      <c r="B1865" s="9">
        <v>44068</v>
      </c>
      <c r="C1865" s="9">
        <v>44068</v>
      </c>
      <c r="D1865" t="s">
        <v>5</v>
      </c>
      <c r="E1865" t="s">
        <v>83</v>
      </c>
      <c r="F1865"/>
      <c r="G1865" t="s">
        <v>1</v>
      </c>
      <c r="H1865">
        <v>40</v>
      </c>
      <c r="I1865" t="s">
        <v>2</v>
      </c>
      <c r="K1865" s="1" t="s">
        <v>121</v>
      </c>
      <c r="M1865" t="s">
        <v>9</v>
      </c>
    </row>
    <row r="1866" spans="1:13" ht="15.75" customHeight="1" x14ac:dyDescent="0.2">
      <c r="A1866">
        <v>2101616</v>
      </c>
      <c r="B1866" s="9">
        <v>44068</v>
      </c>
      <c r="C1866" s="9">
        <v>44068</v>
      </c>
      <c r="D1866" t="s">
        <v>0</v>
      </c>
      <c r="E1866" t="s">
        <v>48</v>
      </c>
      <c r="F1866">
        <v>10</v>
      </c>
      <c r="G1866" t="s">
        <v>6</v>
      </c>
      <c r="H1866">
        <v>15</v>
      </c>
      <c r="I1866" t="s">
        <v>2</v>
      </c>
      <c r="K1866" s="1" t="s">
        <v>121</v>
      </c>
      <c r="M1866" t="s">
        <v>4</v>
      </c>
    </row>
    <row r="1867" spans="1:13" ht="15.75" customHeight="1" x14ac:dyDescent="0.2">
      <c r="A1867">
        <v>2102193</v>
      </c>
      <c r="B1867" s="9">
        <v>44068</v>
      </c>
      <c r="C1867" s="9">
        <v>44072</v>
      </c>
      <c r="D1867" t="s">
        <v>5</v>
      </c>
      <c r="E1867" t="s">
        <v>76</v>
      </c>
      <c r="F1867"/>
      <c r="G1867" t="s">
        <v>6</v>
      </c>
      <c r="H1867">
        <v>26</v>
      </c>
      <c r="I1867" t="s">
        <v>2</v>
      </c>
      <c r="K1867" s="1" t="s">
        <v>121</v>
      </c>
      <c r="M1867" t="s">
        <v>9</v>
      </c>
    </row>
    <row r="1868" spans="1:13" ht="15.75" customHeight="1" x14ac:dyDescent="0.2">
      <c r="A1868">
        <v>2103385</v>
      </c>
      <c r="B1868" s="9">
        <v>44067</v>
      </c>
      <c r="C1868" s="9">
        <v>44067</v>
      </c>
      <c r="D1868" t="s">
        <v>0</v>
      </c>
      <c r="E1868" t="s">
        <v>48</v>
      </c>
      <c r="F1868">
        <v>10</v>
      </c>
      <c r="G1868" t="s">
        <v>6</v>
      </c>
      <c r="H1868">
        <v>80</v>
      </c>
      <c r="I1868" t="s">
        <v>2</v>
      </c>
      <c r="K1868" s="1" t="s">
        <v>121</v>
      </c>
      <c r="M1868" t="s">
        <v>4</v>
      </c>
    </row>
    <row r="1869" spans="1:13" ht="15.75" customHeight="1" x14ac:dyDescent="0.2">
      <c r="A1869">
        <v>2103399</v>
      </c>
      <c r="B1869" s="9">
        <v>44068</v>
      </c>
      <c r="C1869" s="9">
        <v>44068</v>
      </c>
      <c r="D1869" t="s">
        <v>0</v>
      </c>
      <c r="E1869" t="s">
        <v>10</v>
      </c>
      <c r="F1869">
        <v>5</v>
      </c>
      <c r="G1869" t="s">
        <v>1</v>
      </c>
      <c r="H1869">
        <v>73</v>
      </c>
      <c r="I1869" t="s">
        <v>2</v>
      </c>
      <c r="K1869" s="1" t="s">
        <v>121</v>
      </c>
      <c r="M1869" t="s">
        <v>4</v>
      </c>
    </row>
    <row r="1870" spans="1:13" ht="15.75" customHeight="1" x14ac:dyDescent="0.2">
      <c r="A1870">
        <v>2103484</v>
      </c>
      <c r="B1870" s="9">
        <v>44068</v>
      </c>
      <c r="C1870" s="9">
        <v>44068</v>
      </c>
      <c r="D1870" t="s">
        <v>0</v>
      </c>
      <c r="E1870" t="s">
        <v>11</v>
      </c>
      <c r="F1870">
        <v>6</v>
      </c>
      <c r="G1870" t="s">
        <v>6</v>
      </c>
      <c r="H1870">
        <v>39</v>
      </c>
      <c r="I1870" t="s">
        <v>2</v>
      </c>
      <c r="K1870" s="1" t="s">
        <v>121</v>
      </c>
      <c r="M1870" t="s">
        <v>22</v>
      </c>
    </row>
    <row r="1871" spans="1:13" ht="15.75" customHeight="1" x14ac:dyDescent="0.2">
      <c r="A1871">
        <v>2104984</v>
      </c>
      <c r="B1871" s="9">
        <v>44068</v>
      </c>
      <c r="C1871" s="9">
        <v>44068</v>
      </c>
      <c r="D1871" t="s">
        <v>0</v>
      </c>
      <c r="E1871" t="s">
        <v>11</v>
      </c>
      <c r="F1871">
        <v>6</v>
      </c>
      <c r="G1871" t="s">
        <v>1</v>
      </c>
      <c r="H1871">
        <v>93</v>
      </c>
      <c r="I1871" t="s">
        <v>2</v>
      </c>
      <c r="K1871" s="1" t="s">
        <v>121</v>
      </c>
      <c r="M1871" t="s">
        <v>4</v>
      </c>
    </row>
    <row r="1872" spans="1:13" ht="15.75" customHeight="1" x14ac:dyDescent="0.2">
      <c r="A1872">
        <v>2105397</v>
      </c>
      <c r="B1872" s="9">
        <v>44068</v>
      </c>
      <c r="C1872" s="9">
        <v>44068</v>
      </c>
      <c r="D1872" t="s">
        <v>0</v>
      </c>
      <c r="E1872" t="s">
        <v>51</v>
      </c>
      <c r="F1872">
        <v>15</v>
      </c>
      <c r="G1872" t="s">
        <v>1</v>
      </c>
      <c r="H1872">
        <v>37</v>
      </c>
      <c r="I1872" t="s">
        <v>2</v>
      </c>
      <c r="K1872" s="1" t="s">
        <v>121</v>
      </c>
      <c r="M1872" t="s">
        <v>20</v>
      </c>
    </row>
    <row r="1873" spans="1:13" ht="15.75" customHeight="1" x14ac:dyDescent="0.2">
      <c r="A1873">
        <v>2106899</v>
      </c>
      <c r="B1873" s="9">
        <v>44068</v>
      </c>
      <c r="C1873" s="9">
        <v>44068</v>
      </c>
      <c r="D1873" t="s">
        <v>0</v>
      </c>
      <c r="E1873" t="s">
        <v>46</v>
      </c>
      <c r="F1873">
        <v>5</v>
      </c>
      <c r="G1873" t="s">
        <v>6</v>
      </c>
      <c r="H1873">
        <v>38</v>
      </c>
      <c r="I1873" t="s">
        <v>2</v>
      </c>
      <c r="K1873" s="1" t="s">
        <v>121</v>
      </c>
      <c r="M1873" t="s">
        <v>20</v>
      </c>
    </row>
    <row r="1874" spans="1:13" ht="15.75" customHeight="1" x14ac:dyDescent="0.2">
      <c r="A1874">
        <v>2108446</v>
      </c>
      <c r="B1874" s="9">
        <v>44068</v>
      </c>
      <c r="C1874" s="9">
        <v>44068</v>
      </c>
      <c r="D1874" t="s">
        <v>0</v>
      </c>
      <c r="E1874" t="s">
        <v>58</v>
      </c>
      <c r="F1874">
        <v>8</v>
      </c>
      <c r="G1874" t="s">
        <v>6</v>
      </c>
      <c r="H1874">
        <v>9</v>
      </c>
      <c r="I1874" t="s">
        <v>2</v>
      </c>
      <c r="K1874" s="1" t="s">
        <v>121</v>
      </c>
      <c r="M1874" t="s">
        <v>9</v>
      </c>
    </row>
    <row r="1875" spans="1:13" ht="15.75" customHeight="1" x14ac:dyDescent="0.2">
      <c r="A1875">
        <v>2109611</v>
      </c>
      <c r="B1875" s="9">
        <v>44068</v>
      </c>
      <c r="C1875" s="9">
        <v>44068</v>
      </c>
      <c r="D1875" t="s">
        <v>5</v>
      </c>
      <c r="E1875" t="s">
        <v>97</v>
      </c>
      <c r="F1875"/>
      <c r="G1875" t="s">
        <v>6</v>
      </c>
      <c r="H1875">
        <v>43</v>
      </c>
      <c r="I1875" t="s">
        <v>2</v>
      </c>
      <c r="K1875" s="1" t="s">
        <v>121</v>
      </c>
      <c r="M1875" t="s">
        <v>9</v>
      </c>
    </row>
    <row r="1876" spans="1:13" ht="15.75" customHeight="1" x14ac:dyDescent="0.2">
      <c r="A1876">
        <v>2110023</v>
      </c>
      <c r="B1876" s="9">
        <v>44068</v>
      </c>
      <c r="C1876" s="9">
        <v>44068</v>
      </c>
      <c r="D1876" t="s">
        <v>5</v>
      </c>
      <c r="E1876" t="s">
        <v>90</v>
      </c>
      <c r="F1876"/>
      <c r="G1876" t="s">
        <v>6</v>
      </c>
      <c r="H1876">
        <v>65</v>
      </c>
      <c r="I1876" t="s">
        <v>2</v>
      </c>
      <c r="K1876" s="1" t="s">
        <v>121</v>
      </c>
      <c r="M1876" t="s">
        <v>20</v>
      </c>
    </row>
    <row r="1877" spans="1:13" ht="15.75" customHeight="1" x14ac:dyDescent="0.2">
      <c r="A1877">
        <v>2110327</v>
      </c>
      <c r="B1877" s="9">
        <v>44068</v>
      </c>
      <c r="C1877" s="9">
        <v>44068</v>
      </c>
      <c r="D1877" t="s">
        <v>0</v>
      </c>
      <c r="E1877" t="s">
        <v>45</v>
      </c>
      <c r="F1877">
        <v>4</v>
      </c>
      <c r="G1877" t="s">
        <v>6</v>
      </c>
      <c r="H1877">
        <v>23</v>
      </c>
      <c r="I1877" t="s">
        <v>2</v>
      </c>
      <c r="K1877" s="1" t="s">
        <v>121</v>
      </c>
      <c r="M1877" t="s">
        <v>4</v>
      </c>
    </row>
    <row r="1878" spans="1:13" ht="15.75" customHeight="1" x14ac:dyDescent="0.2">
      <c r="A1878">
        <v>2110614</v>
      </c>
      <c r="B1878" s="9">
        <v>44068</v>
      </c>
      <c r="C1878" s="9">
        <v>44068</v>
      </c>
      <c r="D1878" t="s">
        <v>0</v>
      </c>
      <c r="E1878" t="s">
        <v>45</v>
      </c>
      <c r="F1878">
        <v>4</v>
      </c>
      <c r="G1878" t="s">
        <v>1</v>
      </c>
      <c r="H1878">
        <v>50</v>
      </c>
      <c r="I1878" t="s">
        <v>2</v>
      </c>
      <c r="K1878" s="1" t="s">
        <v>121</v>
      </c>
      <c r="M1878" t="s">
        <v>4</v>
      </c>
    </row>
    <row r="1879" spans="1:13" ht="15.75" customHeight="1" x14ac:dyDescent="0.2">
      <c r="A1879">
        <v>2110871</v>
      </c>
      <c r="B1879" s="9">
        <v>44068</v>
      </c>
      <c r="C1879" s="9">
        <v>44069</v>
      </c>
      <c r="D1879" t="s">
        <v>0</v>
      </c>
      <c r="E1879" t="s">
        <v>45</v>
      </c>
      <c r="F1879">
        <v>4</v>
      </c>
      <c r="G1879" t="s">
        <v>6</v>
      </c>
      <c r="H1879">
        <v>31</v>
      </c>
      <c r="I1879" t="s">
        <v>2</v>
      </c>
      <c r="K1879" s="1" t="s">
        <v>121</v>
      </c>
      <c r="M1879" t="s">
        <v>9</v>
      </c>
    </row>
    <row r="1880" spans="1:13" ht="15.75" customHeight="1" x14ac:dyDescent="0.2">
      <c r="A1880">
        <v>2111266</v>
      </c>
      <c r="B1880" s="9">
        <v>44068</v>
      </c>
      <c r="C1880" s="9">
        <v>44092</v>
      </c>
      <c r="D1880" t="s">
        <v>5</v>
      </c>
      <c r="E1880" t="s">
        <v>90</v>
      </c>
      <c r="F1880"/>
      <c r="G1880" t="s">
        <v>6</v>
      </c>
      <c r="H1880">
        <v>6</v>
      </c>
      <c r="I1880" t="s">
        <v>2</v>
      </c>
      <c r="K1880" s="1" t="s">
        <v>121</v>
      </c>
      <c r="M1880" t="s">
        <v>9</v>
      </c>
    </row>
    <row r="1881" spans="1:13" ht="15.75" customHeight="1" x14ac:dyDescent="0.2">
      <c r="A1881">
        <v>2111357</v>
      </c>
      <c r="B1881" s="9">
        <v>44068</v>
      </c>
      <c r="C1881" s="9">
        <v>44068</v>
      </c>
      <c r="D1881" t="s">
        <v>0</v>
      </c>
      <c r="E1881" t="s">
        <v>8</v>
      </c>
      <c r="F1881">
        <v>7</v>
      </c>
      <c r="G1881" t="s">
        <v>1</v>
      </c>
      <c r="H1881">
        <v>52</v>
      </c>
      <c r="I1881" t="s">
        <v>2</v>
      </c>
      <c r="K1881" s="1" t="s">
        <v>121</v>
      </c>
      <c r="M1881" t="s">
        <v>9</v>
      </c>
    </row>
    <row r="1882" spans="1:13" ht="15.75" customHeight="1" x14ac:dyDescent="0.2">
      <c r="A1882">
        <v>2111388</v>
      </c>
      <c r="B1882" s="9">
        <v>44068</v>
      </c>
      <c r="C1882" s="9">
        <v>44068</v>
      </c>
      <c r="D1882" t="s">
        <v>0</v>
      </c>
      <c r="E1882" t="s">
        <v>8</v>
      </c>
      <c r="F1882">
        <v>7</v>
      </c>
      <c r="G1882" t="s">
        <v>6</v>
      </c>
      <c r="H1882">
        <v>18</v>
      </c>
      <c r="I1882" t="s">
        <v>2</v>
      </c>
      <c r="K1882" s="1" t="s">
        <v>121</v>
      </c>
      <c r="M1882" t="s">
        <v>9</v>
      </c>
    </row>
    <row r="1883" spans="1:13" ht="15.75" customHeight="1" x14ac:dyDescent="0.2">
      <c r="A1883">
        <v>2111392</v>
      </c>
      <c r="B1883" s="9">
        <v>44068</v>
      </c>
      <c r="C1883" s="9">
        <v>44105</v>
      </c>
      <c r="D1883" t="s">
        <v>5</v>
      </c>
      <c r="E1883" t="s">
        <v>83</v>
      </c>
      <c r="F1883"/>
      <c r="G1883" t="s">
        <v>1</v>
      </c>
      <c r="H1883">
        <v>14</v>
      </c>
      <c r="I1883" t="s">
        <v>2</v>
      </c>
      <c r="K1883" s="1" t="s">
        <v>121</v>
      </c>
      <c r="M1883" t="s">
        <v>4</v>
      </c>
    </row>
    <row r="1884" spans="1:13" ht="15.75" customHeight="1" x14ac:dyDescent="0.2">
      <c r="A1884">
        <v>2111532</v>
      </c>
      <c r="B1884" s="9">
        <v>44068</v>
      </c>
      <c r="C1884" s="9">
        <v>44068</v>
      </c>
      <c r="D1884" t="s">
        <v>0</v>
      </c>
      <c r="E1884" t="s">
        <v>31</v>
      </c>
      <c r="F1884">
        <v>10</v>
      </c>
      <c r="G1884" t="s">
        <v>1</v>
      </c>
      <c r="H1884">
        <v>82</v>
      </c>
      <c r="I1884" t="s">
        <v>2</v>
      </c>
      <c r="K1884" s="1" t="s">
        <v>121</v>
      </c>
      <c r="M1884" t="s">
        <v>20</v>
      </c>
    </row>
    <row r="1885" spans="1:13" ht="15.75" customHeight="1" x14ac:dyDescent="0.2">
      <c r="A1885">
        <v>2111704</v>
      </c>
      <c r="B1885" s="9">
        <v>44068</v>
      </c>
      <c r="C1885" s="9">
        <v>44069</v>
      </c>
      <c r="D1885" t="s">
        <v>0</v>
      </c>
      <c r="E1885" t="s">
        <v>27</v>
      </c>
      <c r="F1885">
        <v>4</v>
      </c>
      <c r="G1885" t="s">
        <v>6</v>
      </c>
      <c r="H1885">
        <v>15</v>
      </c>
      <c r="I1885" t="s">
        <v>2</v>
      </c>
      <c r="K1885" s="1" t="s">
        <v>121</v>
      </c>
      <c r="M1885" t="s">
        <v>4</v>
      </c>
    </row>
    <row r="1886" spans="1:13" ht="15.75" customHeight="1" x14ac:dyDescent="0.2">
      <c r="A1886">
        <v>2111705</v>
      </c>
      <c r="B1886" s="9">
        <v>44068</v>
      </c>
      <c r="C1886" s="9">
        <v>44072</v>
      </c>
      <c r="D1886" t="s">
        <v>5</v>
      </c>
      <c r="E1886" s="1" t="s">
        <v>90</v>
      </c>
      <c r="F1886"/>
      <c r="G1886" t="s">
        <v>6</v>
      </c>
      <c r="H1886">
        <v>20</v>
      </c>
      <c r="I1886" t="s">
        <v>2</v>
      </c>
      <c r="K1886" s="1" t="s">
        <v>121</v>
      </c>
      <c r="M1886" t="s">
        <v>4</v>
      </c>
    </row>
    <row r="1887" spans="1:13" ht="15.75" customHeight="1" x14ac:dyDescent="0.2">
      <c r="A1887">
        <v>2111746</v>
      </c>
      <c r="B1887" s="9">
        <v>44068</v>
      </c>
      <c r="C1887" s="9">
        <v>44069</v>
      </c>
      <c r="D1887" t="s">
        <v>5</v>
      </c>
      <c r="E1887" t="s">
        <v>90</v>
      </c>
      <c r="F1887"/>
      <c r="G1887" t="s">
        <v>6</v>
      </c>
      <c r="H1887">
        <v>35</v>
      </c>
      <c r="I1887" t="s">
        <v>2</v>
      </c>
      <c r="K1887" s="1" t="s">
        <v>121</v>
      </c>
      <c r="M1887" t="s">
        <v>9</v>
      </c>
    </row>
    <row r="1888" spans="1:13" ht="15.75" customHeight="1" x14ac:dyDescent="0.2">
      <c r="A1888">
        <v>2112022</v>
      </c>
      <c r="B1888" s="9">
        <v>44068</v>
      </c>
      <c r="C1888" s="9">
        <v>44069</v>
      </c>
      <c r="D1888" t="s">
        <v>0</v>
      </c>
      <c r="E1888" t="s">
        <v>27</v>
      </c>
      <c r="F1888">
        <v>4</v>
      </c>
      <c r="G1888" t="s">
        <v>6</v>
      </c>
      <c r="H1888">
        <v>20</v>
      </c>
      <c r="I1888" t="s">
        <v>2</v>
      </c>
      <c r="K1888" s="1" t="s">
        <v>121</v>
      </c>
      <c r="M1888" t="s">
        <v>4</v>
      </c>
    </row>
    <row r="1889" spans="1:13" ht="15.75" customHeight="1" x14ac:dyDescent="0.2">
      <c r="A1889">
        <v>2112685</v>
      </c>
      <c r="B1889" s="9">
        <v>44068</v>
      </c>
      <c r="C1889" s="9">
        <v>44069</v>
      </c>
      <c r="D1889" t="s">
        <v>0</v>
      </c>
      <c r="E1889" t="s">
        <v>27</v>
      </c>
      <c r="F1889">
        <v>4</v>
      </c>
      <c r="G1889" t="s">
        <v>6</v>
      </c>
      <c r="H1889">
        <v>50</v>
      </c>
      <c r="I1889" t="s">
        <v>2</v>
      </c>
      <c r="K1889" s="1" t="s">
        <v>121</v>
      </c>
      <c r="M1889" t="s">
        <v>20</v>
      </c>
    </row>
    <row r="1890" spans="1:13" ht="15.75" customHeight="1" x14ac:dyDescent="0.2">
      <c r="A1890">
        <v>2112761</v>
      </c>
      <c r="B1890" s="9">
        <v>44068</v>
      </c>
      <c r="C1890" s="9">
        <v>44069</v>
      </c>
      <c r="D1890" t="s">
        <v>0</v>
      </c>
      <c r="E1890" t="s">
        <v>12</v>
      </c>
      <c r="F1890">
        <v>1</v>
      </c>
      <c r="G1890" t="s">
        <v>6</v>
      </c>
      <c r="H1890">
        <v>20</v>
      </c>
      <c r="I1890" t="s">
        <v>2</v>
      </c>
      <c r="K1890" s="1" t="s">
        <v>121</v>
      </c>
      <c r="M1890" t="s">
        <v>20</v>
      </c>
    </row>
    <row r="1891" spans="1:13" ht="15.75" customHeight="1" x14ac:dyDescent="0.2">
      <c r="A1891">
        <v>2112837</v>
      </c>
      <c r="B1891" s="9">
        <v>44068</v>
      </c>
      <c r="C1891" s="9">
        <v>44069</v>
      </c>
      <c r="D1891" t="s">
        <v>0</v>
      </c>
      <c r="E1891" t="s">
        <v>45</v>
      </c>
      <c r="F1891">
        <v>4</v>
      </c>
      <c r="G1891" t="s">
        <v>1</v>
      </c>
      <c r="H1891">
        <v>22</v>
      </c>
      <c r="I1891" t="s">
        <v>2</v>
      </c>
      <c r="K1891" s="1" t="s">
        <v>121</v>
      </c>
      <c r="M1891" t="s">
        <v>4</v>
      </c>
    </row>
    <row r="1892" spans="1:13" ht="15.75" customHeight="1" x14ac:dyDescent="0.2">
      <c r="A1892">
        <v>2112887</v>
      </c>
      <c r="B1892" s="9">
        <v>44068</v>
      </c>
      <c r="C1892" s="9">
        <v>44069</v>
      </c>
      <c r="D1892" t="s">
        <v>5</v>
      </c>
      <c r="E1892" t="s">
        <v>97</v>
      </c>
      <c r="F1892"/>
      <c r="G1892" t="s">
        <v>1</v>
      </c>
      <c r="H1892">
        <v>3</v>
      </c>
      <c r="I1892" t="s">
        <v>2</v>
      </c>
      <c r="K1892" s="1" t="s">
        <v>121</v>
      </c>
      <c r="M1892" t="s">
        <v>4</v>
      </c>
    </row>
    <row r="1893" spans="1:13" ht="15.75" customHeight="1" x14ac:dyDescent="0.2">
      <c r="A1893">
        <v>2113265</v>
      </c>
      <c r="B1893" s="9">
        <v>44068</v>
      </c>
      <c r="C1893" s="9">
        <v>44068</v>
      </c>
      <c r="D1893" t="s">
        <v>0</v>
      </c>
      <c r="E1893" t="s">
        <v>45</v>
      </c>
      <c r="F1893">
        <v>4</v>
      </c>
      <c r="G1893" t="s">
        <v>6</v>
      </c>
      <c r="H1893">
        <v>23</v>
      </c>
      <c r="I1893" t="s">
        <v>2</v>
      </c>
      <c r="K1893" s="1" t="s">
        <v>121</v>
      </c>
      <c r="M1893" t="s">
        <v>9</v>
      </c>
    </row>
    <row r="1894" spans="1:13" ht="15.75" customHeight="1" x14ac:dyDescent="0.2">
      <c r="A1894">
        <v>2113339</v>
      </c>
      <c r="B1894" s="9">
        <v>44068</v>
      </c>
      <c r="C1894" s="9">
        <v>44068</v>
      </c>
      <c r="D1894" t="s">
        <v>0</v>
      </c>
      <c r="E1894" t="s">
        <v>45</v>
      </c>
      <c r="F1894">
        <v>4</v>
      </c>
      <c r="G1894" t="s">
        <v>1</v>
      </c>
      <c r="H1894">
        <v>33</v>
      </c>
      <c r="I1894" t="s">
        <v>2</v>
      </c>
      <c r="K1894" s="1" t="s">
        <v>121</v>
      </c>
      <c r="M1894" t="s">
        <v>4</v>
      </c>
    </row>
    <row r="1895" spans="1:13" ht="15.75" customHeight="1" x14ac:dyDescent="0.2">
      <c r="A1895">
        <v>2113359</v>
      </c>
      <c r="B1895" s="9">
        <v>44068</v>
      </c>
      <c r="C1895" s="9">
        <v>44068</v>
      </c>
      <c r="D1895" t="s">
        <v>5</v>
      </c>
      <c r="E1895" t="s">
        <v>90</v>
      </c>
      <c r="F1895"/>
      <c r="G1895" t="s">
        <v>1</v>
      </c>
      <c r="H1895">
        <v>18</v>
      </c>
      <c r="I1895" t="s">
        <v>2</v>
      </c>
      <c r="K1895" s="1" t="s">
        <v>121</v>
      </c>
      <c r="M1895" t="s">
        <v>4</v>
      </c>
    </row>
    <row r="1896" spans="1:13" ht="15.75" customHeight="1" x14ac:dyDescent="0.2">
      <c r="A1896">
        <v>2086752</v>
      </c>
      <c r="B1896" s="9">
        <v>44067</v>
      </c>
      <c r="C1896" s="9">
        <v>44067</v>
      </c>
      <c r="D1896" t="s">
        <v>5</v>
      </c>
      <c r="E1896" t="s">
        <v>83</v>
      </c>
      <c r="F1896"/>
      <c r="G1896" t="s">
        <v>1</v>
      </c>
      <c r="H1896">
        <v>25</v>
      </c>
      <c r="I1896" t="s">
        <v>2</v>
      </c>
      <c r="K1896" s="1" t="s">
        <v>121</v>
      </c>
      <c r="M1896" t="s">
        <v>4</v>
      </c>
    </row>
    <row r="1897" spans="1:13" ht="15.75" customHeight="1" x14ac:dyDescent="0.2">
      <c r="A1897">
        <v>2086769</v>
      </c>
      <c r="B1897" s="9">
        <v>44067</v>
      </c>
      <c r="C1897" s="9">
        <v>44067</v>
      </c>
      <c r="D1897" t="s">
        <v>0</v>
      </c>
      <c r="E1897" t="s">
        <v>16</v>
      </c>
      <c r="F1897">
        <v>15</v>
      </c>
      <c r="G1897" t="s">
        <v>6</v>
      </c>
      <c r="H1897">
        <v>13</v>
      </c>
      <c r="I1897" t="s">
        <v>2</v>
      </c>
      <c r="K1897" s="1" t="s">
        <v>121</v>
      </c>
      <c r="M1897" t="s">
        <v>9</v>
      </c>
    </row>
    <row r="1898" spans="1:13" ht="15.75" customHeight="1" x14ac:dyDescent="0.2">
      <c r="A1898">
        <v>2086879</v>
      </c>
      <c r="B1898" s="9">
        <v>44067</v>
      </c>
      <c r="C1898" s="9">
        <v>44067</v>
      </c>
      <c r="D1898" t="s">
        <v>5</v>
      </c>
      <c r="E1898" t="s">
        <v>90</v>
      </c>
      <c r="F1898"/>
      <c r="G1898" t="s">
        <v>6</v>
      </c>
      <c r="H1898">
        <v>59</v>
      </c>
      <c r="I1898" t="s">
        <v>2</v>
      </c>
      <c r="K1898" s="1" t="s">
        <v>121</v>
      </c>
      <c r="M1898" t="s">
        <v>20</v>
      </c>
    </row>
    <row r="1899" spans="1:13" ht="15.75" customHeight="1" x14ac:dyDescent="0.2">
      <c r="A1899">
        <v>2087306</v>
      </c>
      <c r="B1899" s="9">
        <v>44067</v>
      </c>
      <c r="C1899" s="9">
        <v>44067</v>
      </c>
      <c r="D1899" t="s">
        <v>0</v>
      </c>
      <c r="E1899" t="s">
        <v>10</v>
      </c>
      <c r="F1899">
        <v>5</v>
      </c>
      <c r="G1899" t="s">
        <v>6</v>
      </c>
      <c r="H1899">
        <v>34</v>
      </c>
      <c r="I1899" t="s">
        <v>2</v>
      </c>
      <c r="K1899" s="1" t="s">
        <v>121</v>
      </c>
      <c r="M1899" t="s">
        <v>9</v>
      </c>
    </row>
    <row r="1900" spans="1:13" ht="15.75" customHeight="1" x14ac:dyDescent="0.2">
      <c r="A1900">
        <v>2087578</v>
      </c>
      <c r="B1900" s="9">
        <v>44067</v>
      </c>
      <c r="C1900" s="9">
        <v>44067</v>
      </c>
      <c r="D1900" t="s">
        <v>0</v>
      </c>
      <c r="E1900" t="s">
        <v>41</v>
      </c>
      <c r="F1900">
        <v>4</v>
      </c>
      <c r="G1900" t="s">
        <v>6</v>
      </c>
      <c r="H1900">
        <v>68</v>
      </c>
      <c r="I1900" t="s">
        <v>2</v>
      </c>
      <c r="K1900" s="1" t="s">
        <v>121</v>
      </c>
      <c r="M1900" t="s">
        <v>9</v>
      </c>
    </row>
    <row r="1901" spans="1:13" ht="15.75" customHeight="1" x14ac:dyDescent="0.2">
      <c r="A1901">
        <v>2087603</v>
      </c>
      <c r="B1901" s="9">
        <v>44067</v>
      </c>
      <c r="C1901" s="9">
        <v>44067</v>
      </c>
      <c r="D1901" t="s">
        <v>5</v>
      </c>
      <c r="E1901" t="s">
        <v>90</v>
      </c>
      <c r="F1901"/>
      <c r="G1901" t="s">
        <v>1</v>
      </c>
      <c r="H1901">
        <v>49</v>
      </c>
      <c r="I1901" t="s">
        <v>2</v>
      </c>
      <c r="K1901" s="1" t="s">
        <v>121</v>
      </c>
      <c r="M1901" t="s">
        <v>4</v>
      </c>
    </row>
    <row r="1902" spans="1:13" ht="15.75" customHeight="1" x14ac:dyDescent="0.2">
      <c r="A1902">
        <v>2087604</v>
      </c>
      <c r="B1902" s="9">
        <v>44067</v>
      </c>
      <c r="C1902" s="9">
        <v>44067</v>
      </c>
      <c r="D1902" t="s">
        <v>5</v>
      </c>
      <c r="E1902" t="s">
        <v>90</v>
      </c>
      <c r="F1902"/>
      <c r="G1902" t="s">
        <v>6</v>
      </c>
      <c r="H1902">
        <v>52</v>
      </c>
      <c r="I1902" t="s">
        <v>2</v>
      </c>
      <c r="K1902" s="1" t="s">
        <v>121</v>
      </c>
      <c r="M1902" t="s">
        <v>9</v>
      </c>
    </row>
    <row r="1903" spans="1:13" ht="15.75" customHeight="1" x14ac:dyDescent="0.2">
      <c r="A1903">
        <v>2087683</v>
      </c>
      <c r="B1903" s="9">
        <v>44067</v>
      </c>
      <c r="C1903" s="9">
        <v>44067</v>
      </c>
      <c r="D1903" t="s">
        <v>0</v>
      </c>
      <c r="E1903" t="s">
        <v>44</v>
      </c>
      <c r="F1903">
        <v>9</v>
      </c>
      <c r="G1903" t="s">
        <v>6</v>
      </c>
      <c r="H1903">
        <v>35</v>
      </c>
      <c r="I1903" t="s">
        <v>2</v>
      </c>
      <c r="K1903" s="1" t="s">
        <v>121</v>
      </c>
      <c r="M1903" t="s">
        <v>9</v>
      </c>
    </row>
    <row r="1904" spans="1:13" ht="15.75" customHeight="1" x14ac:dyDescent="0.2">
      <c r="A1904">
        <v>2088083</v>
      </c>
      <c r="B1904" s="9">
        <v>44067</v>
      </c>
      <c r="C1904" s="9">
        <v>44067</v>
      </c>
      <c r="D1904" t="s">
        <v>0</v>
      </c>
      <c r="E1904" t="s">
        <v>56</v>
      </c>
      <c r="F1904">
        <v>10</v>
      </c>
      <c r="G1904" t="s">
        <v>6</v>
      </c>
      <c r="H1904">
        <v>36</v>
      </c>
      <c r="I1904" t="s">
        <v>2</v>
      </c>
      <c r="K1904" s="1" t="s">
        <v>121</v>
      </c>
      <c r="M1904" t="s">
        <v>9</v>
      </c>
    </row>
    <row r="1905" spans="1:13" ht="15.75" customHeight="1" x14ac:dyDescent="0.2">
      <c r="A1905">
        <v>2088271</v>
      </c>
      <c r="B1905" s="9">
        <v>44067</v>
      </c>
      <c r="C1905" s="9">
        <v>44067</v>
      </c>
      <c r="D1905" t="s">
        <v>0</v>
      </c>
      <c r="E1905" t="s">
        <v>40</v>
      </c>
      <c r="F1905">
        <v>1</v>
      </c>
      <c r="G1905" t="s">
        <v>6</v>
      </c>
      <c r="H1905">
        <v>23</v>
      </c>
      <c r="I1905" t="s">
        <v>2</v>
      </c>
      <c r="K1905" s="1" t="s">
        <v>121</v>
      </c>
      <c r="M1905" t="s">
        <v>4</v>
      </c>
    </row>
    <row r="1906" spans="1:13" ht="15.75" customHeight="1" x14ac:dyDescent="0.2">
      <c r="A1906">
        <v>2088316</v>
      </c>
      <c r="B1906" s="9">
        <v>44067</v>
      </c>
      <c r="C1906" s="9">
        <v>44067</v>
      </c>
      <c r="D1906" t="s">
        <v>0</v>
      </c>
      <c r="E1906" t="s">
        <v>46</v>
      </c>
      <c r="F1906">
        <v>5</v>
      </c>
      <c r="G1906" t="s">
        <v>6</v>
      </c>
      <c r="H1906">
        <v>52</v>
      </c>
      <c r="I1906" t="s">
        <v>2</v>
      </c>
      <c r="K1906" s="1" t="s">
        <v>121</v>
      </c>
      <c r="M1906" t="s">
        <v>4</v>
      </c>
    </row>
    <row r="1907" spans="1:13" ht="15.75" customHeight="1" x14ac:dyDescent="0.2">
      <c r="A1907">
        <v>2088380</v>
      </c>
      <c r="B1907" s="9">
        <v>44067</v>
      </c>
      <c r="C1907" s="9">
        <v>44067</v>
      </c>
      <c r="D1907" t="s">
        <v>0</v>
      </c>
      <c r="E1907" s="5" t="s">
        <v>19</v>
      </c>
      <c r="F1907">
        <v>15</v>
      </c>
      <c r="G1907" t="s">
        <v>6</v>
      </c>
      <c r="H1907">
        <v>26</v>
      </c>
      <c r="I1907" t="s">
        <v>2</v>
      </c>
      <c r="K1907" s="1" t="s">
        <v>121</v>
      </c>
      <c r="M1907" t="s">
        <v>4</v>
      </c>
    </row>
    <row r="1908" spans="1:13" ht="15.75" customHeight="1" x14ac:dyDescent="0.2">
      <c r="A1908">
        <v>2088500</v>
      </c>
      <c r="B1908" s="9">
        <v>44067</v>
      </c>
      <c r="C1908" s="9">
        <v>44067</v>
      </c>
      <c r="D1908" t="s">
        <v>57</v>
      </c>
      <c r="E1908" s="5" t="s">
        <v>104</v>
      </c>
      <c r="F1908"/>
      <c r="G1908" t="s">
        <v>6</v>
      </c>
      <c r="H1908">
        <v>52</v>
      </c>
      <c r="I1908" t="s">
        <v>2</v>
      </c>
      <c r="K1908" s="1" t="s">
        <v>121</v>
      </c>
      <c r="M1908" t="s">
        <v>4</v>
      </c>
    </row>
    <row r="1909" spans="1:13" ht="15.75" customHeight="1" x14ac:dyDescent="0.2">
      <c r="A1909">
        <v>2088348</v>
      </c>
      <c r="B1909" s="9">
        <v>44066</v>
      </c>
      <c r="C1909" s="9">
        <v>44068</v>
      </c>
      <c r="D1909" t="s">
        <v>0</v>
      </c>
      <c r="E1909" t="s">
        <v>28</v>
      </c>
      <c r="F1909">
        <v>11</v>
      </c>
      <c r="G1909" t="s">
        <v>1</v>
      </c>
      <c r="H1909">
        <v>42</v>
      </c>
      <c r="I1909" t="s">
        <v>2</v>
      </c>
      <c r="K1909" s="1" t="s">
        <v>121</v>
      </c>
      <c r="M1909" t="s">
        <v>22</v>
      </c>
    </row>
    <row r="1910" spans="1:13" ht="15.75" customHeight="1" x14ac:dyDescent="0.2">
      <c r="A1910">
        <v>2088550</v>
      </c>
      <c r="B1910" s="9">
        <v>44067</v>
      </c>
      <c r="C1910" s="9">
        <v>44067</v>
      </c>
      <c r="D1910" t="s">
        <v>0</v>
      </c>
      <c r="E1910" t="s">
        <v>7</v>
      </c>
      <c r="F1910">
        <v>3</v>
      </c>
      <c r="G1910" t="s">
        <v>1</v>
      </c>
      <c r="H1910">
        <v>35</v>
      </c>
      <c r="I1910" t="s">
        <v>2</v>
      </c>
      <c r="K1910" s="1" t="s">
        <v>121</v>
      </c>
      <c r="M1910" t="s">
        <v>4</v>
      </c>
    </row>
    <row r="1911" spans="1:13" ht="15.75" customHeight="1" x14ac:dyDescent="0.2">
      <c r="A1911">
        <v>2088726</v>
      </c>
      <c r="B1911" s="9">
        <v>44067</v>
      </c>
      <c r="C1911" s="9">
        <v>44067</v>
      </c>
      <c r="D1911" t="s">
        <v>5</v>
      </c>
      <c r="E1911" t="s">
        <v>83</v>
      </c>
      <c r="F1911"/>
      <c r="G1911" t="s">
        <v>6</v>
      </c>
      <c r="H1911">
        <v>28</v>
      </c>
      <c r="I1911" t="s">
        <v>2</v>
      </c>
      <c r="K1911" s="1" t="s">
        <v>121</v>
      </c>
      <c r="M1911" t="s">
        <v>4</v>
      </c>
    </row>
    <row r="1912" spans="1:13" ht="15.75" customHeight="1" x14ac:dyDescent="0.2">
      <c r="A1912">
        <v>2088910</v>
      </c>
      <c r="B1912" s="9">
        <v>44067</v>
      </c>
      <c r="C1912" s="9">
        <v>44067</v>
      </c>
      <c r="D1912" t="s">
        <v>0</v>
      </c>
      <c r="E1912" t="s">
        <v>12</v>
      </c>
      <c r="F1912">
        <v>1</v>
      </c>
      <c r="G1912" t="s">
        <v>1</v>
      </c>
      <c r="H1912">
        <v>46</v>
      </c>
      <c r="I1912" t="s">
        <v>2</v>
      </c>
      <c r="K1912" s="1" t="s">
        <v>121</v>
      </c>
      <c r="M1912" t="s">
        <v>20</v>
      </c>
    </row>
    <row r="1913" spans="1:13" ht="15.75" customHeight="1" x14ac:dyDescent="0.2">
      <c r="A1913">
        <v>2088928</v>
      </c>
      <c r="B1913" s="9">
        <v>44067</v>
      </c>
      <c r="C1913" s="9">
        <v>44067</v>
      </c>
      <c r="D1913" t="s">
        <v>0</v>
      </c>
      <c r="E1913" t="s">
        <v>35</v>
      </c>
      <c r="F1913">
        <v>3</v>
      </c>
      <c r="G1913" t="s">
        <v>1</v>
      </c>
      <c r="H1913">
        <v>21</v>
      </c>
      <c r="I1913" t="s">
        <v>2</v>
      </c>
      <c r="K1913" s="1" t="s">
        <v>121</v>
      </c>
      <c r="M1913" t="s">
        <v>20</v>
      </c>
    </row>
    <row r="1914" spans="1:13" ht="15.75" customHeight="1" x14ac:dyDescent="0.2">
      <c r="A1914">
        <v>2088934</v>
      </c>
      <c r="B1914" s="9">
        <v>44067</v>
      </c>
      <c r="C1914" s="9">
        <v>44067</v>
      </c>
      <c r="D1914" t="s">
        <v>0</v>
      </c>
      <c r="E1914" t="s">
        <v>24</v>
      </c>
      <c r="F1914">
        <v>9</v>
      </c>
      <c r="G1914" t="s">
        <v>6</v>
      </c>
      <c r="H1914">
        <v>29</v>
      </c>
      <c r="I1914" t="s">
        <v>2</v>
      </c>
      <c r="K1914" s="1" t="s">
        <v>121</v>
      </c>
      <c r="M1914" t="s">
        <v>9</v>
      </c>
    </row>
    <row r="1915" spans="1:13" ht="15.75" customHeight="1" x14ac:dyDescent="0.2">
      <c r="A1915">
        <v>2090469</v>
      </c>
      <c r="B1915" s="9">
        <v>44068</v>
      </c>
      <c r="C1915" s="9">
        <v>44068</v>
      </c>
      <c r="D1915" t="s">
        <v>0</v>
      </c>
      <c r="E1915" t="s">
        <v>50</v>
      </c>
      <c r="F1915">
        <v>1</v>
      </c>
      <c r="G1915" t="s">
        <v>1</v>
      </c>
      <c r="H1915">
        <v>26</v>
      </c>
      <c r="I1915" t="s">
        <v>2</v>
      </c>
      <c r="K1915" s="1" t="s">
        <v>121</v>
      </c>
      <c r="M1915" t="s">
        <v>9</v>
      </c>
    </row>
    <row r="1916" spans="1:13" ht="15.75" customHeight="1" x14ac:dyDescent="0.2">
      <c r="A1916">
        <v>2090684</v>
      </c>
      <c r="B1916" s="9">
        <v>44067</v>
      </c>
      <c r="C1916" s="9">
        <v>44067</v>
      </c>
      <c r="D1916" t="s">
        <v>0</v>
      </c>
      <c r="E1916" t="s">
        <v>122</v>
      </c>
      <c r="F1916">
        <v>15</v>
      </c>
      <c r="G1916" t="s">
        <v>1</v>
      </c>
      <c r="H1916">
        <v>28</v>
      </c>
      <c r="I1916" t="s">
        <v>2</v>
      </c>
      <c r="K1916" s="1" t="s">
        <v>121</v>
      </c>
      <c r="M1916" t="s">
        <v>20</v>
      </c>
    </row>
    <row r="1917" spans="1:13" ht="15.75" customHeight="1" x14ac:dyDescent="0.2">
      <c r="A1917">
        <v>2090726</v>
      </c>
      <c r="B1917" s="9">
        <v>44067</v>
      </c>
      <c r="C1917" s="9">
        <v>44067</v>
      </c>
      <c r="D1917" t="s">
        <v>5</v>
      </c>
      <c r="E1917" t="s">
        <v>97</v>
      </c>
      <c r="F1917"/>
      <c r="G1917" t="s">
        <v>1</v>
      </c>
      <c r="H1917">
        <v>39</v>
      </c>
      <c r="I1917" t="s">
        <v>2</v>
      </c>
      <c r="K1917" s="1" t="s">
        <v>121</v>
      </c>
      <c r="M1917" t="s">
        <v>20</v>
      </c>
    </row>
    <row r="1918" spans="1:13" ht="15.75" customHeight="1" x14ac:dyDescent="0.2">
      <c r="A1918">
        <v>2091388</v>
      </c>
      <c r="B1918" s="9">
        <v>44068</v>
      </c>
      <c r="C1918" s="9">
        <v>44068</v>
      </c>
      <c r="D1918" t="s">
        <v>5</v>
      </c>
      <c r="E1918" t="s">
        <v>90</v>
      </c>
      <c r="F1918"/>
      <c r="G1918" t="s">
        <v>6</v>
      </c>
      <c r="H1918">
        <v>63</v>
      </c>
      <c r="I1918" t="s">
        <v>2</v>
      </c>
      <c r="K1918" s="1" t="s">
        <v>121</v>
      </c>
      <c r="M1918" t="s">
        <v>9</v>
      </c>
    </row>
    <row r="1919" spans="1:13" ht="15.75" customHeight="1" x14ac:dyDescent="0.2">
      <c r="A1919">
        <v>2093278</v>
      </c>
      <c r="B1919" s="9">
        <v>44067</v>
      </c>
      <c r="C1919" s="9">
        <v>44068</v>
      </c>
      <c r="D1919" t="s">
        <v>0</v>
      </c>
      <c r="E1919" t="s">
        <v>7</v>
      </c>
      <c r="F1919">
        <v>3</v>
      </c>
      <c r="G1919" t="s">
        <v>1</v>
      </c>
      <c r="H1919">
        <v>60</v>
      </c>
      <c r="I1919" t="s">
        <v>2</v>
      </c>
      <c r="K1919" s="1" t="s">
        <v>121</v>
      </c>
      <c r="M1919" t="s">
        <v>9</v>
      </c>
    </row>
    <row r="1920" spans="1:13" ht="15.75" customHeight="1" x14ac:dyDescent="0.2">
      <c r="A1920">
        <v>2093757</v>
      </c>
      <c r="B1920" s="9">
        <v>44067</v>
      </c>
      <c r="C1920" s="9">
        <v>44068</v>
      </c>
      <c r="D1920" t="s">
        <v>0</v>
      </c>
      <c r="E1920" t="s">
        <v>25</v>
      </c>
      <c r="F1920">
        <v>13</v>
      </c>
      <c r="G1920" t="s">
        <v>1</v>
      </c>
      <c r="H1920">
        <v>82</v>
      </c>
      <c r="I1920" t="s">
        <v>2</v>
      </c>
      <c r="K1920" s="1" t="s">
        <v>121</v>
      </c>
      <c r="M1920" t="s">
        <v>20</v>
      </c>
    </row>
    <row r="1921" spans="1:13" ht="15.75" customHeight="1" x14ac:dyDescent="0.2">
      <c r="A1921">
        <v>2094511</v>
      </c>
      <c r="B1921" s="9">
        <v>44067</v>
      </c>
      <c r="C1921" s="9">
        <v>44068</v>
      </c>
      <c r="D1921" t="s">
        <v>0</v>
      </c>
      <c r="E1921" t="s">
        <v>34</v>
      </c>
      <c r="F1921">
        <v>9</v>
      </c>
      <c r="G1921" t="s">
        <v>6</v>
      </c>
      <c r="H1921">
        <v>30</v>
      </c>
      <c r="I1921" t="s">
        <v>2</v>
      </c>
      <c r="K1921" s="1" t="s">
        <v>121</v>
      </c>
      <c r="M1921" t="s">
        <v>20</v>
      </c>
    </row>
    <row r="1922" spans="1:13" ht="15.75" customHeight="1" x14ac:dyDescent="0.2">
      <c r="A1922">
        <v>2095000</v>
      </c>
      <c r="B1922" s="9">
        <v>44067</v>
      </c>
      <c r="C1922" s="9">
        <v>44068</v>
      </c>
      <c r="D1922" t="s">
        <v>0</v>
      </c>
      <c r="E1922" t="s">
        <v>18</v>
      </c>
      <c r="F1922">
        <v>8</v>
      </c>
      <c r="G1922" t="s">
        <v>1</v>
      </c>
      <c r="H1922">
        <v>29</v>
      </c>
      <c r="I1922" t="s">
        <v>2</v>
      </c>
      <c r="K1922" s="1" t="s">
        <v>121</v>
      </c>
      <c r="M1922" t="s">
        <v>9</v>
      </c>
    </row>
    <row r="1923" spans="1:13" ht="15.75" customHeight="1" x14ac:dyDescent="0.2">
      <c r="A1923">
        <v>2097015</v>
      </c>
      <c r="B1923" s="9">
        <v>44067</v>
      </c>
      <c r="C1923" s="9">
        <v>44068</v>
      </c>
      <c r="D1923" t="s">
        <v>0</v>
      </c>
      <c r="E1923" t="s">
        <v>17</v>
      </c>
      <c r="F1923">
        <v>1</v>
      </c>
      <c r="G1923" t="s">
        <v>6</v>
      </c>
      <c r="H1923">
        <v>47</v>
      </c>
      <c r="I1923" t="s">
        <v>2</v>
      </c>
      <c r="K1923" s="1" t="s">
        <v>121</v>
      </c>
      <c r="M1923" t="s">
        <v>22</v>
      </c>
    </row>
    <row r="1924" spans="1:13" ht="15.75" customHeight="1" x14ac:dyDescent="0.2">
      <c r="A1924">
        <v>2099466</v>
      </c>
      <c r="B1924" s="9">
        <v>44068</v>
      </c>
      <c r="C1924" s="9">
        <v>44069</v>
      </c>
      <c r="D1924" s="1" t="s">
        <v>72</v>
      </c>
      <c r="E1924" s="1" t="s">
        <v>119</v>
      </c>
      <c r="F1924"/>
      <c r="G1924" t="s">
        <v>1</v>
      </c>
      <c r="H1924">
        <v>55</v>
      </c>
      <c r="I1924" t="s">
        <v>2</v>
      </c>
      <c r="K1924" s="1" t="s">
        <v>121</v>
      </c>
      <c r="M1924" t="s">
        <v>4</v>
      </c>
    </row>
    <row r="1925" spans="1:13" ht="15.75" customHeight="1" x14ac:dyDescent="0.2">
      <c r="A1925">
        <v>2099934</v>
      </c>
      <c r="B1925" s="9">
        <v>44068</v>
      </c>
      <c r="C1925" s="9">
        <v>44068</v>
      </c>
      <c r="D1925" t="s">
        <v>5</v>
      </c>
      <c r="E1925" t="s">
        <v>90</v>
      </c>
      <c r="F1925"/>
      <c r="G1925" t="s">
        <v>6</v>
      </c>
      <c r="H1925">
        <v>30</v>
      </c>
      <c r="I1925" t="s">
        <v>2</v>
      </c>
      <c r="K1925" s="1" t="s">
        <v>121</v>
      </c>
      <c r="M1925" t="s">
        <v>20</v>
      </c>
    </row>
    <row r="1926" spans="1:13" ht="15.75" customHeight="1" x14ac:dyDescent="0.2">
      <c r="A1926">
        <v>2100269</v>
      </c>
      <c r="B1926" s="9">
        <v>44067</v>
      </c>
      <c r="C1926" s="9">
        <v>44067</v>
      </c>
      <c r="D1926" t="s">
        <v>0</v>
      </c>
      <c r="E1926" t="s">
        <v>36</v>
      </c>
      <c r="F1926">
        <v>1</v>
      </c>
      <c r="G1926" t="s">
        <v>6</v>
      </c>
      <c r="H1926">
        <v>24</v>
      </c>
      <c r="I1926" t="s">
        <v>2</v>
      </c>
      <c r="K1926" s="1" t="s">
        <v>121</v>
      </c>
      <c r="M1926" t="s">
        <v>9</v>
      </c>
    </row>
    <row r="1927" spans="1:13" ht="15.75" customHeight="1" x14ac:dyDescent="0.2">
      <c r="A1927">
        <v>2101267</v>
      </c>
      <c r="B1927" s="9">
        <v>44068</v>
      </c>
      <c r="C1927" s="9">
        <v>44072</v>
      </c>
      <c r="D1927" t="s">
        <v>5</v>
      </c>
      <c r="E1927" s="1" t="s">
        <v>90</v>
      </c>
      <c r="F1927"/>
      <c r="G1927" t="s">
        <v>6</v>
      </c>
      <c r="H1927">
        <v>78</v>
      </c>
      <c r="I1927" t="s">
        <v>2</v>
      </c>
      <c r="K1927" s="1" t="s">
        <v>121</v>
      </c>
      <c r="M1927" t="s">
        <v>9</v>
      </c>
    </row>
    <row r="1928" spans="1:13" ht="15.75" customHeight="1" x14ac:dyDescent="0.2">
      <c r="A1928">
        <v>2102135</v>
      </c>
      <c r="B1928" s="9">
        <v>44068</v>
      </c>
      <c r="C1928" s="9">
        <v>44069</v>
      </c>
      <c r="D1928" t="s">
        <v>5</v>
      </c>
      <c r="E1928" t="s">
        <v>90</v>
      </c>
      <c r="F1928"/>
      <c r="G1928" t="s">
        <v>6</v>
      </c>
      <c r="H1928">
        <v>36</v>
      </c>
      <c r="I1928" t="s">
        <v>2</v>
      </c>
      <c r="K1928" s="1" t="s">
        <v>121</v>
      </c>
      <c r="M1928" t="s">
        <v>9</v>
      </c>
    </row>
    <row r="1929" spans="1:13" ht="15.75" customHeight="1" x14ac:dyDescent="0.2">
      <c r="A1929">
        <v>2107724</v>
      </c>
      <c r="B1929" s="9">
        <v>44069</v>
      </c>
      <c r="C1929" s="9">
        <v>44069</v>
      </c>
      <c r="D1929" t="s">
        <v>5</v>
      </c>
      <c r="E1929" t="s">
        <v>97</v>
      </c>
      <c r="F1929"/>
      <c r="G1929" t="s">
        <v>6</v>
      </c>
      <c r="H1929">
        <v>68</v>
      </c>
      <c r="I1929" t="s">
        <v>2</v>
      </c>
      <c r="K1929" s="1" t="s">
        <v>121</v>
      </c>
      <c r="M1929" t="s">
        <v>22</v>
      </c>
    </row>
    <row r="1930" spans="1:13" ht="15.75" customHeight="1" x14ac:dyDescent="0.2">
      <c r="A1930">
        <v>2162528</v>
      </c>
      <c r="B1930" s="9">
        <v>44069</v>
      </c>
      <c r="C1930" s="9">
        <v>44070</v>
      </c>
      <c r="D1930" t="s">
        <v>0</v>
      </c>
      <c r="E1930" t="s">
        <v>29</v>
      </c>
      <c r="F1930">
        <v>12</v>
      </c>
      <c r="G1930" t="s">
        <v>6</v>
      </c>
      <c r="H1930">
        <v>39</v>
      </c>
      <c r="I1930" t="s">
        <v>2</v>
      </c>
      <c r="K1930" s="1" t="s">
        <v>121</v>
      </c>
      <c r="M1930" t="s">
        <v>9</v>
      </c>
    </row>
    <row r="1931" spans="1:13" ht="15.75" customHeight="1" x14ac:dyDescent="0.2">
      <c r="A1931">
        <v>2165337</v>
      </c>
      <c r="B1931" s="9">
        <v>44070</v>
      </c>
      <c r="C1931" s="9">
        <v>44070</v>
      </c>
      <c r="D1931" t="s">
        <v>0</v>
      </c>
      <c r="E1931" t="s">
        <v>7</v>
      </c>
      <c r="F1931">
        <v>3</v>
      </c>
      <c r="G1931" t="s">
        <v>6</v>
      </c>
      <c r="H1931">
        <v>2</v>
      </c>
      <c r="I1931" t="s">
        <v>2</v>
      </c>
      <c r="K1931" s="1" t="s">
        <v>121</v>
      </c>
      <c r="M1931" t="s">
        <v>9</v>
      </c>
    </row>
    <row r="1932" spans="1:13" ht="15.75" customHeight="1" x14ac:dyDescent="0.2">
      <c r="A1932">
        <v>2169637</v>
      </c>
      <c r="B1932" s="9">
        <v>44069</v>
      </c>
      <c r="C1932" s="9">
        <v>44069</v>
      </c>
      <c r="D1932" t="s">
        <v>0</v>
      </c>
      <c r="E1932" t="s">
        <v>43</v>
      </c>
      <c r="F1932">
        <v>10</v>
      </c>
      <c r="G1932" t="s">
        <v>6</v>
      </c>
      <c r="H1932">
        <v>22</v>
      </c>
      <c r="I1932" t="s">
        <v>2</v>
      </c>
      <c r="K1932" s="1" t="s">
        <v>121</v>
      </c>
      <c r="M1932" t="s">
        <v>4</v>
      </c>
    </row>
    <row r="1933" spans="1:13" ht="15.75" customHeight="1" x14ac:dyDescent="0.2">
      <c r="A1933">
        <v>2169690</v>
      </c>
      <c r="B1933" s="9">
        <v>44070</v>
      </c>
      <c r="C1933" s="9">
        <v>44071</v>
      </c>
      <c r="D1933" t="s">
        <v>5</v>
      </c>
      <c r="E1933" s="5" t="s">
        <v>76</v>
      </c>
      <c r="F1933"/>
      <c r="G1933" t="s">
        <v>1</v>
      </c>
      <c r="H1933">
        <v>31</v>
      </c>
      <c r="I1933" t="s">
        <v>2</v>
      </c>
      <c r="K1933" s="1" t="s">
        <v>121</v>
      </c>
      <c r="M1933" t="s">
        <v>20</v>
      </c>
    </row>
    <row r="1934" spans="1:13" ht="15.75" customHeight="1" x14ac:dyDescent="0.2">
      <c r="A1934">
        <v>2169704</v>
      </c>
      <c r="B1934" s="9">
        <v>44069</v>
      </c>
      <c r="C1934" s="9">
        <v>44069</v>
      </c>
      <c r="D1934" t="s">
        <v>0</v>
      </c>
      <c r="E1934" t="s">
        <v>45</v>
      </c>
      <c r="F1934">
        <v>4</v>
      </c>
      <c r="G1934" t="s">
        <v>1</v>
      </c>
      <c r="H1934">
        <v>44</v>
      </c>
      <c r="I1934" t="s">
        <v>2</v>
      </c>
      <c r="K1934" s="1" t="s">
        <v>121</v>
      </c>
      <c r="M1934" t="s">
        <v>4</v>
      </c>
    </row>
    <row r="1935" spans="1:13" ht="15.75" customHeight="1" x14ac:dyDescent="0.2">
      <c r="A1935">
        <v>2169734</v>
      </c>
      <c r="B1935" s="9">
        <v>44069</v>
      </c>
      <c r="C1935" s="9">
        <v>44069</v>
      </c>
      <c r="D1935" t="s">
        <v>0</v>
      </c>
      <c r="E1935" t="s">
        <v>41</v>
      </c>
      <c r="F1935">
        <v>4</v>
      </c>
      <c r="G1935" t="s">
        <v>1</v>
      </c>
      <c r="H1935">
        <v>7</v>
      </c>
      <c r="I1935" t="s">
        <v>2</v>
      </c>
      <c r="K1935" s="1" t="s">
        <v>121</v>
      </c>
      <c r="M1935" t="s">
        <v>4</v>
      </c>
    </row>
    <row r="1936" spans="1:13" ht="15.75" customHeight="1" x14ac:dyDescent="0.2">
      <c r="A1936">
        <v>2169761</v>
      </c>
      <c r="B1936" s="9">
        <v>44069</v>
      </c>
      <c r="C1936" s="9">
        <v>44070</v>
      </c>
      <c r="D1936" t="s">
        <v>0</v>
      </c>
      <c r="E1936" t="s">
        <v>45</v>
      </c>
      <c r="F1936">
        <v>4</v>
      </c>
      <c r="G1936" t="s">
        <v>1</v>
      </c>
      <c r="H1936">
        <v>25</v>
      </c>
      <c r="I1936" t="s">
        <v>2</v>
      </c>
      <c r="K1936" s="1" t="s">
        <v>121</v>
      </c>
      <c r="M1936" t="s">
        <v>4</v>
      </c>
    </row>
    <row r="1937" spans="1:13" ht="15.75" customHeight="1" x14ac:dyDescent="0.2">
      <c r="A1937">
        <v>2169762</v>
      </c>
      <c r="B1937" s="9">
        <v>44069</v>
      </c>
      <c r="C1937" s="9">
        <v>44069</v>
      </c>
      <c r="D1937" t="s">
        <v>0</v>
      </c>
      <c r="E1937" t="s">
        <v>27</v>
      </c>
      <c r="F1937">
        <v>4</v>
      </c>
      <c r="G1937" t="s">
        <v>6</v>
      </c>
      <c r="H1937">
        <v>2</v>
      </c>
      <c r="I1937" t="s">
        <v>2</v>
      </c>
      <c r="K1937" s="1" t="s">
        <v>121</v>
      </c>
      <c r="M1937" t="s">
        <v>4</v>
      </c>
    </row>
    <row r="1938" spans="1:13" ht="15.75" customHeight="1" x14ac:dyDescent="0.2">
      <c r="A1938">
        <v>2169823</v>
      </c>
      <c r="B1938" s="9">
        <v>44069</v>
      </c>
      <c r="C1938" s="9">
        <v>44069</v>
      </c>
      <c r="D1938" t="s">
        <v>0</v>
      </c>
      <c r="E1938" t="s">
        <v>24</v>
      </c>
      <c r="F1938">
        <v>9</v>
      </c>
      <c r="G1938" t="s">
        <v>6</v>
      </c>
      <c r="H1938">
        <v>35</v>
      </c>
      <c r="I1938" t="s">
        <v>2</v>
      </c>
      <c r="K1938" s="1" t="s">
        <v>121</v>
      </c>
      <c r="M1938" t="s">
        <v>4</v>
      </c>
    </row>
    <row r="1939" spans="1:13" ht="15.75" customHeight="1" x14ac:dyDescent="0.2">
      <c r="A1939">
        <v>2169835</v>
      </c>
      <c r="B1939" s="9">
        <v>44069</v>
      </c>
      <c r="C1939" s="9">
        <v>44069</v>
      </c>
      <c r="D1939" t="s">
        <v>0</v>
      </c>
      <c r="E1939" t="s">
        <v>44</v>
      </c>
      <c r="F1939">
        <v>9</v>
      </c>
      <c r="G1939" t="s">
        <v>6</v>
      </c>
      <c r="H1939">
        <v>22</v>
      </c>
      <c r="I1939" t="s">
        <v>2</v>
      </c>
      <c r="K1939" s="1" t="s">
        <v>121</v>
      </c>
      <c r="M1939" t="s">
        <v>4</v>
      </c>
    </row>
    <row r="1940" spans="1:13" ht="15.75" customHeight="1" x14ac:dyDescent="0.2">
      <c r="A1940">
        <v>2169864</v>
      </c>
      <c r="B1940" s="9">
        <v>44069</v>
      </c>
      <c r="C1940" s="9">
        <v>44069</v>
      </c>
      <c r="D1940" t="s">
        <v>0</v>
      </c>
      <c r="E1940" t="s">
        <v>33</v>
      </c>
      <c r="F1940">
        <v>13</v>
      </c>
      <c r="G1940" t="s">
        <v>6</v>
      </c>
      <c r="H1940">
        <v>22</v>
      </c>
      <c r="I1940" t="s">
        <v>2</v>
      </c>
      <c r="K1940" s="1" t="s">
        <v>121</v>
      </c>
      <c r="M1940" t="s">
        <v>4</v>
      </c>
    </row>
    <row r="1941" spans="1:13" ht="15.75" customHeight="1" x14ac:dyDescent="0.2">
      <c r="A1941">
        <v>2169866</v>
      </c>
      <c r="B1941" s="9">
        <v>44070</v>
      </c>
      <c r="C1941" s="9">
        <v>44070</v>
      </c>
      <c r="D1941" t="s">
        <v>0</v>
      </c>
      <c r="E1941" t="s">
        <v>39</v>
      </c>
      <c r="F1941">
        <v>8</v>
      </c>
      <c r="G1941" t="s">
        <v>1</v>
      </c>
      <c r="H1941">
        <v>12</v>
      </c>
      <c r="I1941" t="s">
        <v>2</v>
      </c>
      <c r="K1941" s="1" t="s">
        <v>121</v>
      </c>
      <c r="M1941" t="s">
        <v>4</v>
      </c>
    </row>
    <row r="1942" spans="1:13" ht="15.75" customHeight="1" x14ac:dyDescent="0.2">
      <c r="A1942">
        <v>2169875</v>
      </c>
      <c r="B1942" s="9">
        <v>44069</v>
      </c>
      <c r="C1942" s="9">
        <v>44069</v>
      </c>
      <c r="D1942" t="s">
        <v>0</v>
      </c>
      <c r="E1942" t="s">
        <v>39</v>
      </c>
      <c r="F1942">
        <v>8</v>
      </c>
      <c r="G1942" t="s">
        <v>1</v>
      </c>
      <c r="H1942">
        <v>37</v>
      </c>
      <c r="I1942" t="s">
        <v>2</v>
      </c>
      <c r="K1942" s="1" t="s">
        <v>121</v>
      </c>
      <c r="M1942" t="s">
        <v>4</v>
      </c>
    </row>
    <row r="1943" spans="1:13" ht="15.75" customHeight="1" x14ac:dyDescent="0.2">
      <c r="A1943">
        <v>2170043</v>
      </c>
      <c r="B1943" s="9">
        <v>44069</v>
      </c>
      <c r="C1943" s="9">
        <v>44069</v>
      </c>
      <c r="D1943" s="1" t="s">
        <v>72</v>
      </c>
      <c r="E1943" s="1" t="s">
        <v>119</v>
      </c>
      <c r="F1943"/>
      <c r="G1943" t="s">
        <v>6</v>
      </c>
      <c r="H1943">
        <v>35</v>
      </c>
      <c r="I1943" t="s">
        <v>2</v>
      </c>
      <c r="K1943" s="1" t="s">
        <v>121</v>
      </c>
      <c r="M1943" t="s">
        <v>22</v>
      </c>
    </row>
    <row r="1944" spans="1:13" ht="15.75" customHeight="1" x14ac:dyDescent="0.2">
      <c r="A1944">
        <v>2170073</v>
      </c>
      <c r="B1944" s="9">
        <v>44069</v>
      </c>
      <c r="C1944" s="9">
        <v>44069</v>
      </c>
      <c r="D1944" t="s">
        <v>0</v>
      </c>
      <c r="E1944" t="s">
        <v>55</v>
      </c>
      <c r="F1944">
        <v>15</v>
      </c>
      <c r="G1944" t="s">
        <v>1</v>
      </c>
      <c r="H1944">
        <v>2</v>
      </c>
      <c r="I1944" t="s">
        <v>2</v>
      </c>
      <c r="K1944" s="1" t="s">
        <v>121</v>
      </c>
      <c r="M1944" t="s">
        <v>4</v>
      </c>
    </row>
    <row r="1945" spans="1:13" ht="15.75" customHeight="1" x14ac:dyDescent="0.2">
      <c r="A1945">
        <v>2172752</v>
      </c>
      <c r="B1945" s="9">
        <v>44071</v>
      </c>
      <c r="C1945" s="9">
        <v>44071</v>
      </c>
      <c r="D1945" t="s">
        <v>0</v>
      </c>
      <c r="E1945" t="s">
        <v>41</v>
      </c>
      <c r="F1945">
        <v>4</v>
      </c>
      <c r="G1945" t="s">
        <v>6</v>
      </c>
      <c r="H1945">
        <v>25</v>
      </c>
      <c r="I1945" t="s">
        <v>2</v>
      </c>
      <c r="K1945" s="1" t="s">
        <v>121</v>
      </c>
      <c r="M1945" t="s">
        <v>4</v>
      </c>
    </row>
    <row r="1946" spans="1:13" ht="15.75" customHeight="1" x14ac:dyDescent="0.2">
      <c r="A1946">
        <v>2173190</v>
      </c>
      <c r="B1946" s="9">
        <v>44071</v>
      </c>
      <c r="C1946" s="9">
        <v>44076</v>
      </c>
      <c r="D1946" t="s">
        <v>5</v>
      </c>
      <c r="E1946" t="s">
        <v>90</v>
      </c>
      <c r="F1946"/>
      <c r="G1946" t="s">
        <v>6</v>
      </c>
      <c r="H1946">
        <v>60</v>
      </c>
      <c r="I1946" t="s">
        <v>2</v>
      </c>
      <c r="K1946" s="1" t="s">
        <v>121</v>
      </c>
      <c r="M1946" t="s">
        <v>20</v>
      </c>
    </row>
    <row r="1947" spans="1:13" ht="15.75" customHeight="1" x14ac:dyDescent="0.2">
      <c r="A1947">
        <v>2173691</v>
      </c>
      <c r="B1947" s="9">
        <v>44070</v>
      </c>
      <c r="C1947" s="9">
        <v>44070</v>
      </c>
      <c r="D1947" t="s">
        <v>0</v>
      </c>
      <c r="E1947" t="s">
        <v>7</v>
      </c>
      <c r="F1947">
        <v>3</v>
      </c>
      <c r="G1947" t="s">
        <v>6</v>
      </c>
      <c r="H1947">
        <v>41</v>
      </c>
      <c r="I1947" t="s">
        <v>2</v>
      </c>
      <c r="K1947" s="1" t="s">
        <v>121</v>
      </c>
      <c r="M1947" t="s">
        <v>4</v>
      </c>
    </row>
    <row r="1948" spans="1:13" ht="15.75" customHeight="1" x14ac:dyDescent="0.2">
      <c r="A1948">
        <v>2176072</v>
      </c>
      <c r="B1948" s="9">
        <v>44070</v>
      </c>
      <c r="C1948" s="9">
        <v>44071</v>
      </c>
      <c r="D1948" t="s">
        <v>0</v>
      </c>
      <c r="E1948" t="s">
        <v>11</v>
      </c>
      <c r="F1948">
        <v>6</v>
      </c>
      <c r="G1948" t="s">
        <v>1</v>
      </c>
      <c r="H1948">
        <v>83</v>
      </c>
      <c r="I1948" t="s">
        <v>2</v>
      </c>
      <c r="K1948" s="1" t="s">
        <v>121</v>
      </c>
      <c r="M1948" t="s">
        <v>9</v>
      </c>
    </row>
    <row r="1949" spans="1:13" ht="15.75" customHeight="1" x14ac:dyDescent="0.2">
      <c r="A1949">
        <v>2176231</v>
      </c>
      <c r="B1949" s="9">
        <v>44069</v>
      </c>
      <c r="C1949" s="9">
        <v>44069</v>
      </c>
      <c r="D1949" t="s">
        <v>0</v>
      </c>
      <c r="E1949" t="s">
        <v>39</v>
      </c>
      <c r="F1949">
        <v>8</v>
      </c>
      <c r="G1949" t="s">
        <v>6</v>
      </c>
      <c r="H1949">
        <v>38</v>
      </c>
      <c r="I1949" t="s">
        <v>2</v>
      </c>
      <c r="K1949" s="1" t="s">
        <v>121</v>
      </c>
      <c r="M1949" t="s">
        <v>4</v>
      </c>
    </row>
    <row r="1950" spans="1:13" ht="15.75" customHeight="1" x14ac:dyDescent="0.2">
      <c r="A1950">
        <v>2176337</v>
      </c>
      <c r="B1950" s="9">
        <v>44069</v>
      </c>
      <c r="C1950" s="9">
        <v>44069</v>
      </c>
      <c r="D1950" t="s">
        <v>0</v>
      </c>
      <c r="E1950" t="s">
        <v>39</v>
      </c>
      <c r="F1950">
        <v>8</v>
      </c>
      <c r="G1950" t="s">
        <v>6</v>
      </c>
      <c r="H1950">
        <v>9</v>
      </c>
      <c r="I1950" t="s">
        <v>2</v>
      </c>
      <c r="K1950" s="1" t="s">
        <v>121</v>
      </c>
      <c r="M1950" t="s">
        <v>4</v>
      </c>
    </row>
    <row r="1951" spans="1:13" ht="15.75" customHeight="1" x14ac:dyDescent="0.2">
      <c r="A1951">
        <v>2176451</v>
      </c>
      <c r="B1951" s="9">
        <v>44069</v>
      </c>
      <c r="C1951" s="9">
        <v>44069</v>
      </c>
      <c r="D1951" t="s">
        <v>0</v>
      </c>
      <c r="E1951" t="s">
        <v>18</v>
      </c>
      <c r="F1951">
        <v>8</v>
      </c>
      <c r="G1951" t="s">
        <v>6</v>
      </c>
      <c r="H1951">
        <v>32</v>
      </c>
      <c r="I1951" t="s">
        <v>2</v>
      </c>
      <c r="K1951" s="1" t="s">
        <v>121</v>
      </c>
      <c r="M1951" t="s">
        <v>4</v>
      </c>
    </row>
    <row r="1952" spans="1:13" ht="15.75" customHeight="1" x14ac:dyDescent="0.2">
      <c r="A1952">
        <v>2176532</v>
      </c>
      <c r="B1952" s="9">
        <v>44069</v>
      </c>
      <c r="C1952" s="9">
        <v>44069</v>
      </c>
      <c r="D1952" t="s">
        <v>0</v>
      </c>
      <c r="E1952" t="s">
        <v>39</v>
      </c>
      <c r="F1952">
        <v>8</v>
      </c>
      <c r="G1952" t="s">
        <v>1</v>
      </c>
      <c r="H1952">
        <v>15</v>
      </c>
      <c r="I1952" t="s">
        <v>2</v>
      </c>
      <c r="K1952" s="1" t="s">
        <v>121</v>
      </c>
      <c r="M1952" t="s">
        <v>4</v>
      </c>
    </row>
    <row r="1953" spans="1:13" ht="15.75" customHeight="1" x14ac:dyDescent="0.2">
      <c r="A1953">
        <v>2178373</v>
      </c>
      <c r="B1953" s="9">
        <v>44070</v>
      </c>
      <c r="C1953" s="9">
        <v>44070</v>
      </c>
      <c r="D1953" t="s">
        <v>0</v>
      </c>
      <c r="E1953" t="s">
        <v>16</v>
      </c>
      <c r="F1953">
        <v>15</v>
      </c>
      <c r="G1953" t="s">
        <v>1</v>
      </c>
      <c r="H1953">
        <v>32</v>
      </c>
      <c r="I1953" t="s">
        <v>2</v>
      </c>
      <c r="K1953" s="1" t="s">
        <v>121</v>
      </c>
      <c r="M1953" t="s">
        <v>4</v>
      </c>
    </row>
    <row r="1954" spans="1:13" ht="15.75" customHeight="1" x14ac:dyDescent="0.2">
      <c r="A1954">
        <v>2182673</v>
      </c>
      <c r="B1954" s="9">
        <v>44069</v>
      </c>
      <c r="C1954" s="9">
        <v>44069</v>
      </c>
      <c r="D1954" t="s">
        <v>0</v>
      </c>
      <c r="E1954" t="s">
        <v>45</v>
      </c>
      <c r="F1954">
        <v>4</v>
      </c>
      <c r="G1954" t="s">
        <v>1</v>
      </c>
      <c r="H1954">
        <v>8</v>
      </c>
      <c r="I1954" t="s">
        <v>2</v>
      </c>
      <c r="K1954" s="1" t="s">
        <v>121</v>
      </c>
      <c r="M1954" t="s">
        <v>4</v>
      </c>
    </row>
    <row r="1955" spans="1:13" ht="15.75" customHeight="1" x14ac:dyDescent="0.2">
      <c r="A1955">
        <v>2187297</v>
      </c>
      <c r="B1955" s="9">
        <v>44071</v>
      </c>
      <c r="C1955" s="9">
        <v>44071</v>
      </c>
      <c r="D1955" t="s">
        <v>5</v>
      </c>
      <c r="E1955" t="s">
        <v>90</v>
      </c>
      <c r="F1955"/>
      <c r="G1955" t="s">
        <v>1</v>
      </c>
      <c r="H1955">
        <v>2</v>
      </c>
      <c r="I1955" t="s">
        <v>2</v>
      </c>
      <c r="K1955" s="1" t="s">
        <v>121</v>
      </c>
      <c r="M1955" t="s">
        <v>20</v>
      </c>
    </row>
    <row r="1956" spans="1:13" ht="15.75" customHeight="1" x14ac:dyDescent="0.2">
      <c r="A1956">
        <v>2190218</v>
      </c>
      <c r="B1956" s="9">
        <v>44071</v>
      </c>
      <c r="C1956" s="9">
        <v>44071</v>
      </c>
      <c r="D1956" t="s">
        <v>0</v>
      </c>
      <c r="E1956" t="s">
        <v>36</v>
      </c>
      <c r="F1956">
        <v>1</v>
      </c>
      <c r="G1956" t="s">
        <v>6</v>
      </c>
      <c r="H1956">
        <v>49</v>
      </c>
      <c r="I1956" t="s">
        <v>2</v>
      </c>
      <c r="K1956" s="1" t="s">
        <v>121</v>
      </c>
      <c r="M1956" t="s">
        <v>9</v>
      </c>
    </row>
    <row r="1957" spans="1:13" ht="15.75" customHeight="1" x14ac:dyDescent="0.2">
      <c r="A1957">
        <v>2190738</v>
      </c>
      <c r="B1957" s="9">
        <v>44071</v>
      </c>
      <c r="C1957" s="9">
        <v>44071</v>
      </c>
      <c r="D1957" t="s">
        <v>0</v>
      </c>
      <c r="E1957" t="s">
        <v>26</v>
      </c>
      <c r="F1957">
        <v>4</v>
      </c>
      <c r="G1957" t="s">
        <v>6</v>
      </c>
      <c r="H1957">
        <v>45</v>
      </c>
      <c r="I1957" t="s">
        <v>2</v>
      </c>
      <c r="K1957" s="1" t="s">
        <v>121</v>
      </c>
      <c r="M1957" t="s">
        <v>4</v>
      </c>
    </row>
    <row r="1958" spans="1:13" ht="15.75" customHeight="1" x14ac:dyDescent="0.2">
      <c r="A1958">
        <v>2191675</v>
      </c>
      <c r="B1958" s="9">
        <v>44071</v>
      </c>
      <c r="C1958" s="9">
        <v>44072</v>
      </c>
      <c r="D1958" t="s">
        <v>0</v>
      </c>
      <c r="E1958" t="s">
        <v>35</v>
      </c>
      <c r="F1958">
        <v>3</v>
      </c>
      <c r="G1958" t="s">
        <v>6</v>
      </c>
      <c r="H1958">
        <v>53</v>
      </c>
      <c r="I1958" t="s">
        <v>2</v>
      </c>
      <c r="K1958" s="1" t="s">
        <v>121</v>
      </c>
      <c r="M1958" t="s">
        <v>4</v>
      </c>
    </row>
    <row r="1959" spans="1:13" ht="15.75" customHeight="1" x14ac:dyDescent="0.2">
      <c r="A1959">
        <v>2192062</v>
      </c>
      <c r="B1959" s="9">
        <v>44071</v>
      </c>
      <c r="C1959" s="9">
        <v>44071</v>
      </c>
      <c r="D1959" t="s">
        <v>0</v>
      </c>
      <c r="E1959" t="s">
        <v>14</v>
      </c>
      <c r="F1959">
        <v>14</v>
      </c>
      <c r="G1959" t="s">
        <v>1</v>
      </c>
      <c r="H1959">
        <v>40</v>
      </c>
      <c r="I1959" t="s">
        <v>2</v>
      </c>
      <c r="K1959" s="1" t="s">
        <v>121</v>
      </c>
      <c r="M1959" t="s">
        <v>9</v>
      </c>
    </row>
    <row r="1960" spans="1:13" ht="15.75" customHeight="1" x14ac:dyDescent="0.2">
      <c r="A1960">
        <v>2194090</v>
      </c>
      <c r="B1960" s="9">
        <v>44068</v>
      </c>
      <c r="C1960" s="9">
        <v>44068</v>
      </c>
      <c r="D1960" t="s">
        <v>0</v>
      </c>
      <c r="E1960" t="s">
        <v>18</v>
      </c>
      <c r="F1960">
        <v>8</v>
      </c>
      <c r="G1960" t="s">
        <v>1</v>
      </c>
      <c r="H1960">
        <v>31</v>
      </c>
      <c r="I1960" t="s">
        <v>2</v>
      </c>
      <c r="K1960" s="1" t="s">
        <v>121</v>
      </c>
      <c r="M1960" t="s">
        <v>4</v>
      </c>
    </row>
    <row r="1961" spans="1:13" ht="15.75" customHeight="1" x14ac:dyDescent="0.2">
      <c r="A1961">
        <v>2196574</v>
      </c>
      <c r="B1961" s="9">
        <v>44069</v>
      </c>
      <c r="C1961" s="9">
        <v>44069</v>
      </c>
      <c r="D1961" t="s">
        <v>0</v>
      </c>
      <c r="E1961" t="s">
        <v>7</v>
      </c>
      <c r="F1961">
        <v>3</v>
      </c>
      <c r="G1961" t="s">
        <v>6</v>
      </c>
      <c r="H1961">
        <v>10</v>
      </c>
      <c r="I1961" t="s">
        <v>2</v>
      </c>
      <c r="K1961" s="1" t="s">
        <v>121</v>
      </c>
      <c r="M1961" t="s">
        <v>4</v>
      </c>
    </row>
    <row r="1962" spans="1:13" ht="15.75" customHeight="1" x14ac:dyDescent="0.2">
      <c r="A1962">
        <v>2196627</v>
      </c>
      <c r="B1962" s="9">
        <v>44069</v>
      </c>
      <c r="C1962" s="9">
        <v>44069</v>
      </c>
      <c r="D1962" t="s">
        <v>0</v>
      </c>
      <c r="E1962" t="s">
        <v>55</v>
      </c>
      <c r="F1962">
        <v>15</v>
      </c>
      <c r="G1962" t="s">
        <v>1</v>
      </c>
      <c r="H1962">
        <v>37</v>
      </c>
      <c r="I1962" t="s">
        <v>2</v>
      </c>
      <c r="K1962" s="1" t="s">
        <v>121</v>
      </c>
      <c r="M1962" t="s">
        <v>22</v>
      </c>
    </row>
    <row r="1963" spans="1:13" ht="15.75" customHeight="1" x14ac:dyDescent="0.2">
      <c r="A1963">
        <v>2196861</v>
      </c>
      <c r="B1963" s="9">
        <v>44069</v>
      </c>
      <c r="C1963" s="9">
        <v>44069</v>
      </c>
      <c r="D1963" t="s">
        <v>0</v>
      </c>
      <c r="E1963" t="s">
        <v>14</v>
      </c>
      <c r="F1963">
        <v>14</v>
      </c>
      <c r="G1963" t="s">
        <v>1</v>
      </c>
      <c r="H1963">
        <v>28</v>
      </c>
      <c r="I1963" t="s">
        <v>2</v>
      </c>
      <c r="K1963" s="1" t="s">
        <v>121</v>
      </c>
      <c r="M1963" t="s">
        <v>4</v>
      </c>
    </row>
    <row r="1964" spans="1:13" ht="15.75" customHeight="1" x14ac:dyDescent="0.2">
      <c r="A1964">
        <v>2197766</v>
      </c>
      <c r="B1964" s="9">
        <v>44072</v>
      </c>
      <c r="C1964" s="9">
        <v>44074</v>
      </c>
      <c r="D1964" t="s">
        <v>5</v>
      </c>
      <c r="E1964" t="s">
        <v>90</v>
      </c>
      <c r="F1964"/>
      <c r="G1964" t="s">
        <v>1</v>
      </c>
      <c r="H1964">
        <v>54</v>
      </c>
      <c r="I1964" t="s">
        <v>2</v>
      </c>
      <c r="K1964" s="1" t="s">
        <v>121</v>
      </c>
      <c r="M1964" t="s">
        <v>4</v>
      </c>
    </row>
    <row r="1965" spans="1:13" ht="15.75" customHeight="1" x14ac:dyDescent="0.2">
      <c r="A1965">
        <v>1572129</v>
      </c>
      <c r="B1965" s="9">
        <v>44040</v>
      </c>
      <c r="C1965" s="9">
        <v>44041</v>
      </c>
      <c r="D1965" t="s">
        <v>5</v>
      </c>
      <c r="E1965" t="s">
        <v>97</v>
      </c>
      <c r="F1965"/>
      <c r="G1965" t="s">
        <v>1</v>
      </c>
      <c r="H1965">
        <v>58</v>
      </c>
      <c r="I1965" t="s">
        <v>2</v>
      </c>
      <c r="K1965" s="1" t="s">
        <v>121</v>
      </c>
      <c r="M1965" t="s">
        <v>4</v>
      </c>
    </row>
    <row r="1966" spans="1:13" ht="15.75" customHeight="1" x14ac:dyDescent="0.2">
      <c r="A1966">
        <v>1806915</v>
      </c>
      <c r="B1966" s="9">
        <v>44054</v>
      </c>
      <c r="C1966" s="9">
        <v>44054</v>
      </c>
      <c r="D1966" t="s">
        <v>5</v>
      </c>
      <c r="E1966" t="s">
        <v>83</v>
      </c>
      <c r="F1966"/>
      <c r="G1966" t="s">
        <v>1</v>
      </c>
      <c r="H1966">
        <v>39</v>
      </c>
      <c r="I1966" t="s">
        <v>2</v>
      </c>
      <c r="K1966" s="1" t="s">
        <v>121</v>
      </c>
      <c r="M1966" t="s">
        <v>22</v>
      </c>
    </row>
    <row r="1967" spans="1:13" ht="15.75" customHeight="1" x14ac:dyDescent="0.2">
      <c r="A1967">
        <v>1841414</v>
      </c>
      <c r="B1967" s="9">
        <v>44054</v>
      </c>
      <c r="C1967" s="9">
        <v>44055</v>
      </c>
      <c r="D1967" t="s">
        <v>5</v>
      </c>
      <c r="E1967" s="1" t="s">
        <v>90</v>
      </c>
      <c r="F1967"/>
      <c r="G1967" t="s">
        <v>6</v>
      </c>
      <c r="H1967">
        <v>34</v>
      </c>
      <c r="I1967" t="s">
        <v>2</v>
      </c>
      <c r="K1967" s="1" t="s">
        <v>121</v>
      </c>
      <c r="M1967" t="s">
        <v>4</v>
      </c>
    </row>
    <row r="1968" spans="1:13" ht="15.75" customHeight="1" x14ac:dyDescent="0.2">
      <c r="A1968">
        <v>1956735</v>
      </c>
      <c r="B1968" s="9">
        <v>44061</v>
      </c>
      <c r="C1968" s="9">
        <v>44180</v>
      </c>
      <c r="D1968" t="s">
        <v>0</v>
      </c>
      <c r="E1968" t="s">
        <v>7</v>
      </c>
      <c r="F1968">
        <v>3</v>
      </c>
      <c r="G1968" t="s">
        <v>6</v>
      </c>
      <c r="H1968">
        <v>43</v>
      </c>
      <c r="I1968" t="s">
        <v>2</v>
      </c>
      <c r="K1968" s="1" t="s">
        <v>121</v>
      </c>
      <c r="M1968" t="s">
        <v>20</v>
      </c>
    </row>
    <row r="1969" spans="1:13" ht="15.75" customHeight="1" x14ac:dyDescent="0.2">
      <c r="A1969">
        <v>2014358</v>
      </c>
      <c r="B1969" s="9">
        <v>44063</v>
      </c>
      <c r="C1969" s="9">
        <v>44065</v>
      </c>
      <c r="D1969" t="s">
        <v>5</v>
      </c>
      <c r="E1969" s="1" t="s">
        <v>90</v>
      </c>
      <c r="F1969"/>
      <c r="G1969" t="s">
        <v>6</v>
      </c>
      <c r="H1969">
        <v>61</v>
      </c>
      <c r="I1969" t="s">
        <v>2</v>
      </c>
      <c r="K1969" s="1" t="s">
        <v>121</v>
      </c>
      <c r="M1969" t="s">
        <v>4</v>
      </c>
    </row>
    <row r="1970" spans="1:13" ht="15.75" customHeight="1" x14ac:dyDescent="0.2">
      <c r="A1970">
        <v>2030501</v>
      </c>
      <c r="B1970" s="9">
        <v>44063</v>
      </c>
      <c r="C1970" s="9">
        <v>44064</v>
      </c>
      <c r="D1970" t="s">
        <v>5</v>
      </c>
      <c r="E1970" t="s">
        <v>83</v>
      </c>
      <c r="F1970"/>
      <c r="G1970" t="s">
        <v>1</v>
      </c>
      <c r="H1970">
        <v>47</v>
      </c>
      <c r="I1970" t="s">
        <v>2</v>
      </c>
      <c r="K1970" s="1" t="s">
        <v>121</v>
      </c>
      <c r="M1970" t="s">
        <v>4</v>
      </c>
    </row>
    <row r="1971" spans="1:13" ht="15.75" customHeight="1" x14ac:dyDescent="0.2">
      <c r="A1971">
        <v>2044654</v>
      </c>
      <c r="B1971" s="9">
        <v>44065</v>
      </c>
      <c r="C1971" s="9">
        <v>44065</v>
      </c>
      <c r="D1971" t="s">
        <v>0</v>
      </c>
      <c r="E1971" t="s">
        <v>14</v>
      </c>
      <c r="F1971">
        <v>14</v>
      </c>
      <c r="G1971" t="s">
        <v>6</v>
      </c>
      <c r="H1971">
        <v>79</v>
      </c>
      <c r="I1971" t="s">
        <v>2</v>
      </c>
      <c r="K1971" s="1" t="s">
        <v>121</v>
      </c>
      <c r="M1971" t="s">
        <v>9</v>
      </c>
    </row>
    <row r="1972" spans="1:13" ht="15.75" customHeight="1" x14ac:dyDescent="0.2">
      <c r="A1972">
        <v>2051491</v>
      </c>
      <c r="B1972" s="9">
        <v>44066</v>
      </c>
      <c r="C1972" s="9">
        <v>44066</v>
      </c>
      <c r="D1972" t="s">
        <v>0</v>
      </c>
      <c r="E1972" t="s">
        <v>41</v>
      </c>
      <c r="F1972">
        <v>4</v>
      </c>
      <c r="G1972" t="s">
        <v>6</v>
      </c>
      <c r="H1972">
        <v>55</v>
      </c>
      <c r="I1972" t="s">
        <v>2</v>
      </c>
      <c r="K1972" s="1" t="s">
        <v>121</v>
      </c>
      <c r="M1972" t="s">
        <v>22</v>
      </c>
    </row>
    <row r="1973" spans="1:13" ht="15.75" customHeight="1" x14ac:dyDescent="0.2">
      <c r="A1973">
        <v>2081712</v>
      </c>
      <c r="B1973" s="9">
        <v>44057</v>
      </c>
      <c r="C1973" s="9">
        <v>44058</v>
      </c>
      <c r="D1973" t="s">
        <v>0</v>
      </c>
      <c r="E1973" t="s">
        <v>36</v>
      </c>
      <c r="F1973">
        <v>1</v>
      </c>
      <c r="G1973" t="s">
        <v>6</v>
      </c>
      <c r="H1973">
        <v>59</v>
      </c>
      <c r="I1973" t="s">
        <v>2</v>
      </c>
      <c r="K1973" s="1" t="s">
        <v>121</v>
      </c>
      <c r="M1973" t="s">
        <v>4</v>
      </c>
    </row>
    <row r="1974" spans="1:13" ht="15.75" customHeight="1" x14ac:dyDescent="0.2">
      <c r="A1974">
        <v>2084582</v>
      </c>
      <c r="B1974" s="9">
        <v>44067</v>
      </c>
      <c r="C1974" s="9">
        <v>44067</v>
      </c>
      <c r="D1974" t="s">
        <v>5</v>
      </c>
      <c r="E1974" t="s">
        <v>97</v>
      </c>
      <c r="F1974"/>
      <c r="G1974" t="s">
        <v>1</v>
      </c>
      <c r="H1974">
        <v>46</v>
      </c>
      <c r="I1974" t="s">
        <v>2</v>
      </c>
      <c r="K1974" s="1" t="s">
        <v>121</v>
      </c>
      <c r="M1974" t="s">
        <v>9</v>
      </c>
    </row>
    <row r="1975" spans="1:13" ht="15.75" customHeight="1" x14ac:dyDescent="0.2">
      <c r="A1975">
        <v>2094502</v>
      </c>
      <c r="B1975" s="9">
        <v>44068</v>
      </c>
      <c r="C1975" s="9">
        <v>44069</v>
      </c>
      <c r="D1975" t="s">
        <v>0</v>
      </c>
      <c r="E1975" t="s">
        <v>33</v>
      </c>
      <c r="F1975">
        <v>13</v>
      </c>
      <c r="G1975" t="s">
        <v>1</v>
      </c>
      <c r="H1975">
        <v>39</v>
      </c>
      <c r="I1975" t="s">
        <v>2</v>
      </c>
      <c r="K1975" s="1" t="s">
        <v>121</v>
      </c>
      <c r="M1975" t="s">
        <v>4</v>
      </c>
    </row>
    <row r="1976" spans="1:13" ht="15.75" customHeight="1" x14ac:dyDescent="0.2">
      <c r="A1976">
        <v>2186349</v>
      </c>
      <c r="B1976" s="9">
        <v>44068</v>
      </c>
      <c r="C1976" s="9">
        <v>44069</v>
      </c>
      <c r="D1976" t="s">
        <v>5</v>
      </c>
      <c r="E1976" t="s">
        <v>75</v>
      </c>
      <c r="F1976"/>
      <c r="G1976" t="s">
        <v>1</v>
      </c>
      <c r="H1976">
        <v>50</v>
      </c>
      <c r="I1976" t="s">
        <v>2</v>
      </c>
      <c r="K1976" s="1" t="s">
        <v>121</v>
      </c>
      <c r="M1976" t="s">
        <v>4</v>
      </c>
    </row>
    <row r="1977" spans="1:13" ht="15.75" customHeight="1" x14ac:dyDescent="0.2">
      <c r="A1977">
        <v>2243860</v>
      </c>
      <c r="B1977" s="9">
        <v>44061</v>
      </c>
      <c r="C1977" s="9">
        <v>44062</v>
      </c>
      <c r="D1977" t="s">
        <v>0</v>
      </c>
      <c r="E1977" t="s">
        <v>55</v>
      </c>
      <c r="F1977">
        <v>15</v>
      </c>
      <c r="G1977" t="s">
        <v>1</v>
      </c>
      <c r="H1977">
        <v>32</v>
      </c>
      <c r="I1977" t="s">
        <v>2</v>
      </c>
      <c r="K1977" s="1" t="s">
        <v>121</v>
      </c>
      <c r="M1977" t="s">
        <v>20</v>
      </c>
    </row>
    <row r="1978" spans="1:13" ht="15.75" customHeight="1" x14ac:dyDescent="0.2">
      <c r="A1978">
        <v>4125523</v>
      </c>
      <c r="B1978" s="9">
        <v>44140</v>
      </c>
      <c r="C1978" s="9">
        <v>44140</v>
      </c>
      <c r="D1978" t="s">
        <v>0</v>
      </c>
      <c r="E1978" t="s">
        <v>26</v>
      </c>
      <c r="F1978">
        <v>4</v>
      </c>
      <c r="G1978" t="s">
        <v>6</v>
      </c>
      <c r="H1978">
        <v>28</v>
      </c>
      <c r="I1978" t="s">
        <v>2</v>
      </c>
      <c r="K1978" s="1" t="s">
        <v>121</v>
      </c>
      <c r="M1978" t="s">
        <v>4</v>
      </c>
    </row>
    <row r="1979" spans="1:13" ht="15.75" customHeight="1" x14ac:dyDescent="0.2">
      <c r="A1979">
        <v>1293994</v>
      </c>
      <c r="B1979" s="9">
        <v>44018</v>
      </c>
      <c r="C1979" s="9">
        <v>44018</v>
      </c>
      <c r="D1979" t="s">
        <v>5</v>
      </c>
      <c r="E1979" t="s">
        <v>97</v>
      </c>
      <c r="F1979"/>
      <c r="G1979" t="s">
        <v>6</v>
      </c>
      <c r="H1979">
        <v>53</v>
      </c>
      <c r="I1979" t="s">
        <v>2</v>
      </c>
      <c r="K1979" s="1" t="s">
        <v>121</v>
      </c>
      <c r="M1979" t="s">
        <v>4</v>
      </c>
    </row>
    <row r="1980" spans="1:13" ht="15.75" customHeight="1" x14ac:dyDescent="0.2">
      <c r="A1980">
        <v>1386038</v>
      </c>
      <c r="B1980" s="9">
        <v>44028</v>
      </c>
      <c r="C1980" s="9">
        <v>44029</v>
      </c>
      <c r="D1980" t="s">
        <v>0</v>
      </c>
      <c r="E1980" t="s">
        <v>38</v>
      </c>
      <c r="F1980">
        <v>12</v>
      </c>
      <c r="G1980" t="s">
        <v>1</v>
      </c>
      <c r="H1980">
        <v>88</v>
      </c>
      <c r="I1980" t="s">
        <v>2</v>
      </c>
      <c r="K1980" s="1" t="s">
        <v>121</v>
      </c>
      <c r="M1980" t="s">
        <v>4</v>
      </c>
    </row>
    <row r="1981" spans="1:13" ht="15.75" customHeight="1" x14ac:dyDescent="0.2">
      <c r="A1981">
        <v>1423905</v>
      </c>
      <c r="B1981" s="9">
        <v>44031</v>
      </c>
      <c r="C1981" s="9">
        <v>44031</v>
      </c>
      <c r="D1981" t="s">
        <v>0</v>
      </c>
      <c r="E1981" t="s">
        <v>16</v>
      </c>
      <c r="F1981">
        <v>15</v>
      </c>
      <c r="G1981" t="s">
        <v>6</v>
      </c>
      <c r="H1981">
        <v>72</v>
      </c>
      <c r="I1981" t="s">
        <v>2</v>
      </c>
      <c r="K1981" s="1" t="s">
        <v>121</v>
      </c>
      <c r="M1981" t="s">
        <v>9</v>
      </c>
    </row>
    <row r="1982" spans="1:13" ht="15.75" customHeight="1" x14ac:dyDescent="0.2">
      <c r="A1982">
        <v>1636325</v>
      </c>
      <c r="B1982" s="9">
        <v>44044</v>
      </c>
      <c r="C1982" s="9">
        <v>44044</v>
      </c>
      <c r="D1982" t="s">
        <v>0</v>
      </c>
      <c r="E1982" t="s">
        <v>36</v>
      </c>
      <c r="F1982">
        <v>1</v>
      </c>
      <c r="G1982" t="s">
        <v>1</v>
      </c>
      <c r="H1982">
        <v>40</v>
      </c>
      <c r="I1982" t="s">
        <v>2</v>
      </c>
      <c r="K1982" s="1" t="s">
        <v>121</v>
      </c>
      <c r="M1982" t="s">
        <v>9</v>
      </c>
    </row>
    <row r="1983" spans="1:13" ht="15.75" customHeight="1" x14ac:dyDescent="0.2">
      <c r="A1983">
        <v>2006070</v>
      </c>
      <c r="B1983" s="9">
        <v>44063</v>
      </c>
      <c r="C1983" s="9">
        <v>44063</v>
      </c>
      <c r="D1983" t="s">
        <v>0</v>
      </c>
      <c r="E1983" t="s">
        <v>18</v>
      </c>
      <c r="F1983">
        <v>8</v>
      </c>
      <c r="G1983" t="s">
        <v>6</v>
      </c>
      <c r="H1983">
        <v>18</v>
      </c>
      <c r="I1983" t="s">
        <v>2</v>
      </c>
      <c r="K1983" s="1" t="s">
        <v>121</v>
      </c>
      <c r="M1983" t="s">
        <v>4</v>
      </c>
    </row>
    <row r="1984" spans="1:13" ht="15.75" customHeight="1" x14ac:dyDescent="0.2">
      <c r="A1984">
        <v>2006138</v>
      </c>
      <c r="B1984" s="9">
        <v>44063</v>
      </c>
      <c r="C1984" s="9">
        <v>44063</v>
      </c>
      <c r="D1984" t="s">
        <v>0</v>
      </c>
      <c r="E1984" t="s">
        <v>18</v>
      </c>
      <c r="F1984">
        <v>8</v>
      </c>
      <c r="G1984" t="s">
        <v>6</v>
      </c>
      <c r="H1984">
        <v>38</v>
      </c>
      <c r="I1984" t="s">
        <v>2</v>
      </c>
      <c r="K1984" s="1" t="s">
        <v>121</v>
      </c>
      <c r="M1984" t="s">
        <v>4</v>
      </c>
    </row>
    <row r="1985" spans="1:13" ht="15.75" customHeight="1" x14ac:dyDescent="0.2">
      <c r="A1985">
        <v>2006140</v>
      </c>
      <c r="B1985" s="9">
        <v>44063</v>
      </c>
      <c r="C1985" s="9">
        <v>44063</v>
      </c>
      <c r="D1985" t="s">
        <v>0</v>
      </c>
      <c r="E1985" t="s">
        <v>39</v>
      </c>
      <c r="F1985">
        <v>8</v>
      </c>
      <c r="G1985" t="s">
        <v>1</v>
      </c>
      <c r="H1985">
        <v>18</v>
      </c>
      <c r="I1985" t="s">
        <v>2</v>
      </c>
      <c r="K1985" s="1" t="s">
        <v>121</v>
      </c>
      <c r="M1985" t="s">
        <v>9</v>
      </c>
    </row>
    <row r="1986" spans="1:13" ht="15.75" customHeight="1" x14ac:dyDescent="0.2">
      <c r="A1986">
        <v>2006149</v>
      </c>
      <c r="B1986" s="9">
        <v>44063</v>
      </c>
      <c r="C1986" s="9">
        <v>44063</v>
      </c>
      <c r="D1986" t="s">
        <v>0</v>
      </c>
      <c r="E1986" t="s">
        <v>27</v>
      </c>
      <c r="F1986">
        <v>4</v>
      </c>
      <c r="G1986" t="s">
        <v>1</v>
      </c>
      <c r="H1986">
        <v>26</v>
      </c>
      <c r="I1986" t="s">
        <v>2</v>
      </c>
      <c r="K1986" s="1" t="s">
        <v>121</v>
      </c>
      <c r="M1986" t="s">
        <v>9</v>
      </c>
    </row>
    <row r="1987" spans="1:13" ht="15.75" customHeight="1" x14ac:dyDescent="0.2">
      <c r="A1987">
        <v>2006189</v>
      </c>
      <c r="B1987" s="9">
        <v>44063</v>
      </c>
      <c r="C1987" s="9">
        <v>44063</v>
      </c>
      <c r="D1987" t="s">
        <v>0</v>
      </c>
      <c r="E1987" t="s">
        <v>18</v>
      </c>
      <c r="F1987">
        <v>8</v>
      </c>
      <c r="G1987" t="s">
        <v>1</v>
      </c>
      <c r="H1987">
        <v>14</v>
      </c>
      <c r="I1987" t="s">
        <v>2</v>
      </c>
      <c r="K1987" s="1" t="s">
        <v>121</v>
      </c>
      <c r="M1987" t="s">
        <v>20</v>
      </c>
    </row>
    <row r="1988" spans="1:13" ht="15.75" customHeight="1" x14ac:dyDescent="0.2">
      <c r="A1988">
        <v>2006223</v>
      </c>
      <c r="B1988" s="9">
        <v>44063</v>
      </c>
      <c r="C1988" s="9">
        <v>44063</v>
      </c>
      <c r="D1988" t="s">
        <v>0</v>
      </c>
      <c r="E1988" t="s">
        <v>27</v>
      </c>
      <c r="F1988">
        <v>4</v>
      </c>
      <c r="G1988" t="s">
        <v>6</v>
      </c>
      <c r="H1988">
        <v>4</v>
      </c>
      <c r="I1988" t="s">
        <v>2</v>
      </c>
      <c r="K1988" s="1" t="s">
        <v>121</v>
      </c>
      <c r="M1988" t="s">
        <v>9</v>
      </c>
    </row>
    <row r="1989" spans="1:13" ht="15.75" customHeight="1" x14ac:dyDescent="0.2">
      <c r="A1989">
        <v>2006453</v>
      </c>
      <c r="B1989" s="9">
        <v>44063</v>
      </c>
      <c r="C1989" s="9">
        <v>44063</v>
      </c>
      <c r="D1989" t="s">
        <v>0</v>
      </c>
      <c r="E1989" t="s">
        <v>39</v>
      </c>
      <c r="F1989">
        <v>8</v>
      </c>
      <c r="G1989" t="s">
        <v>6</v>
      </c>
      <c r="H1989">
        <v>13</v>
      </c>
      <c r="I1989" t="s">
        <v>2</v>
      </c>
      <c r="K1989" s="1" t="s">
        <v>121</v>
      </c>
      <c r="M1989" t="s">
        <v>9</v>
      </c>
    </row>
    <row r="1990" spans="1:13" ht="15.75" customHeight="1" x14ac:dyDescent="0.2">
      <c r="A1990">
        <v>2006485</v>
      </c>
      <c r="B1990" s="9">
        <v>44063</v>
      </c>
      <c r="C1990" s="9">
        <v>44063</v>
      </c>
      <c r="D1990" t="s">
        <v>0</v>
      </c>
      <c r="E1990" t="s">
        <v>39</v>
      </c>
      <c r="F1990">
        <v>8</v>
      </c>
      <c r="G1990" t="s">
        <v>1</v>
      </c>
      <c r="H1990">
        <v>61</v>
      </c>
      <c r="I1990" t="s">
        <v>2</v>
      </c>
      <c r="K1990" s="1" t="s">
        <v>121</v>
      </c>
      <c r="M1990" t="s">
        <v>9</v>
      </c>
    </row>
    <row r="1991" spans="1:13" ht="15.75" customHeight="1" x14ac:dyDescent="0.2">
      <c r="A1991">
        <v>2006539</v>
      </c>
      <c r="B1991" s="9">
        <v>44063</v>
      </c>
      <c r="C1991" s="9">
        <v>44063</v>
      </c>
      <c r="D1991" t="s">
        <v>0</v>
      </c>
      <c r="E1991" t="s">
        <v>45</v>
      </c>
      <c r="F1991">
        <v>4</v>
      </c>
      <c r="G1991" t="s">
        <v>6</v>
      </c>
      <c r="H1991">
        <v>36</v>
      </c>
      <c r="I1991" t="s">
        <v>2</v>
      </c>
      <c r="K1991" s="1" t="s">
        <v>121</v>
      </c>
      <c r="M1991" t="s">
        <v>4</v>
      </c>
    </row>
    <row r="1992" spans="1:13" ht="15.75" customHeight="1" x14ac:dyDescent="0.2">
      <c r="A1992">
        <v>2006554</v>
      </c>
      <c r="B1992" s="9">
        <v>44063</v>
      </c>
      <c r="C1992" s="9">
        <v>44063</v>
      </c>
      <c r="D1992" t="s">
        <v>0</v>
      </c>
      <c r="E1992" t="s">
        <v>18</v>
      </c>
      <c r="F1992">
        <v>8</v>
      </c>
      <c r="G1992" t="s">
        <v>1</v>
      </c>
      <c r="H1992">
        <v>41</v>
      </c>
      <c r="I1992" t="s">
        <v>2</v>
      </c>
      <c r="K1992" s="1" t="s">
        <v>121</v>
      </c>
      <c r="M1992" t="s">
        <v>22</v>
      </c>
    </row>
    <row r="1993" spans="1:13" ht="15.75" customHeight="1" x14ac:dyDescent="0.2">
      <c r="A1993">
        <v>2006634</v>
      </c>
      <c r="B1993" s="9">
        <v>44063</v>
      </c>
      <c r="C1993" s="9">
        <v>44063</v>
      </c>
      <c r="D1993" t="s">
        <v>0</v>
      </c>
      <c r="E1993" t="s">
        <v>45</v>
      </c>
      <c r="F1993">
        <v>4</v>
      </c>
      <c r="G1993" t="s">
        <v>1</v>
      </c>
      <c r="H1993">
        <v>16</v>
      </c>
      <c r="I1993" t="s">
        <v>2</v>
      </c>
      <c r="K1993" s="1" t="s">
        <v>121</v>
      </c>
      <c r="M1993" t="s">
        <v>9</v>
      </c>
    </row>
    <row r="1994" spans="1:13" ht="15.75" customHeight="1" x14ac:dyDescent="0.2">
      <c r="A1994">
        <v>2006724</v>
      </c>
      <c r="B1994" s="9">
        <v>44063</v>
      </c>
      <c r="C1994" s="9">
        <v>44063</v>
      </c>
      <c r="D1994" t="s">
        <v>0</v>
      </c>
      <c r="E1994" t="s">
        <v>27</v>
      </c>
      <c r="F1994">
        <v>4</v>
      </c>
      <c r="G1994" t="s">
        <v>1</v>
      </c>
      <c r="H1994">
        <v>29</v>
      </c>
      <c r="I1994" t="s">
        <v>2</v>
      </c>
      <c r="K1994" s="1" t="s">
        <v>121</v>
      </c>
      <c r="M1994" t="s">
        <v>9</v>
      </c>
    </row>
    <row r="1995" spans="1:13" ht="15.75" customHeight="1" x14ac:dyDescent="0.2">
      <c r="A1995">
        <v>2006740</v>
      </c>
      <c r="B1995" s="9">
        <v>44063</v>
      </c>
      <c r="C1995" s="9">
        <v>44063</v>
      </c>
      <c r="D1995" t="s">
        <v>0</v>
      </c>
      <c r="E1995" t="s">
        <v>18</v>
      </c>
      <c r="F1995">
        <v>8</v>
      </c>
      <c r="G1995" t="s">
        <v>6</v>
      </c>
      <c r="H1995">
        <v>41</v>
      </c>
      <c r="I1995" t="s">
        <v>2</v>
      </c>
      <c r="K1995" s="1" t="s">
        <v>121</v>
      </c>
      <c r="M1995" t="s">
        <v>20</v>
      </c>
    </row>
    <row r="1996" spans="1:13" ht="15.75" customHeight="1" x14ac:dyDescent="0.2">
      <c r="A1996">
        <v>2006779</v>
      </c>
      <c r="B1996" s="9">
        <v>44063</v>
      </c>
      <c r="C1996" s="9">
        <v>44063</v>
      </c>
      <c r="D1996" t="s">
        <v>0</v>
      </c>
      <c r="E1996" t="s">
        <v>16</v>
      </c>
      <c r="F1996">
        <v>15</v>
      </c>
      <c r="G1996" t="s">
        <v>6</v>
      </c>
      <c r="H1996">
        <v>10</v>
      </c>
      <c r="I1996" t="s">
        <v>2</v>
      </c>
      <c r="K1996" s="1" t="s">
        <v>121</v>
      </c>
      <c r="M1996" t="s">
        <v>9</v>
      </c>
    </row>
    <row r="1997" spans="1:13" ht="15.75" customHeight="1" x14ac:dyDescent="0.2">
      <c r="A1997">
        <v>2006817</v>
      </c>
      <c r="B1997" s="9">
        <v>44063</v>
      </c>
      <c r="C1997" s="9">
        <v>44063</v>
      </c>
      <c r="D1997" t="s">
        <v>0</v>
      </c>
      <c r="E1997" t="s">
        <v>27</v>
      </c>
      <c r="F1997">
        <v>4</v>
      </c>
      <c r="G1997" t="s">
        <v>1</v>
      </c>
      <c r="H1997">
        <v>7</v>
      </c>
      <c r="I1997" t="s">
        <v>2</v>
      </c>
      <c r="K1997" s="1" t="s">
        <v>121</v>
      </c>
      <c r="M1997" t="s">
        <v>9</v>
      </c>
    </row>
    <row r="1998" spans="1:13" ht="15.75" customHeight="1" x14ac:dyDescent="0.2">
      <c r="A1998">
        <v>2007118</v>
      </c>
      <c r="B1998" s="9">
        <v>44063</v>
      </c>
      <c r="C1998" s="9">
        <v>44063</v>
      </c>
      <c r="D1998" t="s">
        <v>0</v>
      </c>
      <c r="E1998" t="s">
        <v>13</v>
      </c>
      <c r="F1998">
        <v>2</v>
      </c>
      <c r="G1998" t="s">
        <v>6</v>
      </c>
      <c r="H1998">
        <v>72</v>
      </c>
      <c r="I1998" t="s">
        <v>2</v>
      </c>
      <c r="K1998" s="1" t="s">
        <v>121</v>
      </c>
      <c r="M1998" t="s">
        <v>22</v>
      </c>
    </row>
    <row r="1999" spans="1:13" ht="15.75" customHeight="1" x14ac:dyDescent="0.2">
      <c r="A1999">
        <v>2007194</v>
      </c>
      <c r="B1999" s="9">
        <v>44063</v>
      </c>
      <c r="C1999" s="9">
        <v>44063</v>
      </c>
      <c r="D1999" t="s">
        <v>0</v>
      </c>
      <c r="E1999" t="s">
        <v>10</v>
      </c>
      <c r="F1999">
        <v>5</v>
      </c>
      <c r="G1999" t="s">
        <v>6</v>
      </c>
      <c r="H1999">
        <v>9</v>
      </c>
      <c r="I1999" t="s">
        <v>2</v>
      </c>
      <c r="K1999" s="1" t="s">
        <v>121</v>
      </c>
      <c r="M1999" t="s">
        <v>20</v>
      </c>
    </row>
    <row r="2000" spans="1:13" ht="15.75" customHeight="1" x14ac:dyDescent="0.2">
      <c r="A2000">
        <v>2007670</v>
      </c>
      <c r="B2000" s="9">
        <v>44063</v>
      </c>
      <c r="C2000" s="9">
        <v>44063</v>
      </c>
      <c r="D2000" t="s">
        <v>5</v>
      </c>
      <c r="E2000" s="5" t="s">
        <v>76</v>
      </c>
      <c r="F2000"/>
      <c r="G2000" t="s">
        <v>6</v>
      </c>
      <c r="H2000">
        <v>24</v>
      </c>
      <c r="I2000" t="s">
        <v>2</v>
      </c>
      <c r="K2000" s="1" t="s">
        <v>121</v>
      </c>
      <c r="M2000" t="s">
        <v>20</v>
      </c>
    </row>
    <row r="2001" spans="1:13" ht="15.75" customHeight="1" x14ac:dyDescent="0.2">
      <c r="A2001">
        <v>2007924</v>
      </c>
      <c r="B2001" s="9">
        <v>44063</v>
      </c>
      <c r="C2001" s="9">
        <v>44064</v>
      </c>
      <c r="D2001" t="s">
        <v>0</v>
      </c>
      <c r="E2001" t="s">
        <v>43</v>
      </c>
      <c r="F2001">
        <v>10</v>
      </c>
      <c r="G2001" t="s">
        <v>1</v>
      </c>
      <c r="H2001">
        <v>31</v>
      </c>
      <c r="I2001" t="s">
        <v>2</v>
      </c>
      <c r="K2001" s="1" t="s">
        <v>121</v>
      </c>
      <c r="M2001" t="s">
        <v>4</v>
      </c>
    </row>
    <row r="2002" spans="1:13" ht="15.75" customHeight="1" x14ac:dyDescent="0.2">
      <c r="A2002">
        <v>2008565</v>
      </c>
      <c r="B2002" s="9">
        <v>44063</v>
      </c>
      <c r="C2002" s="9">
        <v>44063</v>
      </c>
      <c r="D2002" t="s">
        <v>0</v>
      </c>
      <c r="E2002" t="s">
        <v>45</v>
      </c>
      <c r="F2002">
        <v>4</v>
      </c>
      <c r="G2002" t="s">
        <v>6</v>
      </c>
      <c r="H2002">
        <v>18</v>
      </c>
      <c r="I2002" t="s">
        <v>2</v>
      </c>
      <c r="K2002" s="1" t="s">
        <v>121</v>
      </c>
      <c r="M2002" t="s">
        <v>9</v>
      </c>
    </row>
    <row r="2003" spans="1:13" ht="15.75" customHeight="1" x14ac:dyDescent="0.2">
      <c r="A2003">
        <v>2008587</v>
      </c>
      <c r="B2003" s="9">
        <v>44063</v>
      </c>
      <c r="C2003" s="9">
        <v>44063</v>
      </c>
      <c r="D2003" t="s">
        <v>5</v>
      </c>
      <c r="E2003" s="5" t="s">
        <v>76</v>
      </c>
      <c r="F2003"/>
      <c r="G2003" t="s">
        <v>1</v>
      </c>
      <c r="H2003">
        <v>63</v>
      </c>
      <c r="I2003" t="s">
        <v>2</v>
      </c>
      <c r="K2003" s="5" t="s">
        <v>121</v>
      </c>
      <c r="M2003" t="s">
        <v>4</v>
      </c>
    </row>
    <row r="2004" spans="1:13" ht="15.75" customHeight="1" x14ac:dyDescent="0.2">
      <c r="A2004">
        <v>2008594</v>
      </c>
      <c r="B2004" s="9">
        <v>44063</v>
      </c>
      <c r="C2004" s="9">
        <v>44063</v>
      </c>
      <c r="D2004" t="s">
        <v>0</v>
      </c>
      <c r="E2004" t="s">
        <v>97</v>
      </c>
      <c r="F2004">
        <v>4</v>
      </c>
      <c r="G2004" t="s">
        <v>6</v>
      </c>
      <c r="H2004">
        <v>3</v>
      </c>
      <c r="I2004" t="s">
        <v>2</v>
      </c>
      <c r="K2004" s="1" t="s">
        <v>121</v>
      </c>
      <c r="M2004" s="5" t="s">
        <v>20</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9509E74-5994-4665-BFA0-745D190A0C02}">
          <x14:formula1>
            <xm:f>'Hoja aux - validacion de datos'!$E$2:$E$3</xm:f>
          </x14:formula1>
          <xm:sqref>G2:G2004</xm:sqref>
        </x14:dataValidation>
        <x14:dataValidation type="list" allowBlank="1" showInputMessage="1" showErrorMessage="1" xr:uid="{C7375340-EBC7-4384-8E99-31A3ABAD76B9}">
          <x14:formula1>
            <xm:f>'Hoja aux - validacion de datos'!$C$2:$C$4</xm:f>
          </x14:formula1>
          <xm:sqref>I2:I2004</xm:sqref>
        </x14:dataValidation>
        <x14:dataValidation type="list" allowBlank="1" showInputMessage="1" showErrorMessage="1" xr:uid="{9020F4F4-FB54-4642-A3BF-D3BE41F569B2}">
          <x14:formula1>
            <xm:f>'Hoja aux - validacion de datos'!$A$2:$A$3</xm:f>
          </x14:formula1>
          <xm:sqref>K2:K2004</xm:sqref>
        </x14:dataValidation>
        <x14:dataValidation type="list" allowBlank="1" showInputMessage="1" showErrorMessage="1" xr:uid="{704B964A-373B-41DD-909A-18C1840E8E23}">
          <x14:formula1>
            <xm:f>'Hoja aux - validacion de datos'!$G$2:$G$5</xm:f>
          </x14:formula1>
          <xm:sqref>M2:M2004</xm:sqref>
        </x14:dataValidation>
        <x14:dataValidation type="list" allowBlank="1" showInputMessage="1" showErrorMessage="1" xr:uid="{26914473-D5AE-417E-A21F-B7951B131FEB}">
          <x14:formula1>
            <xm:f>'Hoja aux - validacion de datos'!$I$2:$I$17</xm:f>
          </x14:formula1>
          <xm:sqref>D2:D2004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771ED-4883-4802-BC03-C2552A1BA8AF}">
  <dimension ref="A1:P67"/>
  <sheetViews>
    <sheetView zoomScaleNormal="100" workbookViewId="0">
      <selection activeCell="N54" sqref="N54:O54"/>
    </sheetView>
  </sheetViews>
  <sheetFormatPr baseColWidth="10" defaultRowHeight="12.75" x14ac:dyDescent="0.2"/>
  <cols>
    <col min="1" max="1" width="29" bestFit="1" customWidth="1"/>
    <col min="2" max="2" width="23" bestFit="1" customWidth="1"/>
    <col min="3" max="3" width="11" bestFit="1" customWidth="1"/>
    <col min="4" max="4" width="11.42578125" bestFit="1" customWidth="1"/>
    <col min="5" max="5" width="13.140625" bestFit="1" customWidth="1"/>
    <col min="6" max="6" width="23" customWidth="1"/>
    <col min="7" max="7" width="17.85546875" bestFit="1" customWidth="1"/>
    <col min="8" max="8" width="25.85546875" bestFit="1" customWidth="1"/>
    <col min="9" max="9" width="4" bestFit="1" customWidth="1"/>
    <col min="10" max="10" width="13.140625" bestFit="1" customWidth="1"/>
    <col min="11" max="11" width="7.42578125" bestFit="1" customWidth="1"/>
    <col min="12" max="12" width="8.7109375" bestFit="1" customWidth="1"/>
    <col min="13" max="13" width="25.85546875" bestFit="1" customWidth="1"/>
    <col min="14" max="14" width="23" bestFit="1" customWidth="1"/>
    <col min="15" max="15" width="4" bestFit="1" customWidth="1"/>
    <col min="16" max="16" width="13.140625" bestFit="1" customWidth="1"/>
    <col min="17" max="17" width="9.5703125" bestFit="1" customWidth="1"/>
    <col min="18" max="18" width="10.28515625" bestFit="1" customWidth="1"/>
    <col min="19" max="19" width="7.5703125" bestFit="1" customWidth="1"/>
    <col min="20" max="20" width="13.140625" bestFit="1" customWidth="1"/>
    <col min="21" max="21" width="9.5703125" bestFit="1" customWidth="1"/>
    <col min="22" max="22" width="8.85546875" bestFit="1" customWidth="1"/>
    <col min="23" max="23" width="9.42578125" bestFit="1" customWidth="1"/>
    <col min="24" max="24" width="13.140625" bestFit="1" customWidth="1"/>
    <col min="25" max="101" width="23" bestFit="1" customWidth="1"/>
    <col min="102" max="102" width="13.140625" bestFit="1" customWidth="1"/>
  </cols>
  <sheetData>
    <row r="1" spans="1:9" x14ac:dyDescent="0.2">
      <c r="A1" s="12" t="s">
        <v>2172</v>
      </c>
      <c r="B1" s="12" t="s">
        <v>2171</v>
      </c>
    </row>
    <row r="2" spans="1:9" x14ac:dyDescent="0.2">
      <c r="A2" s="12" t="s">
        <v>2170</v>
      </c>
      <c r="B2" t="s">
        <v>2</v>
      </c>
      <c r="C2" t="s">
        <v>15</v>
      </c>
      <c r="D2" t="s">
        <v>21</v>
      </c>
      <c r="E2" t="s">
        <v>139</v>
      </c>
      <c r="H2">
        <f>IFERROR(GETPIVOTDATA("Numero de caso",$A$1,"Clasificacion","confirmado"),"0")</f>
        <v>1621</v>
      </c>
      <c r="I2" s="16" t="s">
        <v>2175</v>
      </c>
    </row>
    <row r="3" spans="1:9" x14ac:dyDescent="0.2">
      <c r="A3" s="13" t="s">
        <v>1</v>
      </c>
      <c r="B3">
        <v>777</v>
      </c>
      <c r="C3">
        <v>184</v>
      </c>
      <c r="D3">
        <v>13</v>
      </c>
      <c r="E3">
        <v>974</v>
      </c>
      <c r="H3">
        <f>IFERROR(GETPIVOTDATA("Numero de caso",$A$1,"Clasificacion","descartado"),"0")</f>
        <v>360</v>
      </c>
      <c r="I3" t="s">
        <v>2176</v>
      </c>
    </row>
    <row r="4" spans="1:9" x14ac:dyDescent="0.2">
      <c r="A4" s="13" t="s">
        <v>6</v>
      </c>
      <c r="B4">
        <v>844</v>
      </c>
      <c r="C4">
        <v>176</v>
      </c>
      <c r="D4">
        <v>9</v>
      </c>
      <c r="E4">
        <v>1029</v>
      </c>
      <c r="H4">
        <f>IFERROR(GETPIVOTDATA("Numero de caso",$A$1,"Clasificacion","sospechoso"),"0")</f>
        <v>22</v>
      </c>
      <c r="I4" t="s">
        <v>2177</v>
      </c>
    </row>
    <row r="5" spans="1:9" x14ac:dyDescent="0.2">
      <c r="A5" s="13" t="s">
        <v>139</v>
      </c>
      <c r="B5">
        <v>1621</v>
      </c>
      <c r="C5">
        <v>360</v>
      </c>
      <c r="D5">
        <v>22</v>
      </c>
      <c r="E5">
        <v>2003</v>
      </c>
      <c r="I5" s="16" t="s">
        <v>2175</v>
      </c>
    </row>
    <row r="8" spans="1:9" x14ac:dyDescent="0.2">
      <c r="I8" t="s">
        <v>2178</v>
      </c>
    </row>
    <row r="22" spans="7:14" x14ac:dyDescent="0.2">
      <c r="G22" s="12" t="s">
        <v>2174</v>
      </c>
      <c r="H22" s="12" t="s">
        <v>2171</v>
      </c>
    </row>
    <row r="23" spans="7:14" x14ac:dyDescent="0.2">
      <c r="G23" s="12" t="s">
        <v>2170</v>
      </c>
      <c r="H23" t="s">
        <v>121</v>
      </c>
      <c r="I23" t="s">
        <v>3</v>
      </c>
      <c r="J23" t="s">
        <v>139</v>
      </c>
      <c r="L23" s="16" t="s">
        <v>2204</v>
      </c>
      <c r="M23" s="16" t="s">
        <v>2205</v>
      </c>
      <c r="N23" s="16" t="s">
        <v>2206</v>
      </c>
    </row>
    <row r="24" spans="7:14" x14ac:dyDescent="0.2">
      <c r="G24" s="13" t="s">
        <v>5</v>
      </c>
      <c r="H24">
        <v>606</v>
      </c>
      <c r="I24">
        <v>76</v>
      </c>
      <c r="J24">
        <v>682</v>
      </c>
      <c r="L24">
        <f>IFERROR(GETPIVOTDATA("Numero de caso", $G$23, "Fallecido", "si"),"0")</f>
        <v>317</v>
      </c>
      <c r="M24">
        <f>GETPIVOTDATA("Numero de caso", $G$23)</f>
        <v>2003</v>
      </c>
      <c r="N24" s="72">
        <f>IF(L24="0", "No hay fallecidos", L24/M24)</f>
        <v>0.15826260609086371</v>
      </c>
    </row>
    <row r="25" spans="7:14" x14ac:dyDescent="0.2">
      <c r="G25" s="13" t="s">
        <v>0</v>
      </c>
      <c r="H25">
        <v>1051</v>
      </c>
      <c r="I25">
        <v>240</v>
      </c>
      <c r="J25">
        <v>1291</v>
      </c>
    </row>
    <row r="26" spans="7:14" x14ac:dyDescent="0.2">
      <c r="G26" s="13" t="s">
        <v>72</v>
      </c>
      <c r="H26">
        <v>5</v>
      </c>
      <c r="J26">
        <v>5</v>
      </c>
    </row>
    <row r="27" spans="7:14" x14ac:dyDescent="0.2">
      <c r="G27" s="13" t="s">
        <v>62</v>
      </c>
      <c r="H27">
        <v>2</v>
      </c>
      <c r="J27">
        <v>2</v>
      </c>
      <c r="L27" s="16"/>
    </row>
    <row r="28" spans="7:14" x14ac:dyDescent="0.2">
      <c r="G28" s="13" t="s">
        <v>49</v>
      </c>
      <c r="H28">
        <v>4</v>
      </c>
      <c r="J28">
        <v>4</v>
      </c>
      <c r="L28" s="16"/>
    </row>
    <row r="29" spans="7:14" x14ac:dyDescent="0.2">
      <c r="G29" s="13" t="s">
        <v>63</v>
      </c>
      <c r="H29">
        <v>3</v>
      </c>
      <c r="J29">
        <v>3</v>
      </c>
    </row>
    <row r="30" spans="7:14" x14ac:dyDescent="0.2">
      <c r="G30" s="13" t="s">
        <v>66</v>
      </c>
      <c r="H30">
        <v>1</v>
      </c>
      <c r="J30">
        <v>1</v>
      </c>
    </row>
    <row r="31" spans="7:14" x14ac:dyDescent="0.2">
      <c r="G31" s="13" t="s">
        <v>60</v>
      </c>
      <c r="H31">
        <v>2</v>
      </c>
      <c r="J31">
        <v>2</v>
      </c>
    </row>
    <row r="32" spans="7:14" x14ac:dyDescent="0.2">
      <c r="G32" s="13" t="s">
        <v>57</v>
      </c>
      <c r="H32">
        <v>1</v>
      </c>
      <c r="I32">
        <v>1</v>
      </c>
      <c r="J32">
        <v>2</v>
      </c>
    </row>
    <row r="33" spans="7:16" x14ac:dyDescent="0.2">
      <c r="G33" s="13" t="s">
        <v>64</v>
      </c>
      <c r="H33">
        <v>1</v>
      </c>
      <c r="J33">
        <v>1</v>
      </c>
    </row>
    <row r="34" spans="7:16" x14ac:dyDescent="0.2">
      <c r="G34" s="13" t="s">
        <v>59</v>
      </c>
      <c r="H34">
        <v>3</v>
      </c>
      <c r="J34">
        <v>3</v>
      </c>
    </row>
    <row r="35" spans="7:16" x14ac:dyDescent="0.2">
      <c r="G35" s="13" t="s">
        <v>71</v>
      </c>
      <c r="H35">
        <v>1</v>
      </c>
      <c r="J35">
        <v>1</v>
      </c>
    </row>
    <row r="36" spans="7:16" x14ac:dyDescent="0.2">
      <c r="G36" s="13" t="s">
        <v>68</v>
      </c>
      <c r="H36">
        <v>2</v>
      </c>
      <c r="J36">
        <v>2</v>
      </c>
    </row>
    <row r="37" spans="7:16" x14ac:dyDescent="0.2">
      <c r="G37" s="13" t="s">
        <v>70</v>
      </c>
      <c r="H37">
        <v>1</v>
      </c>
      <c r="J37">
        <v>1</v>
      </c>
    </row>
    <row r="38" spans="7:16" x14ac:dyDescent="0.2">
      <c r="G38" s="13" t="s">
        <v>65</v>
      </c>
      <c r="H38">
        <v>1</v>
      </c>
      <c r="J38">
        <v>1</v>
      </c>
    </row>
    <row r="39" spans="7:16" x14ac:dyDescent="0.2">
      <c r="G39" s="13" t="s">
        <v>67</v>
      </c>
      <c r="H39">
        <v>2</v>
      </c>
      <c r="J39">
        <v>2</v>
      </c>
    </row>
    <row r="40" spans="7:16" x14ac:dyDescent="0.2">
      <c r="G40" s="13" t="s">
        <v>139</v>
      </c>
      <c r="H40">
        <v>1686</v>
      </c>
      <c r="I40">
        <v>317</v>
      </c>
      <c r="J40">
        <v>2003</v>
      </c>
    </row>
    <row r="44" spans="7:16" x14ac:dyDescent="0.2">
      <c r="G44" s="12" t="s">
        <v>2170</v>
      </c>
      <c r="H44" t="s">
        <v>2174</v>
      </c>
    </row>
    <row r="45" spans="7:16" x14ac:dyDescent="0.2">
      <c r="G45" s="13" t="s">
        <v>5</v>
      </c>
      <c r="H45">
        <v>682</v>
      </c>
      <c r="M45" s="12" t="s">
        <v>2174</v>
      </c>
      <c r="N45" s="12" t="s">
        <v>2171</v>
      </c>
    </row>
    <row r="46" spans="7:16" x14ac:dyDescent="0.2">
      <c r="G46" s="13" t="s">
        <v>0</v>
      </c>
      <c r="H46">
        <v>1291</v>
      </c>
      <c r="M46" s="12" t="s">
        <v>2170</v>
      </c>
      <c r="N46" t="s">
        <v>121</v>
      </c>
      <c r="O46" t="s">
        <v>3</v>
      </c>
      <c r="P46" t="s">
        <v>139</v>
      </c>
    </row>
    <row r="47" spans="7:16" x14ac:dyDescent="0.2">
      <c r="G47" s="13" t="s">
        <v>72</v>
      </c>
      <c r="H47">
        <v>5</v>
      </c>
      <c r="M47" s="13" t="s">
        <v>2213</v>
      </c>
      <c r="N47">
        <v>1678</v>
      </c>
      <c r="O47">
        <v>312</v>
      </c>
      <c r="P47">
        <v>1990</v>
      </c>
    </row>
    <row r="48" spans="7:16" x14ac:dyDescent="0.2">
      <c r="G48" s="13" t="s">
        <v>62</v>
      </c>
      <c r="H48">
        <v>2</v>
      </c>
      <c r="M48" s="89" t="s">
        <v>2216</v>
      </c>
      <c r="N48">
        <v>1</v>
      </c>
      <c r="P48">
        <v>1</v>
      </c>
    </row>
    <row r="49" spans="7:16" x14ac:dyDescent="0.2">
      <c r="G49" s="13" t="s">
        <v>49</v>
      </c>
      <c r="H49">
        <v>4</v>
      </c>
      <c r="M49" s="89" t="s">
        <v>2217</v>
      </c>
      <c r="N49">
        <v>3</v>
      </c>
      <c r="O49">
        <v>1</v>
      </c>
      <c r="P49">
        <v>4</v>
      </c>
    </row>
    <row r="50" spans="7:16" x14ac:dyDescent="0.2">
      <c r="G50" s="13" t="s">
        <v>63</v>
      </c>
      <c r="H50">
        <v>3</v>
      </c>
      <c r="M50" s="89" t="s">
        <v>2218</v>
      </c>
      <c r="N50">
        <v>17</v>
      </c>
      <c r="O50">
        <v>7</v>
      </c>
      <c r="P50">
        <v>24</v>
      </c>
    </row>
    <row r="51" spans="7:16" x14ac:dyDescent="0.2">
      <c r="G51" s="13" t="s">
        <v>66</v>
      </c>
      <c r="H51">
        <v>1</v>
      </c>
      <c r="M51" s="89" t="s">
        <v>2219</v>
      </c>
      <c r="N51">
        <v>27</v>
      </c>
      <c r="O51">
        <v>8</v>
      </c>
      <c r="P51">
        <v>35</v>
      </c>
    </row>
    <row r="52" spans="7:16" x14ac:dyDescent="0.2">
      <c r="G52" s="13" t="s">
        <v>60</v>
      </c>
      <c r="H52">
        <v>2</v>
      </c>
      <c r="M52" s="89" t="s">
        <v>2220</v>
      </c>
      <c r="N52">
        <v>48</v>
      </c>
      <c r="O52">
        <v>34</v>
      </c>
      <c r="P52">
        <v>82</v>
      </c>
    </row>
    <row r="53" spans="7:16" x14ac:dyDescent="0.2">
      <c r="G53" s="13" t="s">
        <v>57</v>
      </c>
      <c r="H53">
        <v>2</v>
      </c>
      <c r="M53" s="89" t="s">
        <v>2221</v>
      </c>
      <c r="N53">
        <v>408</v>
      </c>
      <c r="O53">
        <v>82</v>
      </c>
      <c r="P53">
        <v>490</v>
      </c>
    </row>
    <row r="54" spans="7:16" x14ac:dyDescent="0.2">
      <c r="G54" s="13" t="s">
        <v>64</v>
      </c>
      <c r="H54">
        <v>1</v>
      </c>
      <c r="M54" s="89" t="s">
        <v>2222</v>
      </c>
      <c r="N54">
        <v>379</v>
      </c>
      <c r="O54">
        <v>69</v>
      </c>
      <c r="P54">
        <v>448</v>
      </c>
    </row>
    <row r="55" spans="7:16" x14ac:dyDescent="0.2">
      <c r="G55" s="13" t="s">
        <v>59</v>
      </c>
      <c r="H55">
        <v>3</v>
      </c>
      <c r="M55" s="89" t="s">
        <v>2223</v>
      </c>
      <c r="N55">
        <v>493</v>
      </c>
      <c r="O55">
        <v>49</v>
      </c>
      <c r="P55">
        <v>542</v>
      </c>
    </row>
    <row r="56" spans="7:16" x14ac:dyDescent="0.2">
      <c r="G56" s="13" t="s">
        <v>71</v>
      </c>
      <c r="H56">
        <v>1</v>
      </c>
      <c r="M56" s="89" t="s">
        <v>2224</v>
      </c>
      <c r="N56">
        <v>104</v>
      </c>
      <c r="O56">
        <v>28</v>
      </c>
      <c r="P56">
        <v>132</v>
      </c>
    </row>
    <row r="57" spans="7:16" x14ac:dyDescent="0.2">
      <c r="G57" s="13" t="s">
        <v>68</v>
      </c>
      <c r="H57">
        <v>2</v>
      </c>
      <c r="M57" s="89" t="s">
        <v>2225</v>
      </c>
      <c r="N57">
        <v>89</v>
      </c>
      <c r="O57">
        <v>17</v>
      </c>
      <c r="P57">
        <v>106</v>
      </c>
    </row>
    <row r="58" spans="7:16" x14ac:dyDescent="0.2">
      <c r="G58" s="13" t="s">
        <v>70</v>
      </c>
      <c r="H58">
        <v>1</v>
      </c>
      <c r="M58" s="89" t="s">
        <v>2226</v>
      </c>
      <c r="N58">
        <v>109</v>
      </c>
      <c r="O58">
        <v>17</v>
      </c>
      <c r="P58">
        <v>126</v>
      </c>
    </row>
    <row r="59" spans="7:16" x14ac:dyDescent="0.2">
      <c r="G59" s="13" t="s">
        <v>65</v>
      </c>
      <c r="H59">
        <v>1</v>
      </c>
      <c r="M59" s="13" t="s">
        <v>2214</v>
      </c>
      <c r="N59">
        <v>7</v>
      </c>
      <c r="O59">
        <v>5</v>
      </c>
      <c r="P59">
        <v>12</v>
      </c>
    </row>
    <row r="60" spans="7:16" x14ac:dyDescent="0.2">
      <c r="G60" s="13" t="s">
        <v>67</v>
      </c>
      <c r="H60">
        <v>2</v>
      </c>
      <c r="M60" s="89" t="s">
        <v>2216</v>
      </c>
      <c r="N60">
        <v>3</v>
      </c>
      <c r="O60">
        <v>2</v>
      </c>
      <c r="P60">
        <v>5</v>
      </c>
    </row>
    <row r="61" spans="7:16" x14ac:dyDescent="0.2">
      <c r="G61" s="13" t="s">
        <v>139</v>
      </c>
      <c r="H61">
        <v>2003</v>
      </c>
      <c r="M61" s="89" t="s">
        <v>2217</v>
      </c>
      <c r="N61">
        <v>2</v>
      </c>
      <c r="P61">
        <v>2</v>
      </c>
    </row>
    <row r="62" spans="7:16" x14ac:dyDescent="0.2">
      <c r="M62" s="89" t="s">
        <v>2218</v>
      </c>
      <c r="N62">
        <v>1</v>
      </c>
      <c r="O62">
        <v>1</v>
      </c>
      <c r="P62">
        <v>2</v>
      </c>
    </row>
    <row r="63" spans="7:16" x14ac:dyDescent="0.2">
      <c r="M63" s="89" t="s">
        <v>2219</v>
      </c>
      <c r="O63">
        <v>2</v>
      </c>
      <c r="P63">
        <v>2</v>
      </c>
    </row>
    <row r="64" spans="7:16" x14ac:dyDescent="0.2">
      <c r="M64" s="89" t="s">
        <v>2226</v>
      </c>
      <c r="N64">
        <v>1</v>
      </c>
      <c r="P64">
        <v>1</v>
      </c>
    </row>
    <row r="65" spans="13:16" x14ac:dyDescent="0.2">
      <c r="M65" s="13" t="s">
        <v>2215</v>
      </c>
      <c r="N65">
        <v>1</v>
      </c>
      <c r="P65">
        <v>1</v>
      </c>
    </row>
    <row r="66" spans="13:16" x14ac:dyDescent="0.2">
      <c r="M66" s="89" t="s">
        <v>2216</v>
      </c>
      <c r="N66">
        <v>1</v>
      </c>
      <c r="P66">
        <v>1</v>
      </c>
    </row>
    <row r="67" spans="13:16" x14ac:dyDescent="0.2">
      <c r="M67" s="13" t="s">
        <v>139</v>
      </c>
      <c r="N67">
        <v>1686</v>
      </c>
      <c r="O67">
        <v>317</v>
      </c>
      <c r="P67">
        <v>2003</v>
      </c>
    </row>
  </sheetData>
  <pageMargins left="0.7" right="0.7" top="0.75" bottom="0.75" header="0.3" footer="0.3"/>
  <pageSetup orientation="portrait" verticalDpi="0"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CA59E-B522-43E1-B341-65828FF04438}">
  <dimension ref="A1:M2004"/>
  <sheetViews>
    <sheetView topLeftCell="A2" workbookViewId="0">
      <selection activeCell="E36" sqref="E36"/>
    </sheetView>
  </sheetViews>
  <sheetFormatPr baseColWidth="10" defaultRowHeight="12.75" x14ac:dyDescent="0.2"/>
  <cols>
    <col min="1" max="1" width="18" style="1" bestFit="1" customWidth="1"/>
    <col min="2" max="2" width="22" style="1" bestFit="1" customWidth="1"/>
    <col min="3" max="3" width="20.85546875" style="1" bestFit="1" customWidth="1"/>
    <col min="4" max="4" width="12.140625" style="1" bestFit="1" customWidth="1"/>
    <col min="5" max="5" width="25.42578125" style="1" bestFit="1" customWidth="1"/>
    <col min="6" max="6" width="10.85546875" style="1" bestFit="1" customWidth="1"/>
    <col min="7" max="7" width="10" style="1" bestFit="1" customWidth="1"/>
    <col min="8" max="8" width="7.85546875" style="1" bestFit="1" customWidth="1"/>
    <col min="9" max="9" width="14.85546875" style="1" bestFit="1" customWidth="1"/>
    <col min="10" max="10" width="24.42578125" style="1" customWidth="1"/>
    <col min="11" max="11" width="11.7109375" style="1" bestFit="1" customWidth="1"/>
    <col min="12" max="12" width="15.7109375" style="1" bestFit="1" customWidth="1"/>
    <col min="13" max="13" width="19.5703125" style="1" bestFit="1" customWidth="1"/>
  </cols>
  <sheetData>
    <row r="1" spans="1:13" x14ac:dyDescent="0.2">
      <c r="A1" t="s">
        <v>141</v>
      </c>
      <c r="B1"/>
      <c r="C1"/>
      <c r="D1"/>
      <c r="E1"/>
      <c r="F1"/>
      <c r="G1"/>
      <c r="H1"/>
      <c r="I1"/>
      <c r="J1"/>
      <c r="K1"/>
      <c r="L1"/>
      <c r="M1"/>
    </row>
    <row r="2" spans="1:13" x14ac:dyDescent="0.2">
      <c r="A2" t="s">
        <v>142</v>
      </c>
      <c r="B2"/>
      <c r="C2"/>
      <c r="D2"/>
      <c r="E2"/>
      <c r="F2"/>
      <c r="G2"/>
      <c r="H2"/>
      <c r="I2"/>
      <c r="J2"/>
      <c r="K2"/>
      <c r="L2"/>
      <c r="M2"/>
    </row>
    <row r="3" spans="1:13" x14ac:dyDescent="0.2">
      <c r="A3" t="s">
        <v>143</v>
      </c>
      <c r="B3"/>
      <c r="C3"/>
      <c r="D3"/>
      <c r="E3"/>
      <c r="F3"/>
      <c r="G3"/>
      <c r="H3"/>
      <c r="I3"/>
      <c r="J3"/>
      <c r="K3"/>
      <c r="L3"/>
      <c r="M3"/>
    </row>
    <row r="4" spans="1:13" x14ac:dyDescent="0.2">
      <c r="A4" t="s">
        <v>144</v>
      </c>
      <c r="B4"/>
      <c r="C4"/>
      <c r="D4"/>
      <c r="E4"/>
      <c r="F4"/>
      <c r="G4"/>
      <c r="H4"/>
      <c r="I4"/>
      <c r="J4"/>
      <c r="K4"/>
      <c r="L4"/>
      <c r="M4"/>
    </row>
    <row r="5" spans="1:13" x14ac:dyDescent="0.2">
      <c r="A5" t="s">
        <v>145</v>
      </c>
      <c r="B5"/>
      <c r="C5"/>
      <c r="D5"/>
      <c r="E5"/>
      <c r="F5"/>
      <c r="G5"/>
      <c r="H5"/>
      <c r="I5"/>
      <c r="J5"/>
      <c r="K5"/>
      <c r="L5"/>
      <c r="M5"/>
    </row>
    <row r="6" spans="1:13" x14ac:dyDescent="0.2">
      <c r="A6" t="s">
        <v>146</v>
      </c>
      <c r="B6"/>
      <c r="C6"/>
      <c r="D6"/>
      <c r="E6"/>
      <c r="F6"/>
      <c r="G6"/>
      <c r="H6"/>
      <c r="I6"/>
      <c r="J6"/>
      <c r="K6"/>
      <c r="L6"/>
      <c r="M6"/>
    </row>
    <row r="7" spans="1:13" x14ac:dyDescent="0.2">
      <c r="A7" t="s">
        <v>147</v>
      </c>
      <c r="B7"/>
      <c r="C7"/>
      <c r="D7"/>
      <c r="E7"/>
      <c r="F7"/>
      <c r="G7"/>
      <c r="H7"/>
      <c r="I7"/>
      <c r="J7"/>
      <c r="K7"/>
      <c r="L7"/>
      <c r="M7"/>
    </row>
    <row r="8" spans="1:13" x14ac:dyDescent="0.2">
      <c r="A8" t="s">
        <v>148</v>
      </c>
      <c r="B8"/>
      <c r="C8"/>
      <c r="D8"/>
      <c r="E8"/>
      <c r="F8"/>
      <c r="G8"/>
      <c r="H8"/>
      <c r="I8"/>
      <c r="J8"/>
      <c r="K8"/>
      <c r="L8"/>
      <c r="M8"/>
    </row>
    <row r="9" spans="1:13" x14ac:dyDescent="0.2">
      <c r="A9" t="s">
        <v>149</v>
      </c>
      <c r="B9"/>
      <c r="C9"/>
      <c r="D9"/>
      <c r="E9"/>
      <c r="F9"/>
      <c r="G9"/>
      <c r="H9"/>
      <c r="I9"/>
      <c r="J9"/>
      <c r="K9"/>
      <c r="L9"/>
      <c r="M9"/>
    </row>
    <row r="10" spans="1:13" x14ac:dyDescent="0.2">
      <c r="A10" t="s">
        <v>150</v>
      </c>
      <c r="B10"/>
      <c r="C10"/>
      <c r="D10"/>
      <c r="E10"/>
      <c r="F10"/>
      <c r="G10"/>
      <c r="H10"/>
      <c r="I10"/>
      <c r="J10"/>
      <c r="K10"/>
      <c r="L10"/>
      <c r="M10"/>
    </row>
    <row r="11" spans="1:13" x14ac:dyDescent="0.2">
      <c r="A11" t="s">
        <v>151</v>
      </c>
      <c r="B11"/>
      <c r="C11"/>
      <c r="D11"/>
      <c r="E11"/>
      <c r="F11"/>
      <c r="G11"/>
      <c r="H11"/>
      <c r="I11"/>
      <c r="J11"/>
      <c r="K11"/>
      <c r="L11"/>
      <c r="M11"/>
    </row>
    <row r="12" spans="1:13" x14ac:dyDescent="0.2">
      <c r="A12" t="s">
        <v>152</v>
      </c>
      <c r="B12"/>
      <c r="C12"/>
      <c r="D12"/>
      <c r="E12"/>
      <c r="F12"/>
      <c r="G12"/>
      <c r="H12"/>
      <c r="I12"/>
      <c r="J12"/>
      <c r="K12"/>
      <c r="L12"/>
      <c r="M12"/>
    </row>
    <row r="13" spans="1:13" x14ac:dyDescent="0.2">
      <c r="A13" t="s">
        <v>153</v>
      </c>
      <c r="B13"/>
      <c r="C13"/>
      <c r="D13"/>
      <c r="E13"/>
      <c r="F13"/>
      <c r="G13"/>
      <c r="H13"/>
      <c r="I13"/>
      <c r="J13"/>
      <c r="K13"/>
      <c r="L13"/>
      <c r="M13"/>
    </row>
    <row r="14" spans="1:13" x14ac:dyDescent="0.2">
      <c r="A14" t="s">
        <v>154</v>
      </c>
      <c r="B14"/>
      <c r="C14"/>
      <c r="D14"/>
      <c r="E14"/>
      <c r="F14"/>
      <c r="G14"/>
      <c r="H14"/>
      <c r="I14"/>
      <c r="J14"/>
      <c r="K14"/>
      <c r="L14"/>
      <c r="M14"/>
    </row>
    <row r="15" spans="1:13" x14ac:dyDescent="0.2">
      <c r="A15" t="s">
        <v>155</v>
      </c>
      <c r="B15"/>
      <c r="C15"/>
      <c r="D15"/>
      <c r="E15"/>
      <c r="F15"/>
      <c r="G15"/>
      <c r="H15"/>
      <c r="I15"/>
      <c r="J15"/>
      <c r="K15"/>
      <c r="L15"/>
      <c r="M15"/>
    </row>
    <row r="16" spans="1:13" x14ac:dyDescent="0.2">
      <c r="A16" t="s">
        <v>156</v>
      </c>
      <c r="B16"/>
      <c r="C16"/>
      <c r="D16"/>
      <c r="E16"/>
      <c r="F16"/>
      <c r="G16"/>
      <c r="H16"/>
      <c r="I16"/>
      <c r="J16"/>
      <c r="K16"/>
      <c r="L16"/>
      <c r="M16"/>
    </row>
    <row r="17" spans="1:13" x14ac:dyDescent="0.2">
      <c r="A17" t="s">
        <v>157</v>
      </c>
      <c r="B17"/>
      <c r="C17"/>
      <c r="D17"/>
      <c r="E17"/>
      <c r="F17"/>
      <c r="G17"/>
      <c r="H17"/>
      <c r="I17"/>
      <c r="J17"/>
      <c r="K17"/>
      <c r="L17"/>
      <c r="M17"/>
    </row>
    <row r="18" spans="1:13" x14ac:dyDescent="0.2">
      <c r="A18" t="s">
        <v>158</v>
      </c>
      <c r="B18"/>
      <c r="C18"/>
      <c r="D18"/>
      <c r="E18"/>
      <c r="F18"/>
      <c r="G18"/>
      <c r="H18"/>
      <c r="I18"/>
      <c r="J18"/>
      <c r="K18"/>
      <c r="L18"/>
      <c r="M18"/>
    </row>
    <row r="19" spans="1:13" x14ac:dyDescent="0.2">
      <c r="A19" t="s">
        <v>159</v>
      </c>
      <c r="B19"/>
      <c r="C19"/>
      <c r="D19"/>
      <c r="E19"/>
      <c r="F19"/>
      <c r="G19"/>
      <c r="H19"/>
      <c r="I19"/>
      <c r="J19"/>
      <c r="K19"/>
      <c r="L19"/>
      <c r="M19"/>
    </row>
    <row r="20" spans="1:13" x14ac:dyDescent="0.2">
      <c r="A20" t="s">
        <v>160</v>
      </c>
      <c r="B20"/>
      <c r="C20"/>
      <c r="D20"/>
      <c r="E20"/>
      <c r="F20"/>
      <c r="G20"/>
      <c r="H20"/>
      <c r="I20"/>
      <c r="J20"/>
      <c r="K20"/>
      <c r="L20"/>
      <c r="M20"/>
    </row>
    <row r="21" spans="1:13" x14ac:dyDescent="0.2">
      <c r="A21" t="s">
        <v>161</v>
      </c>
      <c r="B21"/>
      <c r="C21"/>
      <c r="D21"/>
      <c r="E21"/>
      <c r="F21"/>
      <c r="G21"/>
      <c r="H21"/>
      <c r="I21"/>
      <c r="J21"/>
      <c r="K21"/>
      <c r="L21"/>
      <c r="M21"/>
    </row>
    <row r="22" spans="1:13" x14ac:dyDescent="0.2">
      <c r="A22" t="s">
        <v>162</v>
      </c>
      <c r="B22"/>
      <c r="C22"/>
      <c r="D22"/>
      <c r="E22"/>
      <c r="F22"/>
      <c r="G22"/>
      <c r="H22"/>
      <c r="I22"/>
      <c r="J22"/>
      <c r="K22"/>
      <c r="L22"/>
      <c r="M22"/>
    </row>
    <row r="23" spans="1:13" x14ac:dyDescent="0.2">
      <c r="A23" t="s">
        <v>163</v>
      </c>
      <c r="B23"/>
      <c r="C23"/>
      <c r="D23"/>
      <c r="E23"/>
      <c r="F23"/>
      <c r="G23"/>
      <c r="H23"/>
      <c r="I23"/>
      <c r="J23"/>
      <c r="K23"/>
      <c r="L23"/>
      <c r="M23"/>
    </row>
    <row r="24" spans="1:13" x14ac:dyDescent="0.2">
      <c r="A24" t="s">
        <v>164</v>
      </c>
      <c r="B24"/>
      <c r="C24"/>
      <c r="D24"/>
      <c r="E24"/>
      <c r="F24"/>
      <c r="G24"/>
      <c r="H24"/>
      <c r="I24"/>
      <c r="J24"/>
      <c r="K24"/>
      <c r="L24"/>
      <c r="M24"/>
    </row>
    <row r="25" spans="1:13" x14ac:dyDescent="0.2">
      <c r="A25" t="s">
        <v>165</v>
      </c>
      <c r="B25"/>
      <c r="C25"/>
      <c r="D25"/>
      <c r="E25"/>
      <c r="F25"/>
      <c r="G25"/>
      <c r="H25"/>
      <c r="I25"/>
      <c r="J25"/>
      <c r="K25"/>
      <c r="L25"/>
      <c r="M25"/>
    </row>
    <row r="26" spans="1:13" x14ac:dyDescent="0.2">
      <c r="A26" t="s">
        <v>166</v>
      </c>
      <c r="B26"/>
      <c r="C26"/>
      <c r="D26"/>
      <c r="E26"/>
      <c r="F26"/>
      <c r="G26"/>
      <c r="H26"/>
      <c r="I26"/>
      <c r="J26"/>
      <c r="K26"/>
      <c r="L26"/>
      <c r="M26"/>
    </row>
    <row r="27" spans="1:13" x14ac:dyDescent="0.2">
      <c r="A27" t="s">
        <v>167</v>
      </c>
      <c r="B27"/>
      <c r="C27"/>
      <c r="D27"/>
      <c r="E27"/>
      <c r="F27"/>
      <c r="G27"/>
      <c r="H27"/>
      <c r="I27"/>
      <c r="J27"/>
      <c r="K27"/>
      <c r="L27"/>
      <c r="M27"/>
    </row>
    <row r="28" spans="1:13" x14ac:dyDescent="0.2">
      <c r="A28" t="s">
        <v>168</v>
      </c>
      <c r="B28"/>
      <c r="C28"/>
      <c r="D28"/>
      <c r="E28"/>
      <c r="F28"/>
      <c r="G28"/>
      <c r="H28"/>
      <c r="I28"/>
      <c r="J28"/>
      <c r="K28"/>
      <c r="L28"/>
      <c r="M28"/>
    </row>
    <row r="29" spans="1:13" x14ac:dyDescent="0.2">
      <c r="A29" t="s">
        <v>169</v>
      </c>
      <c r="B29"/>
      <c r="C29"/>
      <c r="D29"/>
      <c r="E29"/>
      <c r="F29"/>
      <c r="G29"/>
      <c r="H29"/>
      <c r="I29"/>
      <c r="J29"/>
      <c r="K29"/>
      <c r="L29"/>
      <c r="M29"/>
    </row>
    <row r="30" spans="1:13" x14ac:dyDescent="0.2">
      <c r="A30" t="s">
        <v>170</v>
      </c>
      <c r="B30"/>
      <c r="C30"/>
      <c r="D30"/>
      <c r="E30"/>
      <c r="F30"/>
      <c r="G30"/>
      <c r="H30"/>
      <c r="I30"/>
      <c r="J30"/>
      <c r="K30"/>
      <c r="L30"/>
      <c r="M30"/>
    </row>
    <row r="31" spans="1:13" x14ac:dyDescent="0.2">
      <c r="A31" t="s">
        <v>171</v>
      </c>
      <c r="B31"/>
      <c r="C31"/>
      <c r="D31"/>
      <c r="E31"/>
      <c r="F31"/>
      <c r="G31"/>
      <c r="H31"/>
      <c r="I31"/>
      <c r="J31"/>
      <c r="K31"/>
      <c r="L31"/>
      <c r="M31"/>
    </row>
    <row r="32" spans="1:13" x14ac:dyDescent="0.2">
      <c r="A32" t="s">
        <v>172</v>
      </c>
      <c r="B32"/>
      <c r="C32"/>
      <c r="D32"/>
      <c r="E32"/>
      <c r="F32"/>
      <c r="G32"/>
      <c r="H32"/>
      <c r="I32"/>
      <c r="J32"/>
      <c r="K32"/>
      <c r="L32"/>
      <c r="M32"/>
    </row>
    <row r="33" spans="1:13" x14ac:dyDescent="0.2">
      <c r="A33" t="s">
        <v>173</v>
      </c>
      <c r="B33"/>
      <c r="C33"/>
      <c r="D33"/>
      <c r="E33"/>
      <c r="F33"/>
      <c r="G33"/>
      <c r="H33"/>
      <c r="I33"/>
      <c r="J33"/>
      <c r="K33"/>
      <c r="L33"/>
      <c r="M33"/>
    </row>
    <row r="34" spans="1:13" x14ac:dyDescent="0.2">
      <c r="A34" t="s">
        <v>174</v>
      </c>
      <c r="B34"/>
      <c r="C34"/>
      <c r="D34"/>
      <c r="E34"/>
      <c r="F34"/>
      <c r="G34"/>
      <c r="H34"/>
      <c r="I34"/>
      <c r="J34"/>
      <c r="K34"/>
      <c r="L34"/>
      <c r="M34"/>
    </row>
    <row r="35" spans="1:13" x14ac:dyDescent="0.2">
      <c r="A35" t="s">
        <v>175</v>
      </c>
      <c r="B35"/>
      <c r="C35"/>
      <c r="D35"/>
      <c r="E35"/>
      <c r="F35"/>
      <c r="G35"/>
      <c r="H35"/>
      <c r="I35"/>
      <c r="J35"/>
      <c r="K35"/>
      <c r="L35"/>
      <c r="M35"/>
    </row>
    <row r="36" spans="1:13" x14ac:dyDescent="0.2">
      <c r="A36" t="s">
        <v>176</v>
      </c>
      <c r="B36"/>
      <c r="C36"/>
      <c r="D36"/>
      <c r="E36"/>
      <c r="F36"/>
      <c r="G36"/>
      <c r="H36"/>
      <c r="I36"/>
      <c r="J36"/>
      <c r="K36"/>
      <c r="L36"/>
      <c r="M36"/>
    </row>
    <row r="37" spans="1:13" x14ac:dyDescent="0.2">
      <c r="A37" t="s">
        <v>177</v>
      </c>
      <c r="B37"/>
      <c r="C37"/>
      <c r="D37"/>
      <c r="E37"/>
      <c r="F37"/>
      <c r="G37"/>
      <c r="H37"/>
      <c r="I37"/>
      <c r="J37"/>
      <c r="K37"/>
      <c r="L37"/>
      <c r="M37"/>
    </row>
    <row r="38" spans="1:13" x14ac:dyDescent="0.2">
      <c r="A38" t="s">
        <v>178</v>
      </c>
      <c r="B38"/>
      <c r="C38"/>
      <c r="D38"/>
      <c r="E38"/>
      <c r="F38"/>
      <c r="G38"/>
      <c r="H38"/>
      <c r="I38"/>
      <c r="J38"/>
      <c r="K38"/>
      <c r="L38"/>
      <c r="M38"/>
    </row>
    <row r="39" spans="1:13" x14ac:dyDescent="0.2">
      <c r="A39" t="s">
        <v>179</v>
      </c>
      <c r="B39"/>
      <c r="C39"/>
      <c r="D39"/>
      <c r="E39"/>
      <c r="F39"/>
      <c r="G39"/>
      <c r="H39"/>
      <c r="I39"/>
      <c r="J39"/>
      <c r="K39"/>
      <c r="L39"/>
      <c r="M39"/>
    </row>
    <row r="40" spans="1:13" x14ac:dyDescent="0.2">
      <c r="A40" t="s">
        <v>180</v>
      </c>
      <c r="B40"/>
      <c r="C40"/>
      <c r="D40"/>
      <c r="E40"/>
      <c r="F40"/>
      <c r="G40"/>
      <c r="H40"/>
      <c r="I40"/>
      <c r="J40"/>
      <c r="K40"/>
      <c r="L40"/>
      <c r="M40"/>
    </row>
    <row r="41" spans="1:13" x14ac:dyDescent="0.2">
      <c r="A41" t="s">
        <v>181</v>
      </c>
      <c r="B41"/>
      <c r="C41"/>
      <c r="D41"/>
      <c r="E41"/>
      <c r="F41"/>
      <c r="G41"/>
      <c r="H41"/>
      <c r="I41"/>
      <c r="J41"/>
      <c r="K41"/>
      <c r="L41"/>
      <c r="M41"/>
    </row>
    <row r="42" spans="1:13" x14ac:dyDescent="0.2">
      <c r="A42" t="s">
        <v>182</v>
      </c>
      <c r="B42"/>
      <c r="C42"/>
      <c r="D42"/>
      <c r="E42"/>
      <c r="F42"/>
      <c r="G42"/>
      <c r="H42"/>
      <c r="I42"/>
      <c r="J42"/>
      <c r="K42"/>
      <c r="L42"/>
      <c r="M42"/>
    </row>
    <row r="43" spans="1:13" x14ac:dyDescent="0.2">
      <c r="A43" t="s">
        <v>183</v>
      </c>
      <c r="B43"/>
      <c r="C43"/>
      <c r="D43"/>
      <c r="E43"/>
      <c r="F43"/>
      <c r="G43"/>
      <c r="H43"/>
      <c r="I43"/>
      <c r="J43"/>
      <c r="K43"/>
      <c r="L43"/>
      <c r="M43"/>
    </row>
    <row r="44" spans="1:13" x14ac:dyDescent="0.2">
      <c r="A44" t="s">
        <v>184</v>
      </c>
      <c r="B44"/>
      <c r="C44"/>
      <c r="D44"/>
      <c r="E44"/>
      <c r="F44"/>
      <c r="G44"/>
      <c r="H44"/>
      <c r="I44"/>
      <c r="J44"/>
      <c r="K44"/>
      <c r="L44"/>
      <c r="M44"/>
    </row>
    <row r="45" spans="1:13" x14ac:dyDescent="0.2">
      <c r="A45" t="s">
        <v>185</v>
      </c>
      <c r="B45"/>
      <c r="C45"/>
      <c r="D45"/>
      <c r="E45"/>
      <c r="F45"/>
      <c r="G45"/>
      <c r="H45"/>
      <c r="I45"/>
      <c r="J45"/>
      <c r="K45"/>
      <c r="L45"/>
      <c r="M45"/>
    </row>
    <row r="46" spans="1:13" x14ac:dyDescent="0.2">
      <c r="A46" t="s">
        <v>186</v>
      </c>
      <c r="B46"/>
      <c r="C46"/>
      <c r="D46"/>
      <c r="E46"/>
      <c r="F46"/>
      <c r="G46"/>
      <c r="H46"/>
      <c r="I46"/>
      <c r="J46"/>
      <c r="K46"/>
      <c r="L46"/>
      <c r="M46"/>
    </row>
    <row r="47" spans="1:13" x14ac:dyDescent="0.2">
      <c r="A47" t="s">
        <v>187</v>
      </c>
      <c r="B47"/>
      <c r="C47"/>
      <c r="D47"/>
      <c r="E47"/>
      <c r="F47"/>
      <c r="G47"/>
      <c r="H47"/>
      <c r="I47"/>
      <c r="J47"/>
      <c r="K47"/>
      <c r="L47"/>
      <c r="M47"/>
    </row>
    <row r="48" spans="1:13" x14ac:dyDescent="0.2">
      <c r="A48" t="s">
        <v>188</v>
      </c>
      <c r="B48"/>
      <c r="C48"/>
      <c r="D48"/>
      <c r="E48"/>
      <c r="F48"/>
      <c r="G48"/>
      <c r="H48"/>
      <c r="I48"/>
      <c r="J48"/>
      <c r="K48"/>
      <c r="L48"/>
      <c r="M48"/>
    </row>
    <row r="49" spans="1:13" x14ac:dyDescent="0.2">
      <c r="A49" t="s">
        <v>189</v>
      </c>
      <c r="B49"/>
      <c r="C49"/>
      <c r="D49"/>
      <c r="E49"/>
      <c r="F49"/>
      <c r="G49"/>
      <c r="H49"/>
      <c r="I49"/>
      <c r="J49"/>
      <c r="K49"/>
      <c r="L49"/>
      <c r="M49"/>
    </row>
    <row r="50" spans="1:13" x14ac:dyDescent="0.2">
      <c r="A50" t="s">
        <v>190</v>
      </c>
      <c r="B50"/>
      <c r="C50"/>
      <c r="D50"/>
      <c r="E50"/>
      <c r="F50"/>
      <c r="G50"/>
      <c r="H50"/>
      <c r="I50"/>
      <c r="J50"/>
      <c r="K50"/>
      <c r="L50"/>
      <c r="M50"/>
    </row>
    <row r="51" spans="1:13" x14ac:dyDescent="0.2">
      <c r="A51" t="s">
        <v>191</v>
      </c>
      <c r="B51"/>
      <c r="C51"/>
      <c r="D51"/>
      <c r="E51"/>
      <c r="F51"/>
      <c r="G51"/>
      <c r="H51"/>
      <c r="I51"/>
      <c r="J51"/>
      <c r="K51"/>
      <c r="L51"/>
      <c r="M51"/>
    </row>
    <row r="52" spans="1:13" x14ac:dyDescent="0.2">
      <c r="A52" t="s">
        <v>192</v>
      </c>
      <c r="B52"/>
      <c r="C52"/>
      <c r="D52"/>
      <c r="E52"/>
      <c r="F52"/>
      <c r="G52"/>
      <c r="H52"/>
      <c r="I52"/>
      <c r="J52"/>
      <c r="K52"/>
      <c r="L52"/>
      <c r="M52"/>
    </row>
    <row r="53" spans="1:13" x14ac:dyDescent="0.2">
      <c r="A53" t="s">
        <v>193</v>
      </c>
      <c r="B53"/>
      <c r="C53"/>
      <c r="D53"/>
      <c r="E53"/>
      <c r="F53"/>
      <c r="G53"/>
      <c r="H53"/>
      <c r="I53"/>
      <c r="J53"/>
      <c r="K53"/>
      <c r="L53"/>
      <c r="M53"/>
    </row>
    <row r="54" spans="1:13" x14ac:dyDescent="0.2">
      <c r="A54" t="s">
        <v>194</v>
      </c>
      <c r="B54"/>
      <c r="C54"/>
      <c r="D54"/>
      <c r="E54"/>
      <c r="F54"/>
      <c r="G54"/>
      <c r="H54"/>
      <c r="I54"/>
      <c r="J54"/>
      <c r="K54"/>
      <c r="L54"/>
      <c r="M54"/>
    </row>
    <row r="55" spans="1:13" x14ac:dyDescent="0.2">
      <c r="A55" t="s">
        <v>195</v>
      </c>
      <c r="B55"/>
      <c r="C55"/>
      <c r="D55"/>
      <c r="E55"/>
      <c r="F55"/>
      <c r="G55"/>
      <c r="H55"/>
      <c r="I55"/>
      <c r="J55"/>
      <c r="K55"/>
      <c r="L55"/>
      <c r="M55"/>
    </row>
    <row r="56" spans="1:13" x14ac:dyDescent="0.2">
      <c r="A56" t="s">
        <v>196</v>
      </c>
      <c r="B56"/>
      <c r="C56"/>
      <c r="D56"/>
      <c r="E56"/>
      <c r="F56"/>
      <c r="G56"/>
      <c r="H56"/>
      <c r="I56"/>
      <c r="J56"/>
      <c r="K56"/>
      <c r="L56"/>
      <c r="M56"/>
    </row>
    <row r="57" spans="1:13" x14ac:dyDescent="0.2">
      <c r="A57" t="s">
        <v>197</v>
      </c>
      <c r="B57"/>
      <c r="C57"/>
      <c r="D57"/>
      <c r="E57"/>
      <c r="F57"/>
      <c r="G57"/>
      <c r="H57"/>
      <c r="I57"/>
      <c r="J57"/>
      <c r="K57"/>
      <c r="L57"/>
      <c r="M57"/>
    </row>
    <row r="58" spans="1:13" x14ac:dyDescent="0.2">
      <c r="A58" t="s">
        <v>198</v>
      </c>
      <c r="B58"/>
      <c r="C58"/>
      <c r="D58"/>
      <c r="E58"/>
      <c r="F58"/>
      <c r="G58"/>
      <c r="H58"/>
      <c r="I58"/>
      <c r="J58"/>
      <c r="K58"/>
      <c r="L58"/>
      <c r="M58"/>
    </row>
    <row r="59" spans="1:13" x14ac:dyDescent="0.2">
      <c r="A59" t="s">
        <v>199</v>
      </c>
      <c r="B59"/>
      <c r="C59"/>
      <c r="D59"/>
      <c r="E59"/>
      <c r="F59"/>
      <c r="G59"/>
      <c r="H59"/>
      <c r="I59"/>
      <c r="J59"/>
      <c r="K59"/>
      <c r="L59"/>
      <c r="M59"/>
    </row>
    <row r="60" spans="1:13" x14ac:dyDescent="0.2">
      <c r="A60" t="s">
        <v>200</v>
      </c>
      <c r="B60"/>
      <c r="C60"/>
      <c r="D60"/>
      <c r="E60"/>
      <c r="F60"/>
      <c r="G60"/>
      <c r="H60"/>
      <c r="I60"/>
      <c r="J60"/>
      <c r="K60"/>
      <c r="L60"/>
      <c r="M60"/>
    </row>
    <row r="61" spans="1:13" x14ac:dyDescent="0.2">
      <c r="A61" t="s">
        <v>201</v>
      </c>
      <c r="B61"/>
      <c r="C61"/>
      <c r="D61"/>
      <c r="E61"/>
      <c r="F61"/>
      <c r="G61"/>
      <c r="H61"/>
      <c r="I61"/>
      <c r="J61"/>
      <c r="K61"/>
      <c r="L61"/>
      <c r="M61"/>
    </row>
    <row r="62" spans="1:13" x14ac:dyDescent="0.2">
      <c r="A62" t="s">
        <v>202</v>
      </c>
      <c r="B62"/>
      <c r="C62"/>
      <c r="D62"/>
      <c r="E62"/>
      <c r="F62"/>
      <c r="G62"/>
      <c r="H62"/>
      <c r="I62"/>
      <c r="J62"/>
      <c r="K62"/>
      <c r="L62"/>
      <c r="M62"/>
    </row>
    <row r="63" spans="1:13" x14ac:dyDescent="0.2">
      <c r="A63" t="s">
        <v>203</v>
      </c>
      <c r="B63"/>
      <c r="C63"/>
      <c r="D63"/>
      <c r="E63"/>
      <c r="F63"/>
      <c r="G63"/>
      <c r="H63"/>
      <c r="I63"/>
      <c r="J63"/>
      <c r="K63"/>
      <c r="L63"/>
      <c r="M63"/>
    </row>
    <row r="64" spans="1:13" x14ac:dyDescent="0.2">
      <c r="A64" t="s">
        <v>204</v>
      </c>
      <c r="B64"/>
      <c r="C64"/>
      <c r="D64"/>
      <c r="E64"/>
      <c r="F64"/>
      <c r="G64"/>
      <c r="H64"/>
      <c r="I64"/>
      <c r="J64"/>
      <c r="K64"/>
      <c r="L64"/>
      <c r="M64"/>
    </row>
    <row r="65" spans="1:13" x14ac:dyDescent="0.2">
      <c r="A65" t="s">
        <v>205</v>
      </c>
      <c r="B65"/>
      <c r="C65"/>
      <c r="D65"/>
      <c r="E65"/>
      <c r="F65"/>
      <c r="G65"/>
      <c r="H65"/>
      <c r="I65"/>
      <c r="J65"/>
      <c r="K65"/>
      <c r="L65"/>
      <c r="M65"/>
    </row>
    <row r="66" spans="1:13" x14ac:dyDescent="0.2">
      <c r="A66" t="s">
        <v>206</v>
      </c>
      <c r="B66"/>
      <c r="C66"/>
      <c r="D66"/>
      <c r="E66"/>
      <c r="F66"/>
      <c r="G66"/>
      <c r="H66"/>
      <c r="I66"/>
      <c r="J66"/>
      <c r="K66"/>
      <c r="L66"/>
      <c r="M66"/>
    </row>
    <row r="67" spans="1:13" x14ac:dyDescent="0.2">
      <c r="A67" t="s">
        <v>207</v>
      </c>
      <c r="B67"/>
      <c r="C67"/>
      <c r="D67"/>
      <c r="E67"/>
      <c r="F67"/>
      <c r="G67"/>
      <c r="H67"/>
      <c r="I67"/>
      <c r="J67"/>
      <c r="K67"/>
      <c r="L67"/>
      <c r="M67"/>
    </row>
    <row r="68" spans="1:13" x14ac:dyDescent="0.2">
      <c r="A68" t="s">
        <v>208</v>
      </c>
      <c r="B68"/>
      <c r="C68"/>
      <c r="D68"/>
      <c r="E68"/>
      <c r="F68"/>
      <c r="G68"/>
      <c r="H68"/>
      <c r="I68"/>
      <c r="J68"/>
      <c r="K68"/>
      <c r="L68"/>
      <c r="M68"/>
    </row>
    <row r="69" spans="1:13" x14ac:dyDescent="0.2">
      <c r="A69" t="s">
        <v>209</v>
      </c>
      <c r="B69"/>
      <c r="C69"/>
      <c r="D69"/>
      <c r="E69"/>
      <c r="F69"/>
      <c r="G69"/>
      <c r="H69"/>
      <c r="I69"/>
      <c r="J69"/>
      <c r="K69"/>
      <c r="L69"/>
      <c r="M69"/>
    </row>
    <row r="70" spans="1:13" x14ac:dyDescent="0.2">
      <c r="A70" t="s">
        <v>210</v>
      </c>
      <c r="B70"/>
      <c r="C70"/>
      <c r="D70"/>
      <c r="E70"/>
      <c r="F70"/>
      <c r="G70"/>
      <c r="H70"/>
      <c r="I70"/>
      <c r="J70"/>
      <c r="K70"/>
      <c r="L70"/>
      <c r="M70"/>
    </row>
    <row r="71" spans="1:13" x14ac:dyDescent="0.2">
      <c r="A71" t="s">
        <v>211</v>
      </c>
      <c r="B71"/>
      <c r="C71"/>
      <c r="D71"/>
      <c r="E71"/>
      <c r="F71"/>
      <c r="G71"/>
      <c r="H71"/>
      <c r="I71"/>
      <c r="J71"/>
      <c r="K71"/>
      <c r="L71"/>
      <c r="M71"/>
    </row>
    <row r="72" spans="1:13" x14ac:dyDescent="0.2">
      <c r="A72" t="s">
        <v>212</v>
      </c>
      <c r="B72"/>
      <c r="C72"/>
      <c r="D72"/>
      <c r="E72"/>
      <c r="F72"/>
      <c r="G72"/>
      <c r="H72"/>
      <c r="I72"/>
      <c r="J72"/>
      <c r="K72"/>
      <c r="L72"/>
      <c r="M72"/>
    </row>
    <row r="73" spans="1:13" x14ac:dyDescent="0.2">
      <c r="A73" t="s">
        <v>213</v>
      </c>
      <c r="B73"/>
      <c r="C73"/>
      <c r="D73"/>
      <c r="E73"/>
      <c r="F73"/>
      <c r="G73"/>
      <c r="H73"/>
      <c r="I73"/>
      <c r="J73"/>
      <c r="K73"/>
      <c r="L73"/>
      <c r="M73"/>
    </row>
    <row r="74" spans="1:13" x14ac:dyDescent="0.2">
      <c r="A74" t="s">
        <v>214</v>
      </c>
      <c r="B74"/>
      <c r="C74"/>
      <c r="D74"/>
      <c r="E74"/>
      <c r="F74"/>
      <c r="G74"/>
      <c r="H74"/>
      <c r="I74"/>
      <c r="J74"/>
      <c r="K74"/>
      <c r="L74"/>
      <c r="M74"/>
    </row>
    <row r="75" spans="1:13" x14ac:dyDescent="0.2">
      <c r="A75" t="s">
        <v>215</v>
      </c>
      <c r="B75"/>
      <c r="C75"/>
      <c r="D75"/>
      <c r="E75"/>
      <c r="F75"/>
      <c r="G75"/>
      <c r="H75"/>
      <c r="I75"/>
      <c r="J75"/>
      <c r="K75"/>
      <c r="L75"/>
      <c r="M75"/>
    </row>
    <row r="76" spans="1:13" x14ac:dyDescent="0.2">
      <c r="A76" t="s">
        <v>216</v>
      </c>
      <c r="B76"/>
      <c r="C76"/>
      <c r="D76"/>
      <c r="E76"/>
      <c r="F76"/>
      <c r="G76"/>
      <c r="H76"/>
      <c r="I76"/>
      <c r="J76"/>
      <c r="K76"/>
      <c r="L76"/>
      <c r="M76"/>
    </row>
    <row r="77" spans="1:13" x14ac:dyDescent="0.2">
      <c r="A77" t="s">
        <v>217</v>
      </c>
      <c r="B77"/>
      <c r="C77"/>
      <c r="D77"/>
      <c r="E77"/>
      <c r="F77"/>
      <c r="G77"/>
      <c r="H77"/>
      <c r="I77"/>
      <c r="J77"/>
      <c r="K77"/>
      <c r="L77"/>
      <c r="M77"/>
    </row>
    <row r="78" spans="1:13" x14ac:dyDescent="0.2">
      <c r="A78" t="s">
        <v>218</v>
      </c>
      <c r="B78"/>
      <c r="C78"/>
      <c r="D78"/>
      <c r="E78"/>
      <c r="F78"/>
      <c r="G78"/>
      <c r="H78"/>
      <c r="I78"/>
      <c r="J78"/>
      <c r="K78"/>
      <c r="L78"/>
      <c r="M78"/>
    </row>
    <row r="79" spans="1:13" x14ac:dyDescent="0.2">
      <c r="A79" t="s">
        <v>219</v>
      </c>
      <c r="B79"/>
      <c r="C79"/>
      <c r="D79"/>
      <c r="E79"/>
      <c r="F79"/>
      <c r="G79"/>
      <c r="H79"/>
      <c r="I79"/>
      <c r="J79"/>
      <c r="K79"/>
      <c r="L79"/>
      <c r="M79"/>
    </row>
    <row r="80" spans="1:13" x14ac:dyDescent="0.2">
      <c r="A80" t="s">
        <v>220</v>
      </c>
      <c r="B80"/>
      <c r="C80"/>
      <c r="D80"/>
      <c r="E80"/>
      <c r="F80"/>
      <c r="G80"/>
      <c r="H80"/>
      <c r="I80"/>
      <c r="J80"/>
      <c r="K80"/>
      <c r="L80"/>
      <c r="M80"/>
    </row>
    <row r="81" spans="1:13" x14ac:dyDescent="0.2">
      <c r="A81" t="s">
        <v>221</v>
      </c>
      <c r="B81"/>
      <c r="C81"/>
      <c r="D81"/>
      <c r="E81"/>
      <c r="F81"/>
      <c r="G81"/>
      <c r="H81"/>
      <c r="I81"/>
      <c r="J81"/>
      <c r="K81"/>
      <c r="L81"/>
      <c r="M81"/>
    </row>
    <row r="82" spans="1:13" x14ac:dyDescent="0.2">
      <c r="A82" t="s">
        <v>222</v>
      </c>
      <c r="B82"/>
      <c r="C82"/>
      <c r="D82"/>
      <c r="E82"/>
      <c r="F82"/>
      <c r="G82"/>
      <c r="H82"/>
      <c r="I82"/>
      <c r="J82"/>
      <c r="K82"/>
      <c r="L82"/>
      <c r="M82"/>
    </row>
    <row r="83" spans="1:13" x14ac:dyDescent="0.2">
      <c r="A83" t="s">
        <v>223</v>
      </c>
      <c r="B83"/>
      <c r="C83"/>
      <c r="D83"/>
      <c r="E83"/>
      <c r="F83"/>
      <c r="G83"/>
      <c r="H83"/>
      <c r="I83"/>
      <c r="J83"/>
      <c r="K83"/>
      <c r="L83"/>
      <c r="M83"/>
    </row>
    <row r="84" spans="1:13" x14ac:dyDescent="0.2">
      <c r="A84" t="s">
        <v>224</v>
      </c>
      <c r="B84"/>
      <c r="C84"/>
      <c r="D84"/>
      <c r="E84"/>
      <c r="F84"/>
      <c r="G84"/>
      <c r="H84"/>
      <c r="I84"/>
      <c r="J84"/>
      <c r="K84"/>
      <c r="L84"/>
      <c r="M84"/>
    </row>
    <row r="85" spans="1:13" x14ac:dyDescent="0.2">
      <c r="A85" t="s">
        <v>225</v>
      </c>
      <c r="B85"/>
      <c r="C85"/>
      <c r="D85"/>
      <c r="E85"/>
      <c r="F85"/>
      <c r="G85"/>
      <c r="H85"/>
      <c r="I85"/>
      <c r="J85"/>
      <c r="K85"/>
      <c r="L85"/>
      <c r="M85"/>
    </row>
    <row r="86" spans="1:13" x14ac:dyDescent="0.2">
      <c r="A86" t="s">
        <v>226</v>
      </c>
      <c r="B86"/>
      <c r="C86"/>
      <c r="D86"/>
      <c r="E86"/>
      <c r="F86"/>
      <c r="G86"/>
      <c r="H86"/>
      <c r="I86"/>
      <c r="J86"/>
      <c r="K86"/>
      <c r="L86"/>
      <c r="M86"/>
    </row>
    <row r="87" spans="1:13" x14ac:dyDescent="0.2">
      <c r="A87" t="s">
        <v>227</v>
      </c>
      <c r="B87"/>
      <c r="C87"/>
      <c r="D87"/>
      <c r="E87"/>
      <c r="F87"/>
      <c r="G87"/>
      <c r="H87"/>
      <c r="I87"/>
      <c r="J87"/>
      <c r="K87"/>
      <c r="L87"/>
      <c r="M87"/>
    </row>
    <row r="88" spans="1:13" x14ac:dyDescent="0.2">
      <c r="A88" t="s">
        <v>228</v>
      </c>
      <c r="B88"/>
      <c r="C88"/>
      <c r="D88"/>
      <c r="E88"/>
      <c r="F88"/>
      <c r="G88"/>
      <c r="H88"/>
      <c r="I88"/>
      <c r="J88"/>
      <c r="K88"/>
      <c r="L88"/>
      <c r="M88"/>
    </row>
    <row r="89" spans="1:13" x14ac:dyDescent="0.2">
      <c r="A89" t="s">
        <v>229</v>
      </c>
      <c r="B89"/>
      <c r="C89"/>
      <c r="D89"/>
      <c r="E89"/>
      <c r="F89"/>
      <c r="G89"/>
      <c r="H89"/>
      <c r="I89"/>
      <c r="J89"/>
      <c r="K89"/>
      <c r="L89"/>
      <c r="M89"/>
    </row>
    <row r="90" spans="1:13" x14ac:dyDescent="0.2">
      <c r="A90" t="s">
        <v>230</v>
      </c>
      <c r="B90"/>
      <c r="C90"/>
      <c r="D90"/>
      <c r="E90"/>
      <c r="F90"/>
      <c r="G90"/>
      <c r="H90"/>
      <c r="I90"/>
      <c r="J90"/>
      <c r="K90"/>
      <c r="L90"/>
      <c r="M90"/>
    </row>
    <row r="91" spans="1:13" x14ac:dyDescent="0.2">
      <c r="A91" t="s">
        <v>231</v>
      </c>
      <c r="B91"/>
      <c r="C91"/>
      <c r="D91"/>
      <c r="E91"/>
      <c r="F91"/>
      <c r="G91"/>
      <c r="H91"/>
      <c r="I91"/>
      <c r="J91"/>
      <c r="K91"/>
      <c r="L91"/>
      <c r="M91"/>
    </row>
    <row r="92" spans="1:13" x14ac:dyDescent="0.2">
      <c r="A92" t="s">
        <v>232</v>
      </c>
      <c r="B92"/>
      <c r="C92"/>
      <c r="D92"/>
      <c r="E92"/>
      <c r="F92"/>
      <c r="G92"/>
      <c r="H92"/>
      <c r="I92"/>
      <c r="J92"/>
      <c r="K92"/>
      <c r="L92"/>
      <c r="M92"/>
    </row>
    <row r="93" spans="1:13" x14ac:dyDescent="0.2">
      <c r="A93" t="s">
        <v>233</v>
      </c>
      <c r="B93"/>
      <c r="C93"/>
      <c r="D93"/>
      <c r="E93"/>
      <c r="F93"/>
      <c r="G93"/>
      <c r="H93"/>
      <c r="I93"/>
      <c r="J93"/>
      <c r="K93"/>
      <c r="L93"/>
      <c r="M93"/>
    </row>
    <row r="94" spans="1:13" x14ac:dyDescent="0.2">
      <c r="A94" t="s">
        <v>234</v>
      </c>
      <c r="B94"/>
      <c r="C94"/>
      <c r="D94"/>
      <c r="E94"/>
      <c r="F94"/>
      <c r="G94"/>
      <c r="H94"/>
      <c r="I94"/>
      <c r="J94"/>
      <c r="K94"/>
      <c r="L94"/>
      <c r="M94"/>
    </row>
    <row r="95" spans="1:13" x14ac:dyDescent="0.2">
      <c r="A95" t="s">
        <v>235</v>
      </c>
      <c r="B95"/>
      <c r="C95"/>
      <c r="D95"/>
      <c r="E95"/>
      <c r="F95"/>
      <c r="G95"/>
      <c r="H95"/>
      <c r="I95"/>
      <c r="J95"/>
      <c r="K95"/>
      <c r="L95"/>
      <c r="M95"/>
    </row>
    <row r="96" spans="1:13" x14ac:dyDescent="0.2">
      <c r="A96" t="s">
        <v>236</v>
      </c>
      <c r="B96"/>
      <c r="C96"/>
      <c r="D96"/>
      <c r="E96"/>
      <c r="F96"/>
      <c r="G96"/>
      <c r="H96"/>
      <c r="I96"/>
      <c r="J96"/>
      <c r="K96"/>
      <c r="L96"/>
      <c r="M96"/>
    </row>
    <row r="97" spans="1:13" x14ac:dyDescent="0.2">
      <c r="A97" t="s">
        <v>237</v>
      </c>
      <c r="B97"/>
      <c r="C97"/>
      <c r="D97"/>
      <c r="E97"/>
      <c r="F97"/>
      <c r="G97"/>
      <c r="H97"/>
      <c r="I97"/>
      <c r="J97"/>
      <c r="K97"/>
      <c r="L97"/>
      <c r="M97"/>
    </row>
    <row r="98" spans="1:13" x14ac:dyDescent="0.2">
      <c r="A98" t="s">
        <v>238</v>
      </c>
      <c r="B98"/>
      <c r="C98"/>
      <c r="D98"/>
      <c r="E98"/>
      <c r="F98"/>
      <c r="G98"/>
      <c r="H98"/>
      <c r="I98"/>
      <c r="J98"/>
      <c r="K98"/>
      <c r="L98"/>
      <c r="M98"/>
    </row>
    <row r="99" spans="1:13" x14ac:dyDescent="0.2">
      <c r="A99" t="s">
        <v>239</v>
      </c>
      <c r="B99"/>
      <c r="C99"/>
      <c r="D99"/>
      <c r="E99"/>
      <c r="F99"/>
      <c r="G99"/>
      <c r="H99"/>
      <c r="I99"/>
      <c r="J99"/>
      <c r="K99"/>
      <c r="L99"/>
      <c r="M99"/>
    </row>
    <row r="100" spans="1:13" x14ac:dyDescent="0.2">
      <c r="A100" t="s">
        <v>240</v>
      </c>
      <c r="B100"/>
      <c r="C100"/>
      <c r="D100"/>
      <c r="E100"/>
      <c r="F100"/>
      <c r="G100"/>
      <c r="H100"/>
      <c r="I100"/>
      <c r="J100"/>
      <c r="K100"/>
      <c r="L100"/>
      <c r="M100"/>
    </row>
    <row r="101" spans="1:13" x14ac:dyDescent="0.2">
      <c r="A101" t="s">
        <v>241</v>
      </c>
      <c r="B101"/>
      <c r="C101"/>
      <c r="D101"/>
      <c r="E101"/>
      <c r="F101"/>
      <c r="G101"/>
      <c r="H101"/>
      <c r="I101"/>
      <c r="J101"/>
      <c r="K101"/>
      <c r="L101"/>
      <c r="M101"/>
    </row>
    <row r="102" spans="1:13" x14ac:dyDescent="0.2">
      <c r="A102" t="s">
        <v>242</v>
      </c>
      <c r="B102"/>
      <c r="C102"/>
      <c r="D102"/>
      <c r="E102"/>
      <c r="F102"/>
      <c r="G102"/>
      <c r="H102"/>
      <c r="I102"/>
      <c r="J102"/>
      <c r="K102"/>
      <c r="L102"/>
      <c r="M102"/>
    </row>
    <row r="103" spans="1:13" x14ac:dyDescent="0.2">
      <c r="A103" t="s">
        <v>243</v>
      </c>
      <c r="B103"/>
      <c r="C103"/>
      <c r="D103"/>
      <c r="E103"/>
      <c r="F103"/>
      <c r="G103"/>
      <c r="H103"/>
      <c r="I103"/>
      <c r="J103"/>
      <c r="K103"/>
      <c r="L103"/>
      <c r="M103"/>
    </row>
    <row r="104" spans="1:13" x14ac:dyDescent="0.2">
      <c r="A104" t="s">
        <v>244</v>
      </c>
      <c r="B104"/>
      <c r="C104"/>
      <c r="D104"/>
      <c r="E104"/>
      <c r="F104"/>
      <c r="G104"/>
      <c r="H104"/>
      <c r="I104"/>
      <c r="J104"/>
      <c r="K104"/>
      <c r="L104"/>
      <c r="M104"/>
    </row>
    <row r="105" spans="1:13" x14ac:dyDescent="0.2">
      <c r="A105" t="s">
        <v>245</v>
      </c>
      <c r="B105"/>
      <c r="C105"/>
      <c r="D105"/>
      <c r="E105"/>
      <c r="F105"/>
      <c r="G105"/>
      <c r="H105"/>
      <c r="I105"/>
      <c r="J105"/>
      <c r="K105"/>
      <c r="L105"/>
      <c r="M105"/>
    </row>
    <row r="106" spans="1:13" x14ac:dyDescent="0.2">
      <c r="A106" t="s">
        <v>246</v>
      </c>
      <c r="B106"/>
      <c r="C106"/>
      <c r="D106"/>
      <c r="E106"/>
      <c r="F106"/>
      <c r="G106"/>
      <c r="H106"/>
      <c r="I106"/>
      <c r="J106"/>
      <c r="K106"/>
      <c r="L106"/>
      <c r="M106"/>
    </row>
    <row r="107" spans="1:13" x14ac:dyDescent="0.2">
      <c r="A107" t="s">
        <v>247</v>
      </c>
      <c r="B107"/>
      <c r="C107"/>
      <c r="D107"/>
      <c r="E107"/>
      <c r="F107"/>
      <c r="G107"/>
      <c r="H107"/>
      <c r="I107"/>
      <c r="J107"/>
      <c r="K107"/>
      <c r="L107"/>
      <c r="M107"/>
    </row>
    <row r="108" spans="1:13" x14ac:dyDescent="0.2">
      <c r="A108" t="s">
        <v>248</v>
      </c>
      <c r="B108"/>
      <c r="C108"/>
      <c r="D108"/>
      <c r="E108"/>
      <c r="F108"/>
      <c r="G108"/>
      <c r="H108"/>
      <c r="I108"/>
      <c r="J108"/>
      <c r="K108"/>
      <c r="L108"/>
      <c r="M108"/>
    </row>
    <row r="109" spans="1:13" x14ac:dyDescent="0.2">
      <c r="A109" t="s">
        <v>249</v>
      </c>
      <c r="B109"/>
      <c r="C109"/>
      <c r="D109"/>
      <c r="E109"/>
      <c r="F109"/>
      <c r="G109"/>
      <c r="H109"/>
      <c r="I109"/>
      <c r="J109"/>
      <c r="K109"/>
      <c r="L109"/>
      <c r="M109"/>
    </row>
    <row r="110" spans="1:13" x14ac:dyDescent="0.2">
      <c r="A110" t="s">
        <v>250</v>
      </c>
      <c r="B110"/>
      <c r="C110"/>
      <c r="D110"/>
      <c r="E110"/>
      <c r="F110"/>
      <c r="G110"/>
      <c r="H110"/>
      <c r="I110"/>
      <c r="J110"/>
      <c r="K110"/>
      <c r="L110"/>
      <c r="M110"/>
    </row>
    <row r="111" spans="1:13" x14ac:dyDescent="0.2">
      <c r="A111" t="s">
        <v>251</v>
      </c>
      <c r="B111"/>
      <c r="C111"/>
      <c r="D111"/>
      <c r="E111"/>
      <c r="F111"/>
      <c r="G111"/>
      <c r="H111"/>
      <c r="I111"/>
      <c r="J111"/>
      <c r="K111"/>
      <c r="L111"/>
      <c r="M111"/>
    </row>
    <row r="112" spans="1:13" x14ac:dyDescent="0.2">
      <c r="A112" t="s">
        <v>252</v>
      </c>
      <c r="B112"/>
      <c r="C112"/>
      <c r="D112"/>
      <c r="E112"/>
      <c r="F112"/>
      <c r="G112"/>
      <c r="H112"/>
      <c r="I112"/>
      <c r="J112"/>
      <c r="K112"/>
      <c r="L112"/>
      <c r="M112"/>
    </row>
    <row r="113" spans="1:13" x14ac:dyDescent="0.2">
      <c r="A113" t="s">
        <v>253</v>
      </c>
      <c r="B113"/>
      <c r="C113"/>
      <c r="D113"/>
      <c r="E113"/>
      <c r="F113"/>
      <c r="G113"/>
      <c r="H113"/>
      <c r="I113"/>
      <c r="J113"/>
      <c r="K113"/>
      <c r="L113"/>
      <c r="M113"/>
    </row>
    <row r="114" spans="1:13" x14ac:dyDescent="0.2">
      <c r="A114" t="s">
        <v>254</v>
      </c>
      <c r="B114"/>
      <c r="C114"/>
      <c r="D114"/>
      <c r="E114"/>
      <c r="F114"/>
      <c r="G114"/>
      <c r="H114"/>
      <c r="I114"/>
      <c r="J114"/>
      <c r="K114"/>
      <c r="L114"/>
      <c r="M114"/>
    </row>
    <row r="115" spans="1:13" x14ac:dyDescent="0.2">
      <c r="A115" t="s">
        <v>255</v>
      </c>
      <c r="B115"/>
      <c r="C115"/>
      <c r="D115"/>
      <c r="E115"/>
      <c r="F115"/>
      <c r="G115"/>
      <c r="H115"/>
      <c r="I115"/>
      <c r="J115"/>
      <c r="K115"/>
      <c r="L115"/>
      <c r="M115"/>
    </row>
    <row r="116" spans="1:13" x14ac:dyDescent="0.2">
      <c r="A116" t="s">
        <v>256</v>
      </c>
      <c r="B116"/>
      <c r="C116"/>
      <c r="D116"/>
      <c r="E116"/>
      <c r="F116"/>
      <c r="G116"/>
      <c r="H116"/>
      <c r="I116"/>
      <c r="J116"/>
      <c r="K116"/>
      <c r="L116"/>
      <c r="M116"/>
    </row>
    <row r="117" spans="1:13" x14ac:dyDescent="0.2">
      <c r="A117" t="s">
        <v>257</v>
      </c>
      <c r="B117"/>
      <c r="C117"/>
      <c r="D117"/>
      <c r="E117"/>
      <c r="F117"/>
      <c r="G117"/>
      <c r="H117"/>
      <c r="I117"/>
      <c r="J117"/>
      <c r="K117"/>
      <c r="L117"/>
      <c r="M117"/>
    </row>
    <row r="118" spans="1:13" x14ac:dyDescent="0.2">
      <c r="A118" t="s">
        <v>258</v>
      </c>
      <c r="B118"/>
      <c r="C118"/>
      <c r="D118"/>
      <c r="E118"/>
      <c r="F118"/>
      <c r="G118"/>
      <c r="H118"/>
      <c r="I118"/>
      <c r="J118"/>
      <c r="K118"/>
      <c r="L118"/>
      <c r="M118"/>
    </row>
    <row r="119" spans="1:13" x14ac:dyDescent="0.2">
      <c r="A119" t="s">
        <v>259</v>
      </c>
      <c r="B119"/>
      <c r="C119"/>
      <c r="D119"/>
      <c r="E119"/>
      <c r="F119"/>
      <c r="G119"/>
      <c r="H119"/>
      <c r="I119"/>
      <c r="J119"/>
      <c r="K119"/>
      <c r="L119"/>
      <c r="M119"/>
    </row>
    <row r="120" spans="1:13" x14ac:dyDescent="0.2">
      <c r="A120" t="s">
        <v>260</v>
      </c>
      <c r="B120"/>
      <c r="C120"/>
      <c r="D120"/>
      <c r="E120"/>
      <c r="F120"/>
      <c r="G120"/>
      <c r="H120"/>
      <c r="I120"/>
      <c r="J120"/>
      <c r="K120"/>
      <c r="L120"/>
      <c r="M120"/>
    </row>
    <row r="121" spans="1:13" x14ac:dyDescent="0.2">
      <c r="A121" t="s">
        <v>261</v>
      </c>
      <c r="B121"/>
      <c r="C121"/>
      <c r="D121"/>
      <c r="E121"/>
      <c r="F121"/>
      <c r="G121"/>
      <c r="H121"/>
      <c r="I121"/>
      <c r="J121"/>
      <c r="K121"/>
      <c r="L121"/>
      <c r="M121"/>
    </row>
    <row r="122" spans="1:13" x14ac:dyDescent="0.2">
      <c r="A122" t="s">
        <v>262</v>
      </c>
      <c r="B122"/>
      <c r="C122"/>
      <c r="D122"/>
      <c r="E122"/>
      <c r="F122"/>
      <c r="G122"/>
      <c r="H122"/>
      <c r="I122"/>
      <c r="J122"/>
      <c r="K122"/>
      <c r="L122"/>
      <c r="M122"/>
    </row>
    <row r="123" spans="1:13" x14ac:dyDescent="0.2">
      <c r="A123" t="s">
        <v>263</v>
      </c>
      <c r="B123"/>
      <c r="C123"/>
      <c r="D123"/>
      <c r="E123"/>
      <c r="F123"/>
      <c r="G123"/>
      <c r="H123"/>
      <c r="I123"/>
      <c r="J123"/>
      <c r="K123"/>
      <c r="L123"/>
      <c r="M123"/>
    </row>
    <row r="124" spans="1:13" x14ac:dyDescent="0.2">
      <c r="A124" t="s">
        <v>264</v>
      </c>
      <c r="B124"/>
      <c r="C124"/>
      <c r="D124"/>
      <c r="E124"/>
      <c r="F124"/>
      <c r="G124"/>
      <c r="H124"/>
      <c r="I124"/>
      <c r="J124"/>
      <c r="K124"/>
      <c r="L124"/>
      <c r="M124"/>
    </row>
    <row r="125" spans="1:13" x14ac:dyDescent="0.2">
      <c r="A125" t="s">
        <v>265</v>
      </c>
      <c r="B125"/>
      <c r="C125"/>
      <c r="D125"/>
      <c r="E125"/>
      <c r="F125"/>
      <c r="G125"/>
      <c r="H125"/>
      <c r="I125"/>
      <c r="J125"/>
      <c r="K125"/>
      <c r="L125"/>
      <c r="M125"/>
    </row>
    <row r="126" spans="1:13" x14ac:dyDescent="0.2">
      <c r="A126" t="s">
        <v>266</v>
      </c>
      <c r="B126"/>
      <c r="C126"/>
      <c r="D126"/>
      <c r="E126"/>
      <c r="F126"/>
      <c r="G126"/>
      <c r="H126"/>
      <c r="I126"/>
      <c r="J126"/>
      <c r="K126"/>
      <c r="L126"/>
      <c r="M126"/>
    </row>
    <row r="127" spans="1:13" x14ac:dyDescent="0.2">
      <c r="A127" t="s">
        <v>267</v>
      </c>
      <c r="B127"/>
      <c r="C127"/>
      <c r="D127"/>
      <c r="E127"/>
      <c r="F127"/>
      <c r="G127"/>
      <c r="H127"/>
      <c r="I127"/>
      <c r="J127"/>
      <c r="K127"/>
      <c r="L127"/>
      <c r="M127"/>
    </row>
    <row r="128" spans="1:13" x14ac:dyDescent="0.2">
      <c r="A128" t="s">
        <v>268</v>
      </c>
      <c r="B128"/>
      <c r="C128"/>
      <c r="D128"/>
      <c r="E128"/>
      <c r="F128"/>
      <c r="G128"/>
      <c r="H128"/>
      <c r="I128"/>
      <c r="J128"/>
      <c r="K128"/>
      <c r="L128"/>
      <c r="M128"/>
    </row>
    <row r="129" spans="1:13" x14ac:dyDescent="0.2">
      <c r="A129" t="s">
        <v>269</v>
      </c>
      <c r="B129"/>
      <c r="C129"/>
      <c r="D129"/>
      <c r="E129"/>
      <c r="F129"/>
      <c r="G129"/>
      <c r="H129"/>
      <c r="I129"/>
      <c r="J129"/>
      <c r="K129"/>
      <c r="L129"/>
      <c r="M129"/>
    </row>
    <row r="130" spans="1:13" x14ac:dyDescent="0.2">
      <c r="A130" t="s">
        <v>270</v>
      </c>
      <c r="B130"/>
      <c r="C130"/>
      <c r="D130"/>
      <c r="E130"/>
      <c r="F130"/>
      <c r="G130"/>
      <c r="H130"/>
      <c r="I130"/>
      <c r="J130"/>
      <c r="K130"/>
      <c r="L130"/>
      <c r="M130"/>
    </row>
    <row r="131" spans="1:13" x14ac:dyDescent="0.2">
      <c r="A131" t="s">
        <v>271</v>
      </c>
      <c r="B131"/>
      <c r="C131"/>
      <c r="D131"/>
      <c r="E131"/>
      <c r="F131"/>
      <c r="G131"/>
      <c r="H131"/>
      <c r="I131"/>
      <c r="J131"/>
      <c r="K131"/>
      <c r="L131"/>
      <c r="M131"/>
    </row>
    <row r="132" spans="1:13" x14ac:dyDescent="0.2">
      <c r="A132" t="s">
        <v>272</v>
      </c>
      <c r="B132"/>
      <c r="C132"/>
      <c r="D132"/>
      <c r="E132"/>
      <c r="F132"/>
      <c r="G132"/>
      <c r="H132"/>
      <c r="I132"/>
      <c r="J132"/>
      <c r="K132"/>
      <c r="L132"/>
      <c r="M132"/>
    </row>
    <row r="133" spans="1:13" x14ac:dyDescent="0.2">
      <c r="A133" t="s">
        <v>273</v>
      </c>
      <c r="B133"/>
      <c r="C133"/>
      <c r="D133"/>
      <c r="E133"/>
      <c r="F133"/>
      <c r="G133"/>
      <c r="H133"/>
      <c r="I133"/>
      <c r="J133"/>
      <c r="K133"/>
      <c r="L133"/>
      <c r="M133"/>
    </row>
    <row r="134" spans="1:13" x14ac:dyDescent="0.2">
      <c r="A134" t="s">
        <v>274</v>
      </c>
      <c r="B134"/>
      <c r="C134"/>
      <c r="D134"/>
      <c r="E134"/>
      <c r="F134"/>
      <c r="G134"/>
      <c r="H134"/>
      <c r="I134"/>
      <c r="J134"/>
      <c r="K134"/>
      <c r="L134"/>
      <c r="M134"/>
    </row>
    <row r="135" spans="1:13" x14ac:dyDescent="0.2">
      <c r="A135" t="s">
        <v>275</v>
      </c>
      <c r="B135"/>
      <c r="C135"/>
      <c r="D135"/>
      <c r="E135"/>
      <c r="F135"/>
      <c r="G135"/>
      <c r="H135"/>
      <c r="I135"/>
      <c r="J135"/>
      <c r="K135"/>
      <c r="L135"/>
      <c r="M135"/>
    </row>
    <row r="136" spans="1:13" x14ac:dyDescent="0.2">
      <c r="A136" t="s">
        <v>276</v>
      </c>
      <c r="B136"/>
      <c r="C136"/>
      <c r="D136"/>
      <c r="E136"/>
      <c r="F136"/>
      <c r="G136"/>
      <c r="H136"/>
      <c r="I136"/>
      <c r="J136"/>
      <c r="K136"/>
      <c r="L136"/>
      <c r="M136"/>
    </row>
    <row r="137" spans="1:13" x14ac:dyDescent="0.2">
      <c r="A137" t="s">
        <v>277</v>
      </c>
      <c r="B137"/>
      <c r="C137"/>
      <c r="D137"/>
      <c r="E137"/>
      <c r="F137"/>
      <c r="G137"/>
      <c r="H137"/>
      <c r="I137"/>
      <c r="J137"/>
      <c r="K137"/>
      <c r="L137"/>
      <c r="M137"/>
    </row>
    <row r="138" spans="1:13" x14ac:dyDescent="0.2">
      <c r="A138" t="s">
        <v>278</v>
      </c>
      <c r="B138"/>
      <c r="C138"/>
      <c r="D138"/>
      <c r="E138"/>
      <c r="F138"/>
      <c r="G138"/>
      <c r="H138"/>
      <c r="I138"/>
      <c r="J138"/>
      <c r="K138"/>
      <c r="L138"/>
      <c r="M138"/>
    </row>
    <row r="139" spans="1:13" x14ac:dyDescent="0.2">
      <c r="A139" t="s">
        <v>279</v>
      </c>
      <c r="B139"/>
      <c r="C139"/>
      <c r="D139"/>
      <c r="E139"/>
      <c r="F139"/>
      <c r="G139"/>
      <c r="H139"/>
      <c r="I139"/>
      <c r="J139"/>
      <c r="K139"/>
      <c r="L139"/>
      <c r="M139"/>
    </row>
    <row r="140" spans="1:13" x14ac:dyDescent="0.2">
      <c r="A140" t="s">
        <v>280</v>
      </c>
      <c r="B140"/>
      <c r="C140"/>
      <c r="D140"/>
      <c r="E140"/>
      <c r="F140"/>
      <c r="G140"/>
      <c r="H140"/>
      <c r="I140"/>
      <c r="J140"/>
      <c r="K140"/>
      <c r="L140"/>
      <c r="M140"/>
    </row>
    <row r="141" spans="1:13" x14ac:dyDescent="0.2">
      <c r="A141" t="s">
        <v>281</v>
      </c>
      <c r="B141"/>
      <c r="C141"/>
      <c r="D141"/>
      <c r="E141"/>
      <c r="F141"/>
      <c r="G141"/>
      <c r="H141"/>
      <c r="I141"/>
      <c r="J141"/>
      <c r="K141"/>
      <c r="L141"/>
      <c r="M141"/>
    </row>
    <row r="142" spans="1:13" x14ac:dyDescent="0.2">
      <c r="A142" t="s">
        <v>282</v>
      </c>
      <c r="B142"/>
      <c r="C142"/>
      <c r="D142"/>
      <c r="E142"/>
      <c r="F142"/>
      <c r="G142"/>
      <c r="H142"/>
      <c r="I142"/>
      <c r="J142"/>
      <c r="K142"/>
      <c r="L142"/>
      <c r="M142"/>
    </row>
    <row r="143" spans="1:13" x14ac:dyDescent="0.2">
      <c r="A143" t="s">
        <v>283</v>
      </c>
      <c r="B143"/>
      <c r="C143"/>
      <c r="D143"/>
      <c r="E143"/>
      <c r="F143"/>
      <c r="G143"/>
      <c r="H143"/>
      <c r="I143"/>
      <c r="J143"/>
      <c r="K143"/>
      <c r="L143"/>
      <c r="M143"/>
    </row>
    <row r="144" spans="1:13" x14ac:dyDescent="0.2">
      <c r="A144" t="s">
        <v>284</v>
      </c>
      <c r="B144"/>
      <c r="C144"/>
      <c r="D144"/>
      <c r="E144"/>
      <c r="F144"/>
      <c r="G144"/>
      <c r="H144"/>
      <c r="I144"/>
      <c r="J144"/>
      <c r="K144"/>
      <c r="L144"/>
      <c r="M144"/>
    </row>
    <row r="145" spans="1:13" x14ac:dyDescent="0.2">
      <c r="A145" t="s">
        <v>285</v>
      </c>
      <c r="B145"/>
      <c r="C145"/>
      <c r="D145"/>
      <c r="E145"/>
      <c r="F145"/>
      <c r="G145"/>
      <c r="H145"/>
      <c r="I145"/>
      <c r="J145"/>
      <c r="K145"/>
      <c r="L145"/>
      <c r="M145"/>
    </row>
    <row r="146" spans="1:13" x14ac:dyDescent="0.2">
      <c r="A146" t="s">
        <v>286</v>
      </c>
      <c r="B146"/>
      <c r="C146"/>
      <c r="D146"/>
      <c r="E146"/>
      <c r="F146"/>
      <c r="G146"/>
      <c r="H146"/>
      <c r="I146"/>
      <c r="J146"/>
      <c r="K146"/>
      <c r="L146"/>
      <c r="M146"/>
    </row>
    <row r="147" spans="1:13" x14ac:dyDescent="0.2">
      <c r="A147" t="s">
        <v>287</v>
      </c>
      <c r="B147"/>
      <c r="C147"/>
      <c r="D147"/>
      <c r="E147"/>
      <c r="F147"/>
      <c r="G147"/>
      <c r="H147"/>
      <c r="I147"/>
      <c r="J147"/>
      <c r="K147"/>
      <c r="L147"/>
      <c r="M147"/>
    </row>
    <row r="148" spans="1:13" x14ac:dyDescent="0.2">
      <c r="A148" t="s">
        <v>288</v>
      </c>
      <c r="B148"/>
      <c r="C148"/>
      <c r="D148"/>
      <c r="E148"/>
      <c r="F148"/>
      <c r="G148"/>
      <c r="H148"/>
      <c r="I148"/>
      <c r="J148"/>
      <c r="K148"/>
      <c r="L148"/>
      <c r="M148"/>
    </row>
    <row r="149" spans="1:13" x14ac:dyDescent="0.2">
      <c r="A149" t="s">
        <v>289</v>
      </c>
      <c r="B149"/>
      <c r="C149"/>
      <c r="D149"/>
      <c r="E149"/>
      <c r="F149"/>
      <c r="G149"/>
      <c r="H149"/>
      <c r="I149"/>
      <c r="J149"/>
      <c r="K149"/>
      <c r="L149"/>
      <c r="M149"/>
    </row>
    <row r="150" spans="1:13" x14ac:dyDescent="0.2">
      <c r="A150" t="s">
        <v>290</v>
      </c>
      <c r="B150"/>
      <c r="C150"/>
      <c r="D150"/>
      <c r="E150"/>
      <c r="F150"/>
      <c r="G150"/>
      <c r="H150"/>
      <c r="I150"/>
      <c r="J150"/>
      <c r="K150"/>
      <c r="L150"/>
      <c r="M150"/>
    </row>
    <row r="151" spans="1:13" x14ac:dyDescent="0.2">
      <c r="A151" t="s">
        <v>291</v>
      </c>
      <c r="B151"/>
      <c r="C151"/>
      <c r="D151"/>
      <c r="E151"/>
      <c r="F151"/>
      <c r="G151"/>
      <c r="H151"/>
      <c r="I151"/>
      <c r="J151"/>
      <c r="K151"/>
      <c r="L151"/>
      <c r="M151"/>
    </row>
    <row r="152" spans="1:13" x14ac:dyDescent="0.2">
      <c r="A152" t="s">
        <v>292</v>
      </c>
      <c r="B152"/>
      <c r="C152"/>
      <c r="D152"/>
      <c r="E152"/>
      <c r="F152"/>
      <c r="G152"/>
      <c r="H152"/>
      <c r="I152"/>
      <c r="J152"/>
      <c r="K152"/>
      <c r="L152"/>
      <c r="M152"/>
    </row>
    <row r="153" spans="1:13" x14ac:dyDescent="0.2">
      <c r="A153" t="s">
        <v>293</v>
      </c>
      <c r="B153"/>
      <c r="C153"/>
      <c r="D153"/>
      <c r="E153"/>
      <c r="F153"/>
      <c r="G153"/>
      <c r="H153"/>
      <c r="I153"/>
      <c r="J153"/>
      <c r="K153"/>
      <c r="L153"/>
      <c r="M153"/>
    </row>
    <row r="154" spans="1:13" x14ac:dyDescent="0.2">
      <c r="A154" t="s">
        <v>294</v>
      </c>
      <c r="B154"/>
      <c r="C154"/>
      <c r="D154"/>
      <c r="E154"/>
      <c r="F154"/>
      <c r="G154"/>
      <c r="H154"/>
      <c r="I154"/>
      <c r="J154"/>
      <c r="K154"/>
      <c r="L154"/>
      <c r="M154"/>
    </row>
    <row r="155" spans="1:13" x14ac:dyDescent="0.2">
      <c r="A155" t="s">
        <v>295</v>
      </c>
      <c r="B155"/>
      <c r="C155"/>
      <c r="D155"/>
      <c r="E155"/>
      <c r="F155"/>
      <c r="G155"/>
      <c r="H155"/>
      <c r="I155"/>
      <c r="J155"/>
      <c r="K155"/>
      <c r="L155"/>
      <c r="M155"/>
    </row>
    <row r="156" spans="1:13" x14ac:dyDescent="0.2">
      <c r="A156" t="s">
        <v>296</v>
      </c>
      <c r="B156"/>
      <c r="C156"/>
      <c r="D156"/>
      <c r="E156"/>
      <c r="F156"/>
      <c r="G156"/>
      <c r="H156"/>
      <c r="I156"/>
      <c r="J156"/>
      <c r="K156"/>
      <c r="L156"/>
      <c r="M156"/>
    </row>
    <row r="157" spans="1:13" x14ac:dyDescent="0.2">
      <c r="A157" t="s">
        <v>297</v>
      </c>
      <c r="B157"/>
      <c r="C157"/>
      <c r="D157"/>
      <c r="E157"/>
      <c r="F157"/>
      <c r="G157"/>
      <c r="H157"/>
      <c r="I157"/>
      <c r="J157"/>
      <c r="K157"/>
      <c r="L157"/>
      <c r="M157"/>
    </row>
    <row r="158" spans="1:13" x14ac:dyDescent="0.2">
      <c r="A158" t="s">
        <v>298</v>
      </c>
      <c r="B158"/>
      <c r="C158"/>
      <c r="D158"/>
      <c r="E158"/>
      <c r="F158"/>
      <c r="G158"/>
      <c r="H158"/>
      <c r="I158"/>
      <c r="J158"/>
      <c r="K158"/>
      <c r="L158"/>
      <c r="M158"/>
    </row>
    <row r="159" spans="1:13" x14ac:dyDescent="0.2">
      <c r="A159" t="s">
        <v>299</v>
      </c>
      <c r="B159"/>
      <c r="C159"/>
      <c r="D159"/>
      <c r="E159"/>
      <c r="F159"/>
      <c r="G159"/>
      <c r="H159"/>
      <c r="I159"/>
      <c r="J159"/>
      <c r="K159"/>
      <c r="L159"/>
      <c r="M159"/>
    </row>
    <row r="160" spans="1:13" x14ac:dyDescent="0.2">
      <c r="A160" t="s">
        <v>300</v>
      </c>
      <c r="B160"/>
      <c r="C160"/>
      <c r="D160"/>
      <c r="E160"/>
      <c r="F160"/>
      <c r="G160"/>
      <c r="H160"/>
      <c r="I160"/>
      <c r="J160"/>
      <c r="K160"/>
      <c r="L160"/>
      <c r="M160"/>
    </row>
    <row r="161" spans="1:13" x14ac:dyDescent="0.2">
      <c r="A161" t="s">
        <v>301</v>
      </c>
      <c r="B161"/>
      <c r="C161"/>
      <c r="D161"/>
      <c r="E161"/>
      <c r="F161"/>
      <c r="G161"/>
      <c r="H161"/>
      <c r="I161"/>
      <c r="J161"/>
      <c r="K161"/>
      <c r="L161"/>
      <c r="M161"/>
    </row>
    <row r="162" spans="1:13" x14ac:dyDescent="0.2">
      <c r="A162" t="s">
        <v>302</v>
      </c>
      <c r="B162"/>
      <c r="C162"/>
      <c r="D162"/>
      <c r="E162"/>
      <c r="F162"/>
      <c r="G162"/>
      <c r="H162"/>
      <c r="I162"/>
      <c r="J162"/>
      <c r="K162"/>
      <c r="L162"/>
      <c r="M162"/>
    </row>
    <row r="163" spans="1:13" x14ac:dyDescent="0.2">
      <c r="A163" t="s">
        <v>303</v>
      </c>
      <c r="B163"/>
      <c r="C163"/>
      <c r="D163"/>
      <c r="E163"/>
      <c r="F163"/>
      <c r="G163"/>
      <c r="H163"/>
      <c r="I163"/>
      <c r="J163"/>
      <c r="K163"/>
      <c r="L163"/>
      <c r="M163"/>
    </row>
    <row r="164" spans="1:13" x14ac:dyDescent="0.2">
      <c r="A164" t="s">
        <v>304</v>
      </c>
      <c r="B164"/>
      <c r="C164"/>
      <c r="D164"/>
      <c r="E164"/>
      <c r="F164"/>
      <c r="G164"/>
      <c r="H164"/>
      <c r="I164"/>
      <c r="J164"/>
      <c r="K164"/>
      <c r="L164"/>
      <c r="M164"/>
    </row>
    <row r="165" spans="1:13" x14ac:dyDescent="0.2">
      <c r="A165" t="s">
        <v>305</v>
      </c>
      <c r="B165"/>
      <c r="C165"/>
      <c r="D165"/>
      <c r="E165"/>
      <c r="F165"/>
      <c r="G165"/>
      <c r="H165"/>
      <c r="I165"/>
      <c r="J165"/>
      <c r="K165"/>
      <c r="L165"/>
      <c r="M165"/>
    </row>
    <row r="166" spans="1:13" x14ac:dyDescent="0.2">
      <c r="A166" t="s">
        <v>306</v>
      </c>
      <c r="B166"/>
      <c r="C166"/>
      <c r="D166"/>
      <c r="E166"/>
      <c r="F166"/>
      <c r="G166"/>
      <c r="H166"/>
      <c r="I166"/>
      <c r="J166"/>
      <c r="K166"/>
      <c r="L166"/>
      <c r="M166"/>
    </row>
    <row r="167" spans="1:13" x14ac:dyDescent="0.2">
      <c r="A167" t="s">
        <v>307</v>
      </c>
      <c r="B167"/>
      <c r="C167"/>
      <c r="D167"/>
      <c r="E167"/>
      <c r="F167"/>
      <c r="G167"/>
      <c r="H167"/>
      <c r="I167"/>
      <c r="J167"/>
      <c r="K167"/>
      <c r="L167"/>
      <c r="M167"/>
    </row>
    <row r="168" spans="1:13" x14ac:dyDescent="0.2">
      <c r="A168" t="s">
        <v>308</v>
      </c>
      <c r="B168"/>
      <c r="C168"/>
      <c r="D168"/>
      <c r="E168"/>
      <c r="F168"/>
      <c r="G168"/>
      <c r="H168"/>
      <c r="I168"/>
      <c r="J168"/>
      <c r="K168"/>
      <c r="L168"/>
      <c r="M168"/>
    </row>
    <row r="169" spans="1:13" x14ac:dyDescent="0.2">
      <c r="A169" t="s">
        <v>309</v>
      </c>
      <c r="B169"/>
      <c r="C169"/>
      <c r="D169"/>
      <c r="E169"/>
      <c r="F169"/>
      <c r="G169"/>
      <c r="H169"/>
      <c r="I169"/>
      <c r="J169"/>
      <c r="K169"/>
      <c r="L169"/>
      <c r="M169"/>
    </row>
    <row r="170" spans="1:13" x14ac:dyDescent="0.2">
      <c r="A170" t="s">
        <v>310</v>
      </c>
      <c r="B170"/>
      <c r="C170"/>
      <c r="D170"/>
      <c r="E170"/>
      <c r="F170"/>
      <c r="G170"/>
      <c r="H170"/>
      <c r="I170"/>
      <c r="J170"/>
      <c r="K170"/>
      <c r="L170"/>
      <c r="M170"/>
    </row>
    <row r="171" spans="1:13" x14ac:dyDescent="0.2">
      <c r="A171" t="s">
        <v>311</v>
      </c>
      <c r="B171"/>
      <c r="C171"/>
      <c r="D171"/>
      <c r="E171"/>
      <c r="F171"/>
      <c r="G171"/>
      <c r="H171"/>
      <c r="I171"/>
      <c r="J171"/>
      <c r="K171"/>
      <c r="L171"/>
      <c r="M171"/>
    </row>
    <row r="172" spans="1:13" x14ac:dyDescent="0.2">
      <c r="A172" t="s">
        <v>312</v>
      </c>
      <c r="B172"/>
      <c r="C172"/>
      <c r="D172"/>
      <c r="E172"/>
      <c r="F172"/>
      <c r="G172"/>
      <c r="H172"/>
      <c r="I172"/>
      <c r="J172"/>
      <c r="K172"/>
      <c r="L172"/>
      <c r="M172"/>
    </row>
    <row r="173" spans="1:13" x14ac:dyDescent="0.2">
      <c r="A173" t="s">
        <v>313</v>
      </c>
      <c r="B173"/>
      <c r="C173"/>
      <c r="D173"/>
      <c r="E173"/>
      <c r="F173"/>
      <c r="G173"/>
      <c r="H173"/>
      <c r="I173"/>
      <c r="J173"/>
      <c r="K173"/>
      <c r="L173"/>
      <c r="M173"/>
    </row>
    <row r="174" spans="1:13" x14ac:dyDescent="0.2">
      <c r="A174" t="s">
        <v>314</v>
      </c>
      <c r="B174"/>
      <c r="C174"/>
      <c r="D174"/>
      <c r="E174"/>
      <c r="F174"/>
      <c r="G174"/>
      <c r="H174"/>
      <c r="I174"/>
      <c r="J174"/>
      <c r="K174"/>
      <c r="L174"/>
      <c r="M174"/>
    </row>
    <row r="175" spans="1:13" x14ac:dyDescent="0.2">
      <c r="A175" t="s">
        <v>315</v>
      </c>
      <c r="B175"/>
      <c r="C175"/>
      <c r="D175"/>
      <c r="E175"/>
      <c r="F175"/>
      <c r="G175"/>
      <c r="H175"/>
      <c r="I175"/>
      <c r="J175"/>
      <c r="K175"/>
      <c r="L175"/>
      <c r="M175"/>
    </row>
    <row r="176" spans="1:13" x14ac:dyDescent="0.2">
      <c r="A176" t="s">
        <v>316</v>
      </c>
      <c r="B176"/>
      <c r="C176"/>
      <c r="D176"/>
      <c r="E176"/>
      <c r="F176"/>
      <c r="G176"/>
      <c r="H176"/>
      <c r="I176"/>
      <c r="J176"/>
      <c r="K176"/>
      <c r="L176"/>
      <c r="M176"/>
    </row>
    <row r="177" spans="1:13" x14ac:dyDescent="0.2">
      <c r="A177" t="s">
        <v>317</v>
      </c>
      <c r="B177"/>
      <c r="C177"/>
      <c r="D177"/>
      <c r="E177"/>
      <c r="F177"/>
      <c r="G177"/>
      <c r="H177"/>
      <c r="I177"/>
      <c r="J177"/>
      <c r="K177"/>
      <c r="L177"/>
      <c r="M177"/>
    </row>
    <row r="178" spans="1:13" x14ac:dyDescent="0.2">
      <c r="A178" t="s">
        <v>318</v>
      </c>
      <c r="B178"/>
      <c r="C178"/>
      <c r="D178"/>
      <c r="E178"/>
      <c r="F178"/>
      <c r="G178"/>
      <c r="H178"/>
      <c r="I178"/>
      <c r="J178"/>
      <c r="K178"/>
      <c r="L178"/>
      <c r="M178"/>
    </row>
    <row r="179" spans="1:13" x14ac:dyDescent="0.2">
      <c r="A179" t="s">
        <v>319</v>
      </c>
      <c r="B179"/>
      <c r="C179"/>
      <c r="D179"/>
      <c r="E179"/>
      <c r="F179"/>
      <c r="G179"/>
      <c r="H179"/>
      <c r="I179"/>
      <c r="J179"/>
      <c r="K179"/>
      <c r="L179"/>
      <c r="M179"/>
    </row>
    <row r="180" spans="1:13" x14ac:dyDescent="0.2">
      <c r="A180" t="s">
        <v>320</v>
      </c>
      <c r="B180"/>
      <c r="C180"/>
      <c r="D180"/>
      <c r="E180"/>
      <c r="F180"/>
      <c r="G180"/>
      <c r="H180"/>
      <c r="I180"/>
      <c r="J180"/>
      <c r="K180"/>
      <c r="L180"/>
      <c r="M180"/>
    </row>
    <row r="181" spans="1:13" x14ac:dyDescent="0.2">
      <c r="A181" t="s">
        <v>321</v>
      </c>
      <c r="B181"/>
      <c r="C181"/>
      <c r="D181"/>
      <c r="E181"/>
      <c r="F181"/>
      <c r="G181"/>
      <c r="H181"/>
      <c r="I181"/>
      <c r="J181"/>
      <c r="K181"/>
      <c r="L181"/>
      <c r="M181"/>
    </row>
    <row r="182" spans="1:13" x14ac:dyDescent="0.2">
      <c r="A182" t="s">
        <v>322</v>
      </c>
      <c r="B182"/>
      <c r="C182"/>
      <c r="D182"/>
      <c r="E182"/>
      <c r="F182"/>
      <c r="G182"/>
      <c r="H182"/>
      <c r="I182"/>
      <c r="J182"/>
      <c r="K182"/>
      <c r="L182"/>
      <c r="M182"/>
    </row>
    <row r="183" spans="1:13" x14ac:dyDescent="0.2">
      <c r="A183" t="s">
        <v>323</v>
      </c>
      <c r="B183"/>
      <c r="C183"/>
      <c r="D183"/>
      <c r="E183"/>
      <c r="F183"/>
      <c r="G183"/>
      <c r="H183"/>
      <c r="I183"/>
      <c r="J183"/>
      <c r="K183"/>
      <c r="L183"/>
      <c r="M183"/>
    </row>
    <row r="184" spans="1:13" x14ac:dyDescent="0.2">
      <c r="A184" t="s">
        <v>324</v>
      </c>
      <c r="B184"/>
      <c r="C184"/>
      <c r="D184"/>
      <c r="E184"/>
      <c r="F184"/>
      <c r="G184"/>
      <c r="H184"/>
      <c r="I184"/>
      <c r="J184"/>
      <c r="K184"/>
      <c r="L184"/>
      <c r="M184"/>
    </row>
    <row r="185" spans="1:13" x14ac:dyDescent="0.2">
      <c r="A185" t="s">
        <v>325</v>
      </c>
      <c r="B185"/>
      <c r="C185"/>
      <c r="D185"/>
      <c r="E185"/>
      <c r="F185"/>
      <c r="G185"/>
      <c r="H185"/>
      <c r="I185"/>
      <c r="J185"/>
      <c r="K185"/>
      <c r="L185"/>
      <c r="M185"/>
    </row>
    <row r="186" spans="1:13" x14ac:dyDescent="0.2">
      <c r="A186" t="s">
        <v>326</v>
      </c>
      <c r="B186"/>
      <c r="C186"/>
      <c r="D186"/>
      <c r="E186"/>
      <c r="F186"/>
      <c r="G186"/>
      <c r="H186"/>
      <c r="I186"/>
      <c r="J186"/>
      <c r="K186"/>
      <c r="L186"/>
      <c r="M186"/>
    </row>
    <row r="187" spans="1:13" x14ac:dyDescent="0.2">
      <c r="A187" t="s">
        <v>327</v>
      </c>
      <c r="B187"/>
      <c r="C187"/>
      <c r="D187"/>
      <c r="E187"/>
      <c r="F187"/>
      <c r="G187"/>
      <c r="H187"/>
      <c r="I187"/>
      <c r="J187"/>
      <c r="K187"/>
      <c r="L187"/>
      <c r="M187"/>
    </row>
    <row r="188" spans="1:13" x14ac:dyDescent="0.2">
      <c r="A188" t="s">
        <v>328</v>
      </c>
      <c r="B188"/>
      <c r="C188"/>
      <c r="D188"/>
      <c r="E188"/>
      <c r="F188"/>
      <c r="G188"/>
      <c r="H188"/>
      <c r="I188"/>
      <c r="J188"/>
      <c r="K188"/>
      <c r="L188"/>
      <c r="M188"/>
    </row>
    <row r="189" spans="1:13" x14ac:dyDescent="0.2">
      <c r="A189" t="s">
        <v>329</v>
      </c>
      <c r="B189"/>
      <c r="C189"/>
      <c r="D189"/>
      <c r="E189"/>
      <c r="F189"/>
      <c r="G189"/>
      <c r="H189"/>
      <c r="I189"/>
      <c r="J189"/>
      <c r="K189"/>
      <c r="L189"/>
      <c r="M189"/>
    </row>
    <row r="190" spans="1:13" x14ac:dyDescent="0.2">
      <c r="A190" t="s">
        <v>330</v>
      </c>
      <c r="B190"/>
      <c r="C190"/>
      <c r="D190"/>
      <c r="E190"/>
      <c r="F190"/>
      <c r="G190"/>
      <c r="H190"/>
      <c r="I190"/>
      <c r="J190"/>
      <c r="K190"/>
      <c r="L190"/>
      <c r="M190"/>
    </row>
    <row r="191" spans="1:13" x14ac:dyDescent="0.2">
      <c r="A191" t="s">
        <v>331</v>
      </c>
      <c r="B191"/>
      <c r="C191"/>
      <c r="D191"/>
      <c r="E191"/>
      <c r="F191"/>
      <c r="G191"/>
      <c r="H191"/>
      <c r="I191"/>
      <c r="J191"/>
      <c r="K191"/>
      <c r="L191"/>
      <c r="M191"/>
    </row>
    <row r="192" spans="1:13" x14ac:dyDescent="0.2">
      <c r="A192" t="s">
        <v>332</v>
      </c>
      <c r="B192"/>
      <c r="C192"/>
      <c r="D192"/>
      <c r="E192"/>
      <c r="F192"/>
      <c r="G192"/>
      <c r="H192"/>
      <c r="I192"/>
      <c r="J192"/>
      <c r="K192"/>
      <c r="L192"/>
      <c r="M192"/>
    </row>
    <row r="193" spans="1:13" x14ac:dyDescent="0.2">
      <c r="A193" t="s">
        <v>333</v>
      </c>
      <c r="B193"/>
      <c r="C193"/>
      <c r="D193"/>
      <c r="E193"/>
      <c r="F193"/>
      <c r="G193"/>
      <c r="H193"/>
      <c r="I193"/>
      <c r="J193"/>
      <c r="K193"/>
      <c r="L193"/>
      <c r="M193"/>
    </row>
    <row r="194" spans="1:13" x14ac:dyDescent="0.2">
      <c r="A194" t="s">
        <v>334</v>
      </c>
      <c r="B194"/>
      <c r="C194"/>
      <c r="D194"/>
      <c r="E194"/>
      <c r="F194"/>
      <c r="G194"/>
      <c r="H194"/>
      <c r="I194"/>
      <c r="J194"/>
      <c r="K194"/>
      <c r="L194"/>
      <c r="M194"/>
    </row>
    <row r="195" spans="1:13" x14ac:dyDescent="0.2">
      <c r="A195" t="s">
        <v>335</v>
      </c>
      <c r="B195"/>
      <c r="C195"/>
      <c r="D195"/>
      <c r="E195"/>
      <c r="F195"/>
      <c r="G195"/>
      <c r="H195"/>
      <c r="I195"/>
      <c r="J195"/>
      <c r="K195"/>
      <c r="L195"/>
      <c r="M195"/>
    </row>
    <row r="196" spans="1:13" x14ac:dyDescent="0.2">
      <c r="A196" t="s">
        <v>336</v>
      </c>
      <c r="B196"/>
      <c r="C196"/>
      <c r="D196"/>
      <c r="E196"/>
      <c r="F196"/>
      <c r="G196"/>
      <c r="H196"/>
      <c r="I196"/>
      <c r="J196"/>
      <c r="K196"/>
      <c r="L196"/>
      <c r="M196"/>
    </row>
    <row r="197" spans="1:13" x14ac:dyDescent="0.2">
      <c r="A197" t="s">
        <v>337</v>
      </c>
      <c r="B197"/>
      <c r="C197"/>
      <c r="D197"/>
      <c r="E197"/>
      <c r="F197"/>
      <c r="G197"/>
      <c r="H197"/>
      <c r="I197"/>
      <c r="J197"/>
      <c r="K197"/>
      <c r="L197"/>
      <c r="M197"/>
    </row>
    <row r="198" spans="1:13" x14ac:dyDescent="0.2">
      <c r="A198" t="s">
        <v>338</v>
      </c>
      <c r="B198"/>
      <c r="C198"/>
      <c r="D198"/>
      <c r="E198"/>
      <c r="F198"/>
      <c r="G198"/>
      <c r="H198"/>
      <c r="I198"/>
      <c r="J198"/>
      <c r="K198"/>
      <c r="L198"/>
      <c r="M198"/>
    </row>
    <row r="199" spans="1:13" x14ac:dyDescent="0.2">
      <c r="A199" t="s">
        <v>339</v>
      </c>
      <c r="B199"/>
      <c r="C199"/>
      <c r="D199"/>
      <c r="E199"/>
      <c r="F199"/>
      <c r="G199"/>
      <c r="H199"/>
      <c r="I199"/>
      <c r="J199"/>
      <c r="K199"/>
      <c r="L199"/>
      <c r="M199"/>
    </row>
    <row r="200" spans="1:13" x14ac:dyDescent="0.2">
      <c r="A200" t="s">
        <v>340</v>
      </c>
      <c r="B200"/>
      <c r="C200"/>
      <c r="D200"/>
      <c r="E200"/>
      <c r="F200"/>
      <c r="G200"/>
      <c r="H200"/>
      <c r="I200"/>
      <c r="J200"/>
      <c r="K200"/>
      <c r="L200"/>
      <c r="M200"/>
    </row>
    <row r="201" spans="1:13" x14ac:dyDescent="0.2">
      <c r="A201" t="s">
        <v>341</v>
      </c>
      <c r="B201"/>
      <c r="C201"/>
      <c r="D201"/>
      <c r="E201"/>
      <c r="F201"/>
      <c r="G201"/>
      <c r="H201"/>
      <c r="I201"/>
      <c r="J201"/>
      <c r="K201"/>
      <c r="L201"/>
      <c r="M201"/>
    </row>
    <row r="202" spans="1:13" x14ac:dyDescent="0.2">
      <c r="A202" t="s">
        <v>342</v>
      </c>
      <c r="B202"/>
      <c r="C202"/>
      <c r="D202"/>
      <c r="E202"/>
      <c r="F202"/>
      <c r="G202"/>
      <c r="H202"/>
      <c r="I202"/>
      <c r="J202"/>
      <c r="K202"/>
      <c r="L202"/>
      <c r="M202"/>
    </row>
    <row r="203" spans="1:13" x14ac:dyDescent="0.2">
      <c r="A203" t="s">
        <v>343</v>
      </c>
      <c r="B203"/>
      <c r="C203"/>
      <c r="D203"/>
      <c r="E203"/>
      <c r="F203"/>
      <c r="G203"/>
      <c r="H203"/>
      <c r="I203"/>
      <c r="J203"/>
      <c r="K203"/>
      <c r="L203"/>
      <c r="M203"/>
    </row>
    <row r="204" spans="1:13" x14ac:dyDescent="0.2">
      <c r="A204" t="s">
        <v>344</v>
      </c>
      <c r="B204"/>
      <c r="C204"/>
      <c r="D204"/>
      <c r="E204"/>
      <c r="F204"/>
      <c r="G204"/>
      <c r="H204"/>
      <c r="I204"/>
      <c r="J204"/>
      <c r="K204"/>
      <c r="L204"/>
      <c r="M204"/>
    </row>
    <row r="205" spans="1:13" x14ac:dyDescent="0.2">
      <c r="A205" t="s">
        <v>345</v>
      </c>
      <c r="B205"/>
      <c r="C205"/>
      <c r="D205"/>
      <c r="E205"/>
      <c r="F205"/>
      <c r="G205"/>
      <c r="H205"/>
      <c r="I205"/>
      <c r="J205"/>
      <c r="K205"/>
      <c r="L205"/>
      <c r="M205"/>
    </row>
    <row r="206" spans="1:13" x14ac:dyDescent="0.2">
      <c r="A206" t="s">
        <v>346</v>
      </c>
      <c r="B206"/>
      <c r="C206"/>
      <c r="D206"/>
      <c r="E206"/>
      <c r="F206"/>
      <c r="G206"/>
      <c r="H206"/>
      <c r="I206"/>
      <c r="J206"/>
      <c r="K206"/>
      <c r="L206"/>
      <c r="M206"/>
    </row>
    <row r="207" spans="1:13" x14ac:dyDescent="0.2">
      <c r="A207" t="s">
        <v>347</v>
      </c>
      <c r="B207"/>
      <c r="C207"/>
      <c r="D207"/>
      <c r="E207"/>
      <c r="F207"/>
      <c r="G207"/>
      <c r="H207"/>
      <c r="I207"/>
      <c r="J207"/>
      <c r="K207"/>
      <c r="L207"/>
      <c r="M207"/>
    </row>
    <row r="208" spans="1:13" x14ac:dyDescent="0.2">
      <c r="A208" t="s">
        <v>348</v>
      </c>
      <c r="B208"/>
      <c r="C208"/>
      <c r="D208"/>
      <c r="E208"/>
      <c r="F208"/>
      <c r="G208"/>
      <c r="H208"/>
      <c r="I208"/>
      <c r="J208"/>
      <c r="K208"/>
      <c r="L208"/>
      <c r="M208"/>
    </row>
    <row r="209" spans="1:13" x14ac:dyDescent="0.2">
      <c r="A209" t="s">
        <v>349</v>
      </c>
      <c r="B209"/>
      <c r="C209"/>
      <c r="D209"/>
      <c r="E209"/>
      <c r="F209"/>
      <c r="G209"/>
      <c r="H209"/>
      <c r="I209"/>
      <c r="J209"/>
      <c r="K209"/>
      <c r="L209"/>
      <c r="M209"/>
    </row>
    <row r="210" spans="1:13" x14ac:dyDescent="0.2">
      <c r="A210" t="s">
        <v>350</v>
      </c>
      <c r="B210"/>
      <c r="C210"/>
      <c r="D210"/>
      <c r="E210"/>
      <c r="F210"/>
      <c r="G210"/>
      <c r="H210"/>
      <c r="I210"/>
      <c r="J210"/>
      <c r="K210"/>
      <c r="L210"/>
      <c r="M210"/>
    </row>
    <row r="211" spans="1:13" x14ac:dyDescent="0.2">
      <c r="A211" t="s">
        <v>351</v>
      </c>
      <c r="B211"/>
      <c r="C211"/>
      <c r="D211"/>
      <c r="E211"/>
      <c r="F211"/>
      <c r="G211"/>
      <c r="H211"/>
      <c r="I211"/>
      <c r="J211"/>
      <c r="K211"/>
      <c r="L211"/>
      <c r="M211"/>
    </row>
    <row r="212" spans="1:13" x14ac:dyDescent="0.2">
      <c r="A212" t="s">
        <v>352</v>
      </c>
      <c r="B212"/>
      <c r="C212"/>
      <c r="D212"/>
      <c r="E212"/>
      <c r="F212"/>
      <c r="G212"/>
      <c r="H212"/>
      <c r="I212"/>
      <c r="J212"/>
      <c r="K212"/>
      <c r="L212"/>
      <c r="M212"/>
    </row>
    <row r="213" spans="1:13" x14ac:dyDescent="0.2">
      <c r="A213" t="s">
        <v>353</v>
      </c>
      <c r="B213"/>
      <c r="C213"/>
      <c r="D213"/>
      <c r="E213"/>
      <c r="F213"/>
      <c r="G213"/>
      <c r="H213"/>
      <c r="I213"/>
      <c r="J213"/>
      <c r="K213"/>
      <c r="L213"/>
      <c r="M213"/>
    </row>
    <row r="214" spans="1:13" x14ac:dyDescent="0.2">
      <c r="A214" t="s">
        <v>354</v>
      </c>
      <c r="B214"/>
      <c r="C214"/>
      <c r="D214"/>
      <c r="E214"/>
      <c r="F214"/>
      <c r="G214"/>
      <c r="H214"/>
      <c r="I214"/>
      <c r="J214"/>
      <c r="K214"/>
      <c r="L214"/>
      <c r="M214"/>
    </row>
    <row r="215" spans="1:13" x14ac:dyDescent="0.2">
      <c r="A215" t="s">
        <v>355</v>
      </c>
      <c r="B215"/>
      <c r="C215"/>
      <c r="D215"/>
      <c r="E215"/>
      <c r="F215"/>
      <c r="G215"/>
      <c r="H215"/>
      <c r="I215"/>
      <c r="J215"/>
      <c r="K215"/>
      <c r="L215"/>
      <c r="M215"/>
    </row>
    <row r="216" spans="1:13" x14ac:dyDescent="0.2">
      <c r="A216" t="s">
        <v>356</v>
      </c>
      <c r="B216"/>
      <c r="C216"/>
      <c r="D216"/>
      <c r="E216"/>
      <c r="F216"/>
      <c r="G216"/>
      <c r="H216"/>
      <c r="I216"/>
      <c r="J216"/>
      <c r="K216"/>
      <c r="L216"/>
      <c r="M216"/>
    </row>
    <row r="217" spans="1:13" x14ac:dyDescent="0.2">
      <c r="A217" t="s">
        <v>357</v>
      </c>
      <c r="B217"/>
      <c r="C217"/>
      <c r="D217"/>
      <c r="E217"/>
      <c r="F217"/>
      <c r="G217"/>
      <c r="H217"/>
      <c r="I217"/>
      <c r="J217"/>
      <c r="K217"/>
      <c r="L217"/>
      <c r="M217"/>
    </row>
    <row r="218" spans="1:13" x14ac:dyDescent="0.2">
      <c r="A218" t="s">
        <v>358</v>
      </c>
      <c r="B218"/>
      <c r="C218"/>
      <c r="D218"/>
      <c r="E218"/>
      <c r="F218"/>
      <c r="G218"/>
      <c r="H218"/>
      <c r="I218"/>
      <c r="J218"/>
      <c r="K218"/>
      <c r="L218"/>
      <c r="M218"/>
    </row>
    <row r="219" spans="1:13" x14ac:dyDescent="0.2">
      <c r="A219" t="s">
        <v>359</v>
      </c>
      <c r="B219"/>
      <c r="C219"/>
      <c r="D219"/>
      <c r="E219"/>
      <c r="F219"/>
      <c r="G219"/>
      <c r="H219"/>
      <c r="I219"/>
      <c r="J219"/>
      <c r="K219"/>
      <c r="L219"/>
      <c r="M219"/>
    </row>
    <row r="220" spans="1:13" x14ac:dyDescent="0.2">
      <c r="A220" t="s">
        <v>360</v>
      </c>
      <c r="B220"/>
      <c r="C220"/>
      <c r="D220"/>
      <c r="E220"/>
      <c r="F220"/>
      <c r="G220"/>
      <c r="H220"/>
      <c r="I220"/>
      <c r="J220"/>
      <c r="K220"/>
      <c r="L220"/>
      <c r="M220"/>
    </row>
    <row r="221" spans="1:13" x14ac:dyDescent="0.2">
      <c r="A221" t="s">
        <v>361</v>
      </c>
      <c r="B221"/>
      <c r="C221"/>
      <c r="D221"/>
      <c r="E221"/>
      <c r="F221"/>
      <c r="G221"/>
      <c r="H221"/>
      <c r="I221"/>
      <c r="J221"/>
      <c r="K221"/>
      <c r="L221"/>
      <c r="M221"/>
    </row>
    <row r="222" spans="1:13" x14ac:dyDescent="0.2">
      <c r="A222" t="s">
        <v>362</v>
      </c>
      <c r="B222"/>
      <c r="C222"/>
      <c r="D222"/>
      <c r="E222"/>
      <c r="F222"/>
      <c r="G222"/>
      <c r="H222"/>
      <c r="I222"/>
      <c r="J222"/>
      <c r="K222"/>
      <c r="L222"/>
      <c r="M222"/>
    </row>
    <row r="223" spans="1:13" x14ac:dyDescent="0.2">
      <c r="A223" t="s">
        <v>363</v>
      </c>
      <c r="B223"/>
      <c r="C223"/>
      <c r="D223"/>
      <c r="E223"/>
      <c r="F223"/>
      <c r="G223"/>
      <c r="H223"/>
      <c r="I223"/>
      <c r="J223"/>
      <c r="K223"/>
      <c r="L223"/>
      <c r="M223"/>
    </row>
    <row r="224" spans="1:13" x14ac:dyDescent="0.2">
      <c r="A224" t="s">
        <v>364</v>
      </c>
      <c r="B224"/>
      <c r="C224"/>
      <c r="D224"/>
      <c r="E224"/>
      <c r="F224"/>
      <c r="G224"/>
      <c r="H224"/>
      <c r="I224"/>
      <c r="J224"/>
      <c r="K224"/>
      <c r="L224"/>
      <c r="M224"/>
    </row>
    <row r="225" spans="1:13" x14ac:dyDescent="0.2">
      <c r="A225" t="s">
        <v>365</v>
      </c>
      <c r="B225"/>
      <c r="C225"/>
      <c r="D225"/>
      <c r="E225"/>
      <c r="F225"/>
      <c r="G225"/>
      <c r="H225"/>
      <c r="I225"/>
      <c r="J225"/>
      <c r="K225"/>
      <c r="L225"/>
      <c r="M225"/>
    </row>
    <row r="226" spans="1:13" x14ac:dyDescent="0.2">
      <c r="A226" t="s">
        <v>366</v>
      </c>
      <c r="B226"/>
      <c r="C226"/>
      <c r="D226"/>
      <c r="E226"/>
      <c r="F226"/>
      <c r="G226"/>
      <c r="H226"/>
      <c r="I226"/>
      <c r="J226"/>
      <c r="K226"/>
      <c r="L226"/>
      <c r="M226"/>
    </row>
    <row r="227" spans="1:13" x14ac:dyDescent="0.2">
      <c r="A227" t="s">
        <v>367</v>
      </c>
      <c r="B227"/>
      <c r="C227"/>
      <c r="D227"/>
      <c r="E227"/>
      <c r="F227"/>
      <c r="G227"/>
      <c r="H227"/>
      <c r="I227"/>
      <c r="J227"/>
      <c r="K227"/>
      <c r="L227"/>
      <c r="M227"/>
    </row>
    <row r="228" spans="1:13" x14ac:dyDescent="0.2">
      <c r="A228" t="s">
        <v>368</v>
      </c>
      <c r="B228"/>
      <c r="C228"/>
      <c r="D228"/>
      <c r="E228"/>
      <c r="F228"/>
      <c r="G228"/>
      <c r="H228"/>
      <c r="I228"/>
      <c r="J228"/>
      <c r="K228"/>
      <c r="L228"/>
      <c r="M228"/>
    </row>
    <row r="229" spans="1:13" x14ac:dyDescent="0.2">
      <c r="A229" t="s">
        <v>369</v>
      </c>
      <c r="B229"/>
      <c r="C229"/>
      <c r="D229"/>
      <c r="E229"/>
      <c r="F229"/>
      <c r="G229"/>
      <c r="H229"/>
      <c r="I229"/>
      <c r="J229"/>
      <c r="K229"/>
      <c r="L229"/>
      <c r="M229"/>
    </row>
    <row r="230" spans="1:13" x14ac:dyDescent="0.2">
      <c r="A230" t="s">
        <v>370</v>
      </c>
      <c r="B230"/>
      <c r="C230"/>
      <c r="D230"/>
      <c r="E230"/>
      <c r="F230"/>
      <c r="G230"/>
      <c r="H230"/>
      <c r="I230"/>
      <c r="J230"/>
      <c r="K230"/>
      <c r="L230"/>
      <c r="M230"/>
    </row>
    <row r="231" spans="1:13" x14ac:dyDescent="0.2">
      <c r="A231" t="s">
        <v>371</v>
      </c>
      <c r="B231"/>
      <c r="C231"/>
      <c r="D231"/>
      <c r="E231"/>
      <c r="F231"/>
      <c r="G231"/>
      <c r="H231"/>
      <c r="I231"/>
      <c r="J231"/>
      <c r="K231"/>
      <c r="L231"/>
      <c r="M231"/>
    </row>
    <row r="232" spans="1:13" x14ac:dyDescent="0.2">
      <c r="A232" t="s">
        <v>372</v>
      </c>
      <c r="B232"/>
      <c r="C232"/>
      <c r="D232"/>
      <c r="E232"/>
      <c r="F232"/>
      <c r="G232"/>
      <c r="H232"/>
      <c r="I232"/>
      <c r="J232"/>
      <c r="K232"/>
      <c r="L232"/>
      <c r="M232"/>
    </row>
    <row r="233" spans="1:13" x14ac:dyDescent="0.2">
      <c r="A233" t="s">
        <v>373</v>
      </c>
      <c r="B233"/>
      <c r="C233"/>
      <c r="D233"/>
      <c r="E233"/>
      <c r="F233"/>
      <c r="G233"/>
      <c r="H233"/>
      <c r="I233"/>
      <c r="J233"/>
      <c r="K233"/>
      <c r="L233"/>
      <c r="M233"/>
    </row>
    <row r="234" spans="1:13" x14ac:dyDescent="0.2">
      <c r="A234" t="s">
        <v>374</v>
      </c>
      <c r="B234"/>
      <c r="C234"/>
      <c r="D234"/>
      <c r="E234"/>
      <c r="F234"/>
      <c r="G234"/>
      <c r="H234"/>
      <c r="I234"/>
      <c r="J234"/>
      <c r="K234"/>
      <c r="L234"/>
      <c r="M234"/>
    </row>
    <row r="235" spans="1:13" x14ac:dyDescent="0.2">
      <c r="A235" t="s">
        <v>375</v>
      </c>
      <c r="B235"/>
      <c r="C235"/>
      <c r="D235"/>
      <c r="E235"/>
      <c r="F235"/>
      <c r="G235"/>
      <c r="H235"/>
      <c r="I235"/>
      <c r="J235"/>
      <c r="K235"/>
      <c r="L235"/>
      <c r="M235"/>
    </row>
    <row r="236" spans="1:13" x14ac:dyDescent="0.2">
      <c r="A236" t="s">
        <v>376</v>
      </c>
      <c r="B236"/>
      <c r="C236"/>
      <c r="D236"/>
      <c r="E236"/>
      <c r="F236"/>
      <c r="G236"/>
      <c r="H236"/>
      <c r="I236"/>
      <c r="J236"/>
      <c r="K236"/>
      <c r="L236"/>
      <c r="M236"/>
    </row>
    <row r="237" spans="1:13" x14ac:dyDescent="0.2">
      <c r="A237" t="s">
        <v>377</v>
      </c>
      <c r="B237"/>
      <c r="C237"/>
      <c r="D237"/>
      <c r="E237"/>
      <c r="F237"/>
      <c r="G237"/>
      <c r="H237"/>
      <c r="I237"/>
      <c r="J237"/>
      <c r="K237"/>
      <c r="L237"/>
      <c r="M237"/>
    </row>
    <row r="238" spans="1:13" x14ac:dyDescent="0.2">
      <c r="A238" t="s">
        <v>378</v>
      </c>
      <c r="B238"/>
      <c r="C238"/>
      <c r="D238"/>
      <c r="E238"/>
      <c r="F238"/>
      <c r="G238"/>
      <c r="H238"/>
      <c r="I238"/>
      <c r="J238"/>
      <c r="K238"/>
      <c r="L238"/>
      <c r="M238"/>
    </row>
    <row r="239" spans="1:13" x14ac:dyDescent="0.2">
      <c r="A239" t="s">
        <v>379</v>
      </c>
      <c r="B239"/>
      <c r="C239"/>
      <c r="D239"/>
      <c r="E239"/>
      <c r="F239"/>
      <c r="G239"/>
      <c r="H239"/>
      <c r="I239"/>
      <c r="J239"/>
      <c r="K239"/>
      <c r="L239"/>
      <c r="M239"/>
    </row>
    <row r="240" spans="1:13" x14ac:dyDescent="0.2">
      <c r="A240" t="s">
        <v>380</v>
      </c>
      <c r="B240"/>
      <c r="C240"/>
      <c r="D240"/>
      <c r="E240"/>
      <c r="F240"/>
      <c r="G240"/>
      <c r="H240"/>
      <c r="I240"/>
      <c r="J240"/>
      <c r="K240"/>
      <c r="L240"/>
      <c r="M240"/>
    </row>
    <row r="241" spans="1:13" x14ac:dyDescent="0.2">
      <c r="A241" t="s">
        <v>381</v>
      </c>
      <c r="B241"/>
      <c r="C241"/>
      <c r="D241"/>
      <c r="E241"/>
      <c r="F241"/>
      <c r="G241"/>
      <c r="H241"/>
      <c r="I241"/>
      <c r="J241"/>
      <c r="K241"/>
      <c r="L241"/>
      <c r="M241"/>
    </row>
    <row r="242" spans="1:13" x14ac:dyDescent="0.2">
      <c r="A242" t="s">
        <v>382</v>
      </c>
      <c r="B242"/>
      <c r="C242"/>
      <c r="D242"/>
      <c r="E242"/>
      <c r="F242"/>
      <c r="G242"/>
      <c r="H242"/>
      <c r="I242"/>
      <c r="J242"/>
      <c r="K242"/>
      <c r="L242"/>
      <c r="M242"/>
    </row>
    <row r="243" spans="1:13" x14ac:dyDescent="0.2">
      <c r="A243" t="s">
        <v>383</v>
      </c>
      <c r="B243"/>
      <c r="C243"/>
      <c r="D243"/>
      <c r="E243"/>
      <c r="F243"/>
      <c r="G243"/>
      <c r="H243"/>
      <c r="I243"/>
      <c r="J243"/>
      <c r="K243"/>
      <c r="L243"/>
      <c r="M243"/>
    </row>
    <row r="244" spans="1:13" x14ac:dyDescent="0.2">
      <c r="A244" t="s">
        <v>384</v>
      </c>
      <c r="B244"/>
      <c r="C244"/>
      <c r="D244"/>
      <c r="E244"/>
      <c r="F244"/>
      <c r="G244"/>
      <c r="H244"/>
      <c r="I244"/>
      <c r="J244"/>
      <c r="K244"/>
      <c r="L244"/>
      <c r="M244"/>
    </row>
    <row r="245" spans="1:13" x14ac:dyDescent="0.2">
      <c r="A245" t="s">
        <v>385</v>
      </c>
      <c r="B245"/>
      <c r="C245"/>
      <c r="D245"/>
      <c r="E245"/>
      <c r="F245"/>
      <c r="G245"/>
      <c r="H245"/>
      <c r="I245"/>
      <c r="J245"/>
      <c r="K245"/>
      <c r="L245"/>
      <c r="M245"/>
    </row>
    <row r="246" spans="1:13" x14ac:dyDescent="0.2">
      <c r="A246" t="s">
        <v>386</v>
      </c>
      <c r="B246"/>
      <c r="C246"/>
      <c r="D246"/>
      <c r="E246"/>
      <c r="F246"/>
      <c r="G246"/>
      <c r="H246"/>
      <c r="I246"/>
      <c r="J246"/>
      <c r="K246"/>
      <c r="L246"/>
      <c r="M246"/>
    </row>
    <row r="247" spans="1:13" x14ac:dyDescent="0.2">
      <c r="A247" t="s">
        <v>387</v>
      </c>
      <c r="B247"/>
      <c r="C247"/>
      <c r="D247"/>
      <c r="E247"/>
      <c r="F247"/>
      <c r="G247"/>
      <c r="H247"/>
      <c r="I247"/>
      <c r="J247"/>
      <c r="K247"/>
      <c r="L247"/>
      <c r="M247"/>
    </row>
    <row r="248" spans="1:13" x14ac:dyDescent="0.2">
      <c r="A248" t="s">
        <v>388</v>
      </c>
      <c r="B248"/>
      <c r="C248"/>
      <c r="D248"/>
      <c r="E248"/>
      <c r="F248"/>
      <c r="G248"/>
      <c r="H248"/>
      <c r="I248"/>
      <c r="J248"/>
      <c r="K248"/>
      <c r="L248"/>
      <c r="M248"/>
    </row>
    <row r="249" spans="1:13" x14ac:dyDescent="0.2">
      <c r="A249" t="s">
        <v>389</v>
      </c>
      <c r="B249"/>
      <c r="C249"/>
      <c r="D249"/>
      <c r="E249"/>
      <c r="F249"/>
      <c r="G249"/>
      <c r="H249"/>
      <c r="I249"/>
      <c r="J249"/>
      <c r="K249"/>
      <c r="L249"/>
      <c r="M249"/>
    </row>
    <row r="250" spans="1:13" x14ac:dyDescent="0.2">
      <c r="A250" t="s">
        <v>390</v>
      </c>
      <c r="B250"/>
      <c r="C250"/>
      <c r="D250"/>
      <c r="E250"/>
      <c r="F250"/>
      <c r="G250"/>
      <c r="H250"/>
      <c r="I250"/>
      <c r="J250"/>
      <c r="K250"/>
      <c r="L250"/>
      <c r="M250"/>
    </row>
    <row r="251" spans="1:13" x14ac:dyDescent="0.2">
      <c r="A251" t="s">
        <v>391</v>
      </c>
      <c r="B251"/>
      <c r="C251"/>
      <c r="D251"/>
      <c r="E251"/>
      <c r="F251"/>
      <c r="G251"/>
      <c r="H251"/>
      <c r="I251"/>
      <c r="J251"/>
      <c r="K251"/>
      <c r="L251"/>
      <c r="M251"/>
    </row>
    <row r="252" spans="1:13" x14ac:dyDescent="0.2">
      <c r="A252" t="s">
        <v>392</v>
      </c>
      <c r="B252"/>
      <c r="C252"/>
      <c r="D252"/>
      <c r="E252"/>
      <c r="F252"/>
      <c r="G252"/>
      <c r="H252"/>
      <c r="I252"/>
      <c r="J252"/>
      <c r="K252"/>
      <c r="L252"/>
      <c r="M252"/>
    </row>
    <row r="253" spans="1:13" x14ac:dyDescent="0.2">
      <c r="A253" t="s">
        <v>393</v>
      </c>
      <c r="B253"/>
      <c r="C253"/>
      <c r="D253"/>
      <c r="E253"/>
      <c r="F253"/>
      <c r="G253"/>
      <c r="H253"/>
      <c r="I253"/>
      <c r="J253"/>
      <c r="K253"/>
      <c r="L253"/>
      <c r="M253"/>
    </row>
    <row r="254" spans="1:13" x14ac:dyDescent="0.2">
      <c r="A254" t="s">
        <v>394</v>
      </c>
      <c r="B254"/>
      <c r="C254"/>
      <c r="D254"/>
      <c r="E254"/>
      <c r="F254"/>
      <c r="G254"/>
      <c r="H254"/>
      <c r="I254"/>
      <c r="J254"/>
      <c r="K254"/>
      <c r="L254"/>
      <c r="M254"/>
    </row>
    <row r="255" spans="1:13" x14ac:dyDescent="0.2">
      <c r="A255" t="s">
        <v>395</v>
      </c>
      <c r="B255"/>
      <c r="C255"/>
      <c r="D255"/>
      <c r="E255"/>
      <c r="F255"/>
      <c r="G255"/>
      <c r="H255"/>
      <c r="I255"/>
      <c r="J255"/>
      <c r="K255"/>
      <c r="L255"/>
      <c r="M255"/>
    </row>
    <row r="256" spans="1:13" x14ac:dyDescent="0.2">
      <c r="A256" t="s">
        <v>396</v>
      </c>
      <c r="B256"/>
      <c r="C256"/>
      <c r="D256"/>
      <c r="E256"/>
      <c r="F256"/>
      <c r="G256"/>
      <c r="H256"/>
      <c r="I256"/>
      <c r="J256"/>
      <c r="K256"/>
      <c r="L256"/>
      <c r="M256"/>
    </row>
    <row r="257" spans="1:13" x14ac:dyDescent="0.2">
      <c r="A257" t="s">
        <v>397</v>
      </c>
      <c r="B257"/>
      <c r="C257"/>
      <c r="D257"/>
      <c r="E257"/>
      <c r="F257"/>
      <c r="G257"/>
      <c r="H257"/>
      <c r="I257"/>
      <c r="J257"/>
      <c r="K257"/>
      <c r="L257"/>
      <c r="M257"/>
    </row>
    <row r="258" spans="1:13" x14ac:dyDescent="0.2">
      <c r="A258" t="s">
        <v>398</v>
      </c>
      <c r="B258"/>
      <c r="C258"/>
      <c r="D258"/>
      <c r="E258"/>
      <c r="F258"/>
      <c r="G258"/>
      <c r="H258"/>
      <c r="I258"/>
      <c r="J258"/>
      <c r="K258"/>
      <c r="L258"/>
      <c r="M258"/>
    </row>
    <row r="259" spans="1:13" x14ac:dyDescent="0.2">
      <c r="A259" t="s">
        <v>399</v>
      </c>
      <c r="B259"/>
      <c r="C259"/>
      <c r="D259"/>
      <c r="E259"/>
      <c r="F259"/>
      <c r="G259"/>
      <c r="H259"/>
      <c r="I259"/>
      <c r="J259"/>
      <c r="K259"/>
      <c r="L259"/>
      <c r="M259"/>
    </row>
    <row r="260" spans="1:13" x14ac:dyDescent="0.2">
      <c r="A260" t="s">
        <v>400</v>
      </c>
      <c r="B260"/>
      <c r="C260"/>
      <c r="D260"/>
      <c r="E260"/>
      <c r="F260"/>
      <c r="G260"/>
      <c r="H260"/>
      <c r="I260"/>
      <c r="J260"/>
      <c r="K260"/>
      <c r="L260"/>
      <c r="M260"/>
    </row>
    <row r="261" spans="1:13" x14ac:dyDescent="0.2">
      <c r="A261" t="s">
        <v>401</v>
      </c>
      <c r="B261"/>
      <c r="C261"/>
      <c r="D261"/>
      <c r="E261"/>
      <c r="F261"/>
      <c r="G261"/>
      <c r="H261"/>
      <c r="I261"/>
      <c r="J261"/>
      <c r="K261"/>
      <c r="L261"/>
      <c r="M261"/>
    </row>
    <row r="262" spans="1:13" x14ac:dyDescent="0.2">
      <c r="A262" t="s">
        <v>402</v>
      </c>
      <c r="B262"/>
      <c r="C262"/>
      <c r="D262"/>
      <c r="E262"/>
      <c r="F262"/>
      <c r="G262"/>
      <c r="H262"/>
      <c r="I262"/>
      <c r="J262"/>
      <c r="K262"/>
      <c r="L262"/>
      <c r="M262"/>
    </row>
    <row r="263" spans="1:13" x14ac:dyDescent="0.2">
      <c r="A263" t="s">
        <v>403</v>
      </c>
      <c r="B263"/>
      <c r="C263"/>
      <c r="D263"/>
      <c r="E263"/>
      <c r="F263"/>
      <c r="G263"/>
      <c r="H263"/>
      <c r="I263"/>
      <c r="J263"/>
      <c r="K263"/>
      <c r="L263"/>
      <c r="M263"/>
    </row>
    <row r="264" spans="1:13" x14ac:dyDescent="0.2">
      <c r="A264" t="s">
        <v>404</v>
      </c>
      <c r="B264"/>
      <c r="C264"/>
      <c r="D264"/>
      <c r="E264"/>
      <c r="F264"/>
      <c r="G264"/>
      <c r="H264"/>
      <c r="I264"/>
      <c r="J264"/>
      <c r="K264"/>
      <c r="L264"/>
      <c r="M264"/>
    </row>
    <row r="265" spans="1:13" x14ac:dyDescent="0.2">
      <c r="A265" t="s">
        <v>405</v>
      </c>
      <c r="B265"/>
      <c r="C265"/>
      <c r="D265"/>
      <c r="E265"/>
      <c r="F265"/>
      <c r="G265"/>
      <c r="H265"/>
      <c r="I265"/>
      <c r="J265"/>
      <c r="K265"/>
      <c r="L265"/>
      <c r="M265"/>
    </row>
    <row r="266" spans="1:13" x14ac:dyDescent="0.2">
      <c r="A266" t="s">
        <v>406</v>
      </c>
      <c r="B266"/>
      <c r="C266"/>
      <c r="D266"/>
      <c r="E266"/>
      <c r="F266"/>
      <c r="G266"/>
      <c r="H266"/>
      <c r="I266"/>
      <c r="J266"/>
      <c r="K266"/>
      <c r="L266"/>
      <c r="M266"/>
    </row>
    <row r="267" spans="1:13" x14ac:dyDescent="0.2">
      <c r="A267" t="s">
        <v>407</v>
      </c>
      <c r="B267"/>
      <c r="C267"/>
      <c r="D267"/>
      <c r="E267"/>
      <c r="F267"/>
      <c r="G267"/>
      <c r="H267"/>
      <c r="I267"/>
      <c r="J267"/>
      <c r="K267"/>
      <c r="L267"/>
      <c r="M267"/>
    </row>
    <row r="268" spans="1:13" x14ac:dyDescent="0.2">
      <c r="A268" t="s">
        <v>408</v>
      </c>
      <c r="B268"/>
      <c r="C268"/>
      <c r="D268"/>
      <c r="E268"/>
      <c r="F268"/>
      <c r="G268"/>
      <c r="H268"/>
      <c r="I268"/>
      <c r="J268"/>
      <c r="K268"/>
      <c r="L268"/>
      <c r="M268"/>
    </row>
    <row r="269" spans="1:13" x14ac:dyDescent="0.2">
      <c r="A269" t="s">
        <v>409</v>
      </c>
      <c r="B269"/>
      <c r="C269"/>
      <c r="D269"/>
      <c r="E269"/>
      <c r="F269"/>
      <c r="G269"/>
      <c r="H269"/>
      <c r="I269"/>
      <c r="J269"/>
      <c r="K269"/>
      <c r="L269"/>
      <c r="M269"/>
    </row>
    <row r="270" spans="1:13" x14ac:dyDescent="0.2">
      <c r="A270" t="s">
        <v>410</v>
      </c>
      <c r="B270"/>
      <c r="C270"/>
      <c r="D270"/>
      <c r="E270"/>
      <c r="F270"/>
      <c r="G270"/>
      <c r="H270"/>
      <c r="I270"/>
      <c r="J270"/>
      <c r="K270"/>
      <c r="L270"/>
      <c r="M270"/>
    </row>
    <row r="271" spans="1:13" x14ac:dyDescent="0.2">
      <c r="A271" t="s">
        <v>411</v>
      </c>
      <c r="B271"/>
      <c r="C271"/>
      <c r="D271"/>
      <c r="E271"/>
      <c r="F271"/>
      <c r="G271"/>
      <c r="H271"/>
      <c r="I271"/>
      <c r="J271"/>
      <c r="K271"/>
      <c r="L271"/>
      <c r="M271"/>
    </row>
    <row r="272" spans="1:13" x14ac:dyDescent="0.2">
      <c r="A272" t="s">
        <v>412</v>
      </c>
      <c r="B272"/>
      <c r="C272"/>
      <c r="D272"/>
      <c r="E272"/>
      <c r="F272"/>
      <c r="G272"/>
      <c r="H272"/>
      <c r="I272"/>
      <c r="J272"/>
      <c r="K272"/>
      <c r="L272"/>
      <c r="M272"/>
    </row>
    <row r="273" spans="1:13" x14ac:dyDescent="0.2">
      <c r="A273" t="s">
        <v>413</v>
      </c>
      <c r="B273"/>
      <c r="C273"/>
      <c r="D273"/>
      <c r="E273"/>
      <c r="F273"/>
      <c r="G273"/>
      <c r="H273"/>
      <c r="I273"/>
      <c r="J273"/>
      <c r="K273"/>
      <c r="L273"/>
      <c r="M273"/>
    </row>
    <row r="274" spans="1:13" x14ac:dyDescent="0.2">
      <c r="A274" t="s">
        <v>414</v>
      </c>
      <c r="B274"/>
      <c r="C274"/>
      <c r="D274"/>
      <c r="E274"/>
      <c r="F274"/>
      <c r="G274"/>
      <c r="H274"/>
      <c r="I274"/>
      <c r="J274"/>
      <c r="K274"/>
      <c r="L274"/>
      <c r="M274"/>
    </row>
    <row r="275" spans="1:13" x14ac:dyDescent="0.2">
      <c r="A275" t="s">
        <v>415</v>
      </c>
      <c r="B275"/>
      <c r="C275"/>
      <c r="D275"/>
      <c r="E275"/>
      <c r="F275"/>
      <c r="G275"/>
      <c r="H275"/>
      <c r="I275"/>
      <c r="J275"/>
      <c r="K275"/>
      <c r="L275"/>
      <c r="M275"/>
    </row>
    <row r="276" spans="1:13" x14ac:dyDescent="0.2">
      <c r="A276" t="s">
        <v>416</v>
      </c>
      <c r="B276"/>
      <c r="C276"/>
      <c r="D276"/>
      <c r="E276"/>
      <c r="F276"/>
      <c r="G276"/>
      <c r="H276"/>
      <c r="I276"/>
      <c r="J276"/>
      <c r="K276"/>
      <c r="L276"/>
      <c r="M276"/>
    </row>
    <row r="277" spans="1:13" x14ac:dyDescent="0.2">
      <c r="A277" t="s">
        <v>417</v>
      </c>
      <c r="B277"/>
      <c r="C277"/>
      <c r="D277"/>
      <c r="E277"/>
      <c r="F277"/>
      <c r="G277"/>
      <c r="H277"/>
      <c r="I277"/>
      <c r="J277"/>
      <c r="K277"/>
      <c r="L277"/>
      <c r="M277"/>
    </row>
    <row r="278" spans="1:13" x14ac:dyDescent="0.2">
      <c r="A278" t="s">
        <v>418</v>
      </c>
      <c r="B278"/>
      <c r="C278"/>
      <c r="D278"/>
      <c r="E278"/>
      <c r="F278"/>
      <c r="G278"/>
      <c r="H278"/>
      <c r="I278"/>
      <c r="J278"/>
      <c r="K278"/>
      <c r="L278"/>
      <c r="M278"/>
    </row>
    <row r="279" spans="1:13" x14ac:dyDescent="0.2">
      <c r="A279" t="s">
        <v>419</v>
      </c>
      <c r="B279"/>
      <c r="C279"/>
      <c r="D279"/>
      <c r="E279"/>
      <c r="F279"/>
      <c r="G279"/>
      <c r="H279"/>
      <c r="I279"/>
      <c r="J279"/>
      <c r="K279"/>
      <c r="L279"/>
      <c r="M279"/>
    </row>
    <row r="280" spans="1:13" x14ac:dyDescent="0.2">
      <c r="A280" t="s">
        <v>420</v>
      </c>
      <c r="B280"/>
      <c r="C280"/>
      <c r="D280"/>
      <c r="E280"/>
      <c r="F280"/>
      <c r="G280"/>
      <c r="H280"/>
      <c r="I280"/>
      <c r="J280"/>
      <c r="K280"/>
      <c r="L280"/>
      <c r="M280"/>
    </row>
    <row r="281" spans="1:13" x14ac:dyDescent="0.2">
      <c r="A281" t="s">
        <v>421</v>
      </c>
      <c r="B281"/>
      <c r="C281"/>
      <c r="D281"/>
      <c r="E281"/>
      <c r="F281"/>
      <c r="G281"/>
      <c r="H281"/>
      <c r="I281"/>
      <c r="J281"/>
      <c r="K281"/>
      <c r="L281"/>
      <c r="M281"/>
    </row>
    <row r="282" spans="1:13" x14ac:dyDescent="0.2">
      <c r="A282" t="s">
        <v>422</v>
      </c>
      <c r="B282"/>
      <c r="C282"/>
      <c r="D282"/>
      <c r="E282"/>
      <c r="F282"/>
      <c r="G282"/>
      <c r="H282"/>
      <c r="I282"/>
      <c r="J282"/>
      <c r="K282"/>
      <c r="L282"/>
      <c r="M282"/>
    </row>
    <row r="283" spans="1:13" x14ac:dyDescent="0.2">
      <c r="A283" t="s">
        <v>423</v>
      </c>
      <c r="B283"/>
      <c r="C283"/>
      <c r="D283"/>
      <c r="E283"/>
      <c r="F283"/>
      <c r="G283"/>
      <c r="H283"/>
      <c r="I283"/>
      <c r="J283"/>
      <c r="K283"/>
      <c r="L283"/>
      <c r="M283"/>
    </row>
    <row r="284" spans="1:13" x14ac:dyDescent="0.2">
      <c r="A284" t="s">
        <v>424</v>
      </c>
      <c r="B284"/>
      <c r="C284"/>
      <c r="D284"/>
      <c r="E284"/>
      <c r="F284"/>
      <c r="G284"/>
      <c r="H284"/>
      <c r="I284"/>
      <c r="J284"/>
      <c r="K284"/>
      <c r="L284"/>
      <c r="M284"/>
    </row>
    <row r="285" spans="1:13" x14ac:dyDescent="0.2">
      <c r="A285" t="s">
        <v>425</v>
      </c>
      <c r="B285"/>
      <c r="C285"/>
      <c r="D285"/>
      <c r="E285"/>
      <c r="F285"/>
      <c r="G285"/>
      <c r="H285"/>
      <c r="I285"/>
      <c r="J285"/>
      <c r="K285"/>
      <c r="L285"/>
      <c r="M285"/>
    </row>
    <row r="286" spans="1:13" x14ac:dyDescent="0.2">
      <c r="A286" t="s">
        <v>426</v>
      </c>
      <c r="B286"/>
      <c r="C286"/>
      <c r="D286"/>
      <c r="E286"/>
      <c r="F286"/>
      <c r="G286"/>
      <c r="H286"/>
      <c r="I286"/>
      <c r="J286"/>
      <c r="K286"/>
      <c r="L286"/>
      <c r="M286"/>
    </row>
    <row r="287" spans="1:13" x14ac:dyDescent="0.2">
      <c r="A287" t="s">
        <v>427</v>
      </c>
      <c r="B287"/>
      <c r="C287"/>
      <c r="D287"/>
      <c r="E287"/>
      <c r="F287"/>
      <c r="G287"/>
      <c r="H287"/>
      <c r="I287"/>
      <c r="J287"/>
      <c r="K287"/>
      <c r="L287"/>
      <c r="M287"/>
    </row>
    <row r="288" spans="1:13" x14ac:dyDescent="0.2">
      <c r="A288" t="s">
        <v>428</v>
      </c>
      <c r="B288"/>
      <c r="C288"/>
      <c r="D288"/>
      <c r="E288"/>
      <c r="F288"/>
      <c r="G288"/>
      <c r="H288"/>
      <c r="I288"/>
      <c r="J288"/>
      <c r="K288"/>
      <c r="L288"/>
      <c r="M288"/>
    </row>
    <row r="289" spans="1:13" x14ac:dyDescent="0.2">
      <c r="A289" t="s">
        <v>429</v>
      </c>
      <c r="B289"/>
      <c r="C289"/>
      <c r="D289"/>
      <c r="E289"/>
      <c r="F289"/>
      <c r="G289"/>
      <c r="H289"/>
      <c r="I289"/>
      <c r="J289"/>
      <c r="K289"/>
      <c r="L289"/>
      <c r="M289"/>
    </row>
    <row r="290" spans="1:13" x14ac:dyDescent="0.2">
      <c r="A290" t="s">
        <v>430</v>
      </c>
      <c r="B290"/>
      <c r="C290"/>
      <c r="D290"/>
      <c r="E290"/>
      <c r="F290"/>
      <c r="G290"/>
      <c r="H290"/>
      <c r="I290"/>
      <c r="J290"/>
      <c r="K290"/>
      <c r="L290"/>
      <c r="M290"/>
    </row>
    <row r="291" spans="1:13" x14ac:dyDescent="0.2">
      <c r="A291" t="s">
        <v>431</v>
      </c>
      <c r="B291"/>
      <c r="C291"/>
      <c r="D291"/>
      <c r="E291"/>
      <c r="F291"/>
      <c r="G291"/>
      <c r="H291"/>
      <c r="I291"/>
      <c r="J291"/>
      <c r="K291"/>
      <c r="L291"/>
      <c r="M291"/>
    </row>
    <row r="292" spans="1:13" x14ac:dyDescent="0.2">
      <c r="A292" t="s">
        <v>432</v>
      </c>
      <c r="B292"/>
      <c r="C292"/>
      <c r="D292"/>
      <c r="E292"/>
      <c r="F292"/>
      <c r="G292"/>
      <c r="H292"/>
      <c r="I292"/>
      <c r="J292"/>
      <c r="K292"/>
      <c r="L292"/>
      <c r="M292"/>
    </row>
    <row r="293" spans="1:13" x14ac:dyDescent="0.2">
      <c r="A293" t="s">
        <v>433</v>
      </c>
      <c r="B293"/>
      <c r="C293"/>
      <c r="D293"/>
      <c r="E293"/>
      <c r="F293"/>
      <c r="G293"/>
      <c r="H293"/>
      <c r="I293"/>
      <c r="J293"/>
      <c r="K293"/>
      <c r="L293"/>
      <c r="M293"/>
    </row>
    <row r="294" spans="1:13" x14ac:dyDescent="0.2">
      <c r="A294" t="s">
        <v>434</v>
      </c>
      <c r="B294"/>
      <c r="C294"/>
      <c r="D294"/>
      <c r="E294"/>
      <c r="F294"/>
      <c r="G294"/>
      <c r="H294"/>
      <c r="I294"/>
      <c r="J294"/>
      <c r="K294"/>
      <c r="L294"/>
      <c r="M294"/>
    </row>
    <row r="295" spans="1:13" x14ac:dyDescent="0.2">
      <c r="A295" t="s">
        <v>435</v>
      </c>
      <c r="B295"/>
      <c r="C295"/>
      <c r="D295"/>
      <c r="E295"/>
      <c r="F295"/>
      <c r="G295"/>
      <c r="H295"/>
      <c r="I295"/>
      <c r="J295"/>
      <c r="K295"/>
      <c r="L295"/>
      <c r="M295"/>
    </row>
    <row r="296" spans="1:13" x14ac:dyDescent="0.2">
      <c r="A296" t="s">
        <v>436</v>
      </c>
      <c r="B296"/>
      <c r="C296"/>
      <c r="D296"/>
      <c r="E296"/>
      <c r="F296"/>
      <c r="G296"/>
      <c r="H296"/>
      <c r="I296"/>
      <c r="J296"/>
      <c r="K296"/>
      <c r="L296"/>
      <c r="M296"/>
    </row>
    <row r="297" spans="1:13" x14ac:dyDescent="0.2">
      <c r="A297" t="s">
        <v>437</v>
      </c>
      <c r="B297"/>
      <c r="C297"/>
      <c r="D297"/>
      <c r="E297"/>
      <c r="F297"/>
      <c r="G297"/>
      <c r="H297"/>
      <c r="I297"/>
      <c r="J297"/>
      <c r="K297"/>
      <c r="L297"/>
      <c r="M297"/>
    </row>
    <row r="298" spans="1:13" x14ac:dyDescent="0.2">
      <c r="A298" t="s">
        <v>438</v>
      </c>
      <c r="B298"/>
      <c r="C298"/>
      <c r="D298"/>
      <c r="E298"/>
      <c r="F298"/>
      <c r="G298"/>
      <c r="H298"/>
      <c r="I298"/>
      <c r="J298"/>
      <c r="K298"/>
      <c r="L298"/>
      <c r="M298"/>
    </row>
    <row r="299" spans="1:13" x14ac:dyDescent="0.2">
      <c r="A299" t="s">
        <v>439</v>
      </c>
      <c r="B299"/>
      <c r="C299"/>
      <c r="D299"/>
      <c r="E299"/>
      <c r="F299"/>
      <c r="G299"/>
      <c r="H299"/>
      <c r="I299"/>
      <c r="J299"/>
      <c r="K299"/>
      <c r="L299"/>
      <c r="M299"/>
    </row>
    <row r="300" spans="1:13" x14ac:dyDescent="0.2">
      <c r="A300" t="s">
        <v>440</v>
      </c>
      <c r="B300"/>
      <c r="C300"/>
      <c r="D300"/>
      <c r="E300"/>
      <c r="F300"/>
      <c r="G300"/>
      <c r="H300"/>
      <c r="I300"/>
      <c r="J300"/>
      <c r="K300"/>
      <c r="L300"/>
      <c r="M300"/>
    </row>
    <row r="301" spans="1:13" x14ac:dyDescent="0.2">
      <c r="A301" t="s">
        <v>441</v>
      </c>
      <c r="B301"/>
      <c r="C301"/>
      <c r="D301"/>
      <c r="E301"/>
      <c r="F301"/>
      <c r="G301"/>
      <c r="H301"/>
      <c r="I301"/>
      <c r="J301"/>
      <c r="K301"/>
      <c r="L301"/>
      <c r="M301"/>
    </row>
    <row r="302" spans="1:13" x14ac:dyDescent="0.2">
      <c r="A302" t="s">
        <v>442</v>
      </c>
      <c r="B302"/>
      <c r="C302"/>
      <c r="D302"/>
      <c r="E302"/>
      <c r="F302"/>
      <c r="G302"/>
      <c r="H302"/>
      <c r="I302"/>
      <c r="J302"/>
      <c r="K302"/>
      <c r="L302"/>
      <c r="M302"/>
    </row>
    <row r="303" spans="1:13" x14ac:dyDescent="0.2">
      <c r="A303" t="s">
        <v>443</v>
      </c>
      <c r="B303"/>
      <c r="C303"/>
      <c r="D303"/>
      <c r="E303"/>
      <c r="F303"/>
      <c r="G303"/>
      <c r="H303"/>
      <c r="I303"/>
      <c r="J303"/>
      <c r="K303"/>
      <c r="L303"/>
      <c r="M303"/>
    </row>
    <row r="304" spans="1:13" x14ac:dyDescent="0.2">
      <c r="A304" t="s">
        <v>444</v>
      </c>
      <c r="B304"/>
      <c r="C304"/>
      <c r="D304"/>
      <c r="E304"/>
      <c r="F304"/>
      <c r="G304"/>
      <c r="H304"/>
      <c r="I304"/>
      <c r="J304"/>
      <c r="K304"/>
      <c r="L304"/>
      <c r="M304"/>
    </row>
    <row r="305" spans="1:13" x14ac:dyDescent="0.2">
      <c r="A305" t="s">
        <v>445</v>
      </c>
      <c r="B305"/>
      <c r="C305"/>
      <c r="D305"/>
      <c r="E305"/>
      <c r="F305"/>
      <c r="G305"/>
      <c r="H305"/>
      <c r="I305"/>
      <c r="J305"/>
      <c r="K305"/>
      <c r="L305"/>
      <c r="M305"/>
    </row>
    <row r="306" spans="1:13" x14ac:dyDescent="0.2">
      <c r="A306" t="s">
        <v>446</v>
      </c>
      <c r="B306"/>
      <c r="C306"/>
      <c r="D306"/>
      <c r="E306"/>
      <c r="F306"/>
      <c r="G306"/>
      <c r="H306"/>
      <c r="I306"/>
      <c r="J306"/>
      <c r="K306"/>
      <c r="L306"/>
      <c r="M306"/>
    </row>
    <row r="307" spans="1:13" x14ac:dyDescent="0.2">
      <c r="A307" t="s">
        <v>447</v>
      </c>
      <c r="B307"/>
      <c r="C307"/>
      <c r="D307"/>
      <c r="E307"/>
      <c r="F307"/>
      <c r="G307"/>
      <c r="H307"/>
      <c r="I307"/>
      <c r="J307"/>
      <c r="K307"/>
      <c r="L307"/>
      <c r="M307"/>
    </row>
    <row r="308" spans="1:13" x14ac:dyDescent="0.2">
      <c r="A308" t="s">
        <v>448</v>
      </c>
      <c r="B308"/>
      <c r="C308"/>
      <c r="D308"/>
      <c r="E308"/>
      <c r="F308"/>
      <c r="G308"/>
      <c r="H308"/>
      <c r="I308"/>
      <c r="J308"/>
      <c r="K308"/>
      <c r="L308"/>
      <c r="M308"/>
    </row>
    <row r="309" spans="1:13" x14ac:dyDescent="0.2">
      <c r="A309" t="s">
        <v>449</v>
      </c>
      <c r="B309"/>
      <c r="C309"/>
      <c r="D309"/>
      <c r="E309"/>
      <c r="F309"/>
      <c r="G309"/>
      <c r="H309"/>
      <c r="I309"/>
      <c r="J309"/>
      <c r="K309"/>
      <c r="L309"/>
      <c r="M309"/>
    </row>
    <row r="310" spans="1:13" x14ac:dyDescent="0.2">
      <c r="A310" t="s">
        <v>450</v>
      </c>
      <c r="B310"/>
      <c r="C310"/>
      <c r="D310"/>
      <c r="E310"/>
      <c r="F310"/>
      <c r="G310"/>
      <c r="H310"/>
      <c r="I310"/>
      <c r="J310"/>
      <c r="K310"/>
      <c r="L310"/>
      <c r="M310"/>
    </row>
    <row r="311" spans="1:13" x14ac:dyDescent="0.2">
      <c r="A311" t="s">
        <v>451</v>
      </c>
      <c r="B311"/>
      <c r="C311"/>
      <c r="D311"/>
      <c r="E311"/>
      <c r="F311"/>
      <c r="G311"/>
      <c r="H311"/>
      <c r="I311"/>
      <c r="J311"/>
      <c r="K311"/>
      <c r="L311"/>
      <c r="M311"/>
    </row>
    <row r="312" spans="1:13" x14ac:dyDescent="0.2">
      <c r="A312" t="s">
        <v>452</v>
      </c>
      <c r="B312"/>
      <c r="C312"/>
      <c r="D312"/>
      <c r="E312"/>
      <c r="F312"/>
      <c r="G312"/>
      <c r="H312"/>
      <c r="I312"/>
      <c r="J312"/>
      <c r="K312"/>
      <c r="L312"/>
      <c r="M312"/>
    </row>
    <row r="313" spans="1:13" x14ac:dyDescent="0.2">
      <c r="A313" t="s">
        <v>453</v>
      </c>
      <c r="B313"/>
      <c r="C313"/>
      <c r="D313"/>
      <c r="E313"/>
      <c r="F313"/>
      <c r="G313"/>
      <c r="H313"/>
      <c r="I313"/>
      <c r="J313"/>
      <c r="K313"/>
      <c r="L313"/>
      <c r="M313"/>
    </row>
    <row r="314" spans="1:13" x14ac:dyDescent="0.2">
      <c r="A314" t="s">
        <v>454</v>
      </c>
      <c r="B314"/>
      <c r="C314"/>
      <c r="D314"/>
      <c r="E314"/>
      <c r="F314"/>
      <c r="G314"/>
      <c r="H314"/>
      <c r="I314"/>
      <c r="J314"/>
      <c r="K314"/>
      <c r="L314"/>
      <c r="M314"/>
    </row>
    <row r="315" spans="1:13" x14ac:dyDescent="0.2">
      <c r="A315" t="s">
        <v>455</v>
      </c>
      <c r="B315"/>
      <c r="C315"/>
      <c r="D315"/>
      <c r="E315"/>
      <c r="F315"/>
      <c r="G315"/>
      <c r="H315"/>
      <c r="I315"/>
      <c r="J315"/>
      <c r="K315"/>
      <c r="L315"/>
      <c r="M315"/>
    </row>
    <row r="316" spans="1:13" x14ac:dyDescent="0.2">
      <c r="A316" t="s">
        <v>456</v>
      </c>
      <c r="B316"/>
      <c r="C316"/>
      <c r="D316"/>
      <c r="E316"/>
      <c r="F316"/>
      <c r="G316"/>
      <c r="H316"/>
      <c r="I316"/>
      <c r="J316"/>
      <c r="K316"/>
      <c r="L316"/>
      <c r="M316"/>
    </row>
    <row r="317" spans="1:13" x14ac:dyDescent="0.2">
      <c r="A317" t="s">
        <v>457</v>
      </c>
      <c r="B317"/>
      <c r="C317"/>
      <c r="D317"/>
      <c r="E317"/>
      <c r="F317"/>
      <c r="G317"/>
      <c r="H317"/>
      <c r="I317"/>
      <c r="J317"/>
      <c r="K317"/>
      <c r="L317"/>
      <c r="M317"/>
    </row>
    <row r="318" spans="1:13" x14ac:dyDescent="0.2">
      <c r="A318" t="s">
        <v>458</v>
      </c>
      <c r="B318"/>
      <c r="C318"/>
      <c r="D318"/>
      <c r="E318"/>
      <c r="F318"/>
      <c r="G318"/>
      <c r="H318"/>
      <c r="I318"/>
      <c r="J318"/>
      <c r="K318"/>
      <c r="L318"/>
      <c r="M318"/>
    </row>
    <row r="319" spans="1:13" x14ac:dyDescent="0.2">
      <c r="A319" t="s">
        <v>459</v>
      </c>
      <c r="B319"/>
      <c r="C319"/>
      <c r="D319"/>
      <c r="E319"/>
      <c r="F319"/>
      <c r="G319"/>
      <c r="H319"/>
      <c r="I319"/>
      <c r="J319"/>
      <c r="K319"/>
      <c r="L319"/>
      <c r="M319"/>
    </row>
    <row r="320" spans="1:13" x14ac:dyDescent="0.2">
      <c r="A320" t="s">
        <v>460</v>
      </c>
      <c r="B320"/>
      <c r="C320"/>
      <c r="D320"/>
      <c r="E320"/>
      <c r="F320"/>
      <c r="G320"/>
      <c r="H320"/>
      <c r="I320"/>
      <c r="J320"/>
      <c r="K320"/>
      <c r="L320"/>
      <c r="M320"/>
    </row>
    <row r="321" spans="1:13" x14ac:dyDescent="0.2">
      <c r="A321" t="s">
        <v>461</v>
      </c>
      <c r="B321"/>
      <c r="C321"/>
      <c r="D321"/>
      <c r="E321"/>
      <c r="F321"/>
      <c r="G321"/>
      <c r="H321"/>
      <c r="I321"/>
      <c r="J321"/>
      <c r="K321"/>
      <c r="L321"/>
      <c r="M321"/>
    </row>
    <row r="322" spans="1:13" x14ac:dyDescent="0.2">
      <c r="A322" t="s">
        <v>462</v>
      </c>
      <c r="B322"/>
      <c r="C322"/>
      <c r="D322"/>
      <c r="E322"/>
      <c r="F322"/>
      <c r="G322"/>
      <c r="H322"/>
      <c r="I322"/>
      <c r="J322"/>
      <c r="K322"/>
      <c r="L322"/>
      <c r="M322"/>
    </row>
    <row r="323" spans="1:13" x14ac:dyDescent="0.2">
      <c r="A323" t="s">
        <v>463</v>
      </c>
      <c r="B323"/>
      <c r="C323"/>
      <c r="D323"/>
      <c r="E323"/>
      <c r="F323"/>
      <c r="G323"/>
      <c r="H323"/>
      <c r="I323"/>
      <c r="J323"/>
      <c r="K323"/>
      <c r="L323"/>
      <c r="M323"/>
    </row>
    <row r="324" spans="1:13" x14ac:dyDescent="0.2">
      <c r="A324" t="s">
        <v>464</v>
      </c>
      <c r="B324"/>
      <c r="C324"/>
      <c r="D324"/>
      <c r="E324"/>
      <c r="F324"/>
      <c r="G324"/>
      <c r="H324"/>
      <c r="I324"/>
      <c r="J324"/>
      <c r="K324"/>
      <c r="L324"/>
      <c r="M324"/>
    </row>
    <row r="325" spans="1:13" x14ac:dyDescent="0.2">
      <c r="A325" t="s">
        <v>465</v>
      </c>
      <c r="B325"/>
      <c r="C325"/>
      <c r="D325"/>
      <c r="E325"/>
      <c r="F325"/>
      <c r="G325"/>
      <c r="H325"/>
      <c r="I325"/>
      <c r="J325"/>
      <c r="K325"/>
      <c r="L325"/>
      <c r="M325"/>
    </row>
    <row r="326" spans="1:13" x14ac:dyDescent="0.2">
      <c r="A326" t="s">
        <v>466</v>
      </c>
      <c r="B326"/>
      <c r="C326"/>
      <c r="D326"/>
      <c r="E326"/>
      <c r="F326"/>
      <c r="G326"/>
      <c r="H326"/>
      <c r="I326"/>
      <c r="J326"/>
      <c r="K326"/>
      <c r="L326"/>
      <c r="M326"/>
    </row>
    <row r="327" spans="1:13" x14ac:dyDescent="0.2">
      <c r="A327" t="s">
        <v>467</v>
      </c>
      <c r="B327"/>
      <c r="C327"/>
      <c r="D327"/>
      <c r="E327"/>
      <c r="F327"/>
      <c r="G327"/>
      <c r="H327"/>
      <c r="I327"/>
      <c r="J327"/>
      <c r="K327"/>
      <c r="L327"/>
      <c r="M327"/>
    </row>
    <row r="328" spans="1:13" x14ac:dyDescent="0.2">
      <c r="A328" t="s">
        <v>468</v>
      </c>
      <c r="B328"/>
      <c r="C328"/>
      <c r="D328"/>
      <c r="E328"/>
      <c r="F328"/>
      <c r="G328"/>
      <c r="H328"/>
      <c r="I328"/>
      <c r="J328"/>
      <c r="K328"/>
      <c r="L328"/>
      <c r="M328"/>
    </row>
    <row r="329" spans="1:13" x14ac:dyDescent="0.2">
      <c r="A329" t="s">
        <v>469</v>
      </c>
      <c r="B329"/>
      <c r="C329"/>
      <c r="D329"/>
      <c r="E329"/>
      <c r="F329"/>
      <c r="G329"/>
      <c r="H329"/>
      <c r="I329"/>
      <c r="J329"/>
      <c r="K329"/>
      <c r="L329"/>
      <c r="M329"/>
    </row>
    <row r="330" spans="1:13" x14ac:dyDescent="0.2">
      <c r="A330" t="s">
        <v>470</v>
      </c>
      <c r="B330"/>
      <c r="C330"/>
      <c r="D330"/>
      <c r="E330"/>
      <c r="F330"/>
      <c r="G330"/>
      <c r="H330"/>
      <c r="I330"/>
      <c r="J330"/>
      <c r="K330"/>
      <c r="L330"/>
      <c r="M330"/>
    </row>
    <row r="331" spans="1:13" x14ac:dyDescent="0.2">
      <c r="A331" t="s">
        <v>471</v>
      </c>
      <c r="B331"/>
      <c r="C331"/>
      <c r="D331"/>
      <c r="E331"/>
      <c r="F331"/>
      <c r="G331"/>
      <c r="H331"/>
      <c r="I331"/>
      <c r="J331"/>
      <c r="K331"/>
      <c r="L331"/>
      <c r="M331"/>
    </row>
    <row r="332" spans="1:13" x14ac:dyDescent="0.2">
      <c r="A332" t="s">
        <v>472</v>
      </c>
      <c r="B332"/>
      <c r="C332"/>
      <c r="D332"/>
      <c r="E332"/>
      <c r="F332"/>
      <c r="G332"/>
      <c r="H332"/>
      <c r="I332"/>
      <c r="J332"/>
      <c r="K332"/>
      <c r="L332"/>
      <c r="M332"/>
    </row>
    <row r="333" spans="1:13" x14ac:dyDescent="0.2">
      <c r="A333" t="s">
        <v>473</v>
      </c>
      <c r="B333"/>
      <c r="C333"/>
      <c r="D333"/>
      <c r="E333"/>
      <c r="F333"/>
      <c r="G333"/>
      <c r="H333"/>
      <c r="I333"/>
      <c r="J333"/>
      <c r="K333"/>
      <c r="L333"/>
      <c r="M333"/>
    </row>
    <row r="334" spans="1:13" x14ac:dyDescent="0.2">
      <c r="A334" t="s">
        <v>474</v>
      </c>
      <c r="B334"/>
      <c r="C334"/>
      <c r="D334"/>
      <c r="E334"/>
      <c r="F334"/>
      <c r="G334"/>
      <c r="H334"/>
      <c r="I334"/>
      <c r="J334"/>
      <c r="K334"/>
      <c r="L334"/>
      <c r="M334"/>
    </row>
    <row r="335" spans="1:13" x14ac:dyDescent="0.2">
      <c r="A335" t="s">
        <v>475</v>
      </c>
      <c r="B335"/>
      <c r="C335"/>
      <c r="D335"/>
      <c r="E335"/>
      <c r="F335"/>
      <c r="G335"/>
      <c r="H335"/>
      <c r="I335"/>
      <c r="J335"/>
      <c r="K335"/>
      <c r="L335"/>
      <c r="M335"/>
    </row>
    <row r="336" spans="1:13" x14ac:dyDescent="0.2">
      <c r="A336" t="s">
        <v>476</v>
      </c>
      <c r="B336"/>
      <c r="C336"/>
      <c r="D336"/>
      <c r="E336"/>
      <c r="F336"/>
      <c r="G336"/>
      <c r="H336"/>
      <c r="I336"/>
      <c r="J336"/>
      <c r="K336"/>
      <c r="L336"/>
      <c r="M336"/>
    </row>
    <row r="337" spans="1:13" x14ac:dyDescent="0.2">
      <c r="A337" t="s">
        <v>477</v>
      </c>
      <c r="B337"/>
      <c r="C337"/>
      <c r="D337"/>
      <c r="E337"/>
      <c r="F337"/>
      <c r="G337"/>
      <c r="H337"/>
      <c r="I337"/>
      <c r="J337"/>
      <c r="K337"/>
      <c r="L337"/>
      <c r="M337"/>
    </row>
    <row r="338" spans="1:13" x14ac:dyDescent="0.2">
      <c r="A338" t="s">
        <v>478</v>
      </c>
      <c r="B338"/>
      <c r="C338"/>
      <c r="D338"/>
      <c r="E338"/>
      <c r="F338"/>
      <c r="G338"/>
      <c r="H338"/>
      <c r="I338"/>
      <c r="J338"/>
      <c r="K338"/>
      <c r="L338"/>
      <c r="M338"/>
    </row>
    <row r="339" spans="1:13" x14ac:dyDescent="0.2">
      <c r="A339" t="s">
        <v>479</v>
      </c>
      <c r="B339"/>
      <c r="C339"/>
      <c r="D339"/>
      <c r="E339"/>
      <c r="F339"/>
      <c r="G339"/>
      <c r="H339"/>
      <c r="I339"/>
      <c r="J339"/>
      <c r="K339"/>
      <c r="L339"/>
      <c r="M339"/>
    </row>
    <row r="340" spans="1:13" x14ac:dyDescent="0.2">
      <c r="A340" t="s">
        <v>480</v>
      </c>
      <c r="B340"/>
      <c r="C340"/>
      <c r="D340"/>
      <c r="E340"/>
      <c r="F340"/>
      <c r="G340"/>
      <c r="H340"/>
      <c r="I340"/>
      <c r="J340"/>
      <c r="K340"/>
      <c r="L340"/>
      <c r="M340"/>
    </row>
    <row r="341" spans="1:13" x14ac:dyDescent="0.2">
      <c r="A341" t="s">
        <v>481</v>
      </c>
      <c r="B341"/>
      <c r="C341"/>
      <c r="D341"/>
      <c r="E341"/>
      <c r="F341"/>
      <c r="G341"/>
      <c r="H341"/>
      <c r="I341"/>
      <c r="J341"/>
      <c r="K341"/>
      <c r="L341"/>
      <c r="M341"/>
    </row>
    <row r="342" spans="1:13" x14ac:dyDescent="0.2">
      <c r="A342" t="s">
        <v>482</v>
      </c>
      <c r="B342"/>
      <c r="C342"/>
      <c r="D342"/>
      <c r="E342"/>
      <c r="F342"/>
      <c r="G342"/>
      <c r="H342"/>
      <c r="I342"/>
      <c r="J342"/>
      <c r="K342"/>
      <c r="L342"/>
      <c r="M342"/>
    </row>
    <row r="343" spans="1:13" x14ac:dyDescent="0.2">
      <c r="A343" t="s">
        <v>483</v>
      </c>
      <c r="B343"/>
      <c r="C343"/>
      <c r="D343"/>
      <c r="E343"/>
      <c r="F343"/>
      <c r="G343"/>
      <c r="H343"/>
      <c r="I343"/>
      <c r="J343"/>
      <c r="K343"/>
      <c r="L343"/>
      <c r="M343"/>
    </row>
    <row r="344" spans="1:13" x14ac:dyDescent="0.2">
      <c r="A344" t="s">
        <v>484</v>
      </c>
      <c r="B344"/>
      <c r="C344"/>
      <c r="D344"/>
      <c r="E344"/>
      <c r="F344"/>
      <c r="G344"/>
      <c r="H344"/>
      <c r="I344"/>
      <c r="J344"/>
      <c r="K344"/>
      <c r="L344"/>
      <c r="M344"/>
    </row>
    <row r="345" spans="1:13" x14ac:dyDescent="0.2">
      <c r="A345" t="s">
        <v>485</v>
      </c>
      <c r="B345"/>
      <c r="C345"/>
      <c r="D345"/>
      <c r="E345"/>
      <c r="F345"/>
      <c r="G345"/>
      <c r="H345"/>
      <c r="I345"/>
      <c r="J345"/>
      <c r="K345"/>
      <c r="L345"/>
      <c r="M345"/>
    </row>
    <row r="346" spans="1:13" x14ac:dyDescent="0.2">
      <c r="A346" t="s">
        <v>486</v>
      </c>
      <c r="B346"/>
      <c r="C346"/>
      <c r="D346"/>
      <c r="E346"/>
      <c r="F346"/>
      <c r="G346"/>
      <c r="H346"/>
      <c r="I346"/>
      <c r="J346"/>
      <c r="K346"/>
      <c r="L346"/>
      <c r="M346"/>
    </row>
    <row r="347" spans="1:13" x14ac:dyDescent="0.2">
      <c r="A347" t="s">
        <v>487</v>
      </c>
      <c r="B347"/>
      <c r="C347"/>
      <c r="D347"/>
      <c r="E347"/>
      <c r="F347"/>
      <c r="G347"/>
      <c r="H347"/>
      <c r="I347"/>
      <c r="J347"/>
      <c r="K347"/>
      <c r="L347"/>
      <c r="M347"/>
    </row>
    <row r="348" spans="1:13" x14ac:dyDescent="0.2">
      <c r="A348" t="s">
        <v>488</v>
      </c>
      <c r="B348"/>
      <c r="C348"/>
      <c r="D348"/>
      <c r="E348"/>
      <c r="F348"/>
      <c r="G348"/>
      <c r="H348"/>
      <c r="I348"/>
      <c r="J348"/>
      <c r="K348"/>
      <c r="L348"/>
      <c r="M348"/>
    </row>
    <row r="349" spans="1:13" x14ac:dyDescent="0.2">
      <c r="A349" t="s">
        <v>489</v>
      </c>
      <c r="B349"/>
      <c r="C349"/>
      <c r="D349"/>
      <c r="E349"/>
      <c r="F349"/>
      <c r="G349"/>
      <c r="H349"/>
      <c r="I349"/>
      <c r="J349"/>
      <c r="K349"/>
      <c r="L349"/>
      <c r="M349"/>
    </row>
    <row r="350" spans="1:13" x14ac:dyDescent="0.2">
      <c r="A350" t="s">
        <v>490</v>
      </c>
      <c r="B350"/>
      <c r="C350"/>
      <c r="D350"/>
      <c r="E350"/>
      <c r="F350"/>
      <c r="G350"/>
      <c r="H350"/>
      <c r="I350"/>
      <c r="J350"/>
      <c r="K350"/>
      <c r="L350"/>
      <c r="M350"/>
    </row>
    <row r="351" spans="1:13" x14ac:dyDescent="0.2">
      <c r="A351" t="s">
        <v>491</v>
      </c>
      <c r="B351"/>
      <c r="C351"/>
      <c r="D351"/>
      <c r="E351"/>
      <c r="F351"/>
      <c r="G351"/>
      <c r="H351"/>
      <c r="I351"/>
      <c r="J351"/>
      <c r="K351"/>
      <c r="L351"/>
      <c r="M351"/>
    </row>
    <row r="352" spans="1:13" x14ac:dyDescent="0.2">
      <c r="A352" t="s">
        <v>492</v>
      </c>
      <c r="B352"/>
      <c r="C352"/>
      <c r="D352"/>
      <c r="E352"/>
      <c r="F352"/>
      <c r="G352"/>
      <c r="H352"/>
      <c r="I352"/>
      <c r="J352"/>
      <c r="K352"/>
      <c r="L352"/>
      <c r="M352"/>
    </row>
    <row r="353" spans="1:13" x14ac:dyDescent="0.2">
      <c r="A353" t="s">
        <v>493</v>
      </c>
      <c r="B353"/>
      <c r="C353"/>
      <c r="D353"/>
      <c r="E353"/>
      <c r="F353"/>
      <c r="G353"/>
      <c r="H353"/>
      <c r="I353"/>
      <c r="J353"/>
      <c r="K353"/>
      <c r="L353"/>
      <c r="M353"/>
    </row>
    <row r="354" spans="1:13" x14ac:dyDescent="0.2">
      <c r="A354" t="s">
        <v>494</v>
      </c>
      <c r="B354"/>
      <c r="C354"/>
      <c r="D354"/>
      <c r="E354"/>
      <c r="F354"/>
      <c r="G354"/>
      <c r="H354"/>
      <c r="I354"/>
      <c r="J354"/>
      <c r="K354"/>
      <c r="L354"/>
      <c r="M354"/>
    </row>
    <row r="355" spans="1:13" x14ac:dyDescent="0.2">
      <c r="A355" t="s">
        <v>495</v>
      </c>
      <c r="B355"/>
      <c r="C355"/>
      <c r="D355"/>
      <c r="E355"/>
      <c r="F355"/>
      <c r="G355"/>
      <c r="H355"/>
      <c r="I355"/>
      <c r="J355"/>
      <c r="K355"/>
      <c r="L355"/>
      <c r="M355"/>
    </row>
    <row r="356" spans="1:13" x14ac:dyDescent="0.2">
      <c r="A356" t="s">
        <v>496</v>
      </c>
      <c r="B356"/>
      <c r="C356"/>
      <c r="D356"/>
      <c r="E356"/>
      <c r="F356"/>
      <c r="G356"/>
      <c r="H356"/>
      <c r="I356"/>
      <c r="J356"/>
      <c r="K356"/>
      <c r="L356"/>
      <c r="M356"/>
    </row>
    <row r="357" spans="1:13" x14ac:dyDescent="0.2">
      <c r="A357" t="s">
        <v>497</v>
      </c>
      <c r="B357"/>
      <c r="C357"/>
      <c r="D357"/>
      <c r="E357"/>
      <c r="F357"/>
      <c r="G357"/>
      <c r="H357"/>
      <c r="I357"/>
      <c r="J357"/>
      <c r="K357"/>
      <c r="L357"/>
      <c r="M357"/>
    </row>
    <row r="358" spans="1:13" x14ac:dyDescent="0.2">
      <c r="A358" t="s">
        <v>498</v>
      </c>
      <c r="B358"/>
      <c r="C358"/>
      <c r="D358"/>
      <c r="E358"/>
      <c r="F358"/>
      <c r="G358"/>
      <c r="H358"/>
      <c r="I358"/>
      <c r="J358"/>
      <c r="K358"/>
      <c r="L358"/>
      <c r="M358"/>
    </row>
    <row r="359" spans="1:13" x14ac:dyDescent="0.2">
      <c r="A359" t="s">
        <v>499</v>
      </c>
      <c r="B359"/>
      <c r="C359"/>
      <c r="D359"/>
      <c r="E359"/>
      <c r="F359"/>
      <c r="G359"/>
      <c r="H359"/>
      <c r="I359"/>
      <c r="J359"/>
      <c r="K359"/>
      <c r="L359"/>
      <c r="M359"/>
    </row>
    <row r="360" spans="1:13" x14ac:dyDescent="0.2">
      <c r="A360" t="s">
        <v>500</v>
      </c>
      <c r="B360"/>
      <c r="C360"/>
      <c r="D360"/>
      <c r="E360"/>
      <c r="F360"/>
      <c r="G360"/>
      <c r="H360"/>
      <c r="I360"/>
      <c r="J360"/>
      <c r="K360"/>
      <c r="L360"/>
      <c r="M360"/>
    </row>
    <row r="361" spans="1:13" x14ac:dyDescent="0.2">
      <c r="A361" t="s">
        <v>501</v>
      </c>
      <c r="B361"/>
      <c r="C361"/>
      <c r="D361"/>
      <c r="E361"/>
      <c r="F361"/>
      <c r="G361"/>
      <c r="H361"/>
      <c r="I361"/>
      <c r="J361"/>
      <c r="K361"/>
      <c r="L361"/>
      <c r="M361"/>
    </row>
    <row r="362" spans="1:13" x14ac:dyDescent="0.2">
      <c r="A362" t="s">
        <v>502</v>
      </c>
      <c r="B362"/>
      <c r="C362"/>
      <c r="D362"/>
      <c r="E362"/>
      <c r="F362"/>
      <c r="G362"/>
      <c r="H362"/>
      <c r="I362"/>
      <c r="J362"/>
      <c r="K362"/>
      <c r="L362"/>
      <c r="M362"/>
    </row>
    <row r="363" spans="1:13" x14ac:dyDescent="0.2">
      <c r="A363" t="s">
        <v>503</v>
      </c>
      <c r="B363"/>
      <c r="C363"/>
      <c r="D363"/>
      <c r="E363"/>
      <c r="F363"/>
      <c r="G363"/>
      <c r="H363"/>
      <c r="I363"/>
      <c r="J363"/>
      <c r="K363"/>
      <c r="L363"/>
      <c r="M363"/>
    </row>
    <row r="364" spans="1:13" x14ac:dyDescent="0.2">
      <c r="A364" t="s">
        <v>504</v>
      </c>
      <c r="B364"/>
      <c r="C364"/>
      <c r="D364"/>
      <c r="E364"/>
      <c r="F364"/>
      <c r="G364"/>
      <c r="H364"/>
      <c r="I364"/>
      <c r="J364"/>
      <c r="K364"/>
      <c r="L364"/>
      <c r="M364"/>
    </row>
    <row r="365" spans="1:13" x14ac:dyDescent="0.2">
      <c r="A365" t="s">
        <v>505</v>
      </c>
      <c r="B365"/>
      <c r="C365"/>
      <c r="D365"/>
      <c r="E365"/>
      <c r="F365"/>
      <c r="G365"/>
      <c r="H365"/>
      <c r="I365"/>
      <c r="J365"/>
      <c r="K365"/>
      <c r="L365"/>
      <c r="M365"/>
    </row>
    <row r="366" spans="1:13" x14ac:dyDescent="0.2">
      <c r="A366" t="s">
        <v>506</v>
      </c>
      <c r="B366"/>
      <c r="C366"/>
      <c r="D366"/>
      <c r="E366"/>
      <c r="F366"/>
      <c r="G366"/>
      <c r="H366"/>
      <c r="I366"/>
      <c r="J366"/>
      <c r="K366"/>
      <c r="L366"/>
      <c r="M366"/>
    </row>
    <row r="367" spans="1:13" x14ac:dyDescent="0.2">
      <c r="A367" t="s">
        <v>507</v>
      </c>
      <c r="B367"/>
      <c r="C367"/>
      <c r="D367"/>
      <c r="E367"/>
      <c r="F367"/>
      <c r="G367"/>
      <c r="H367"/>
      <c r="I367"/>
      <c r="J367"/>
      <c r="K367"/>
      <c r="L367"/>
      <c r="M367"/>
    </row>
    <row r="368" spans="1:13" x14ac:dyDescent="0.2">
      <c r="A368" t="s">
        <v>508</v>
      </c>
      <c r="B368"/>
      <c r="C368"/>
      <c r="D368"/>
      <c r="E368"/>
      <c r="F368"/>
      <c r="G368"/>
      <c r="H368"/>
      <c r="I368"/>
      <c r="J368"/>
      <c r="K368"/>
      <c r="L368"/>
      <c r="M368"/>
    </row>
    <row r="369" spans="1:13" x14ac:dyDescent="0.2">
      <c r="A369" t="s">
        <v>509</v>
      </c>
      <c r="B369"/>
      <c r="C369"/>
      <c r="D369"/>
      <c r="E369"/>
      <c r="F369"/>
      <c r="G369"/>
      <c r="H369"/>
      <c r="I369"/>
      <c r="J369"/>
      <c r="K369"/>
      <c r="L369"/>
      <c r="M369"/>
    </row>
    <row r="370" spans="1:13" x14ac:dyDescent="0.2">
      <c r="A370" t="s">
        <v>510</v>
      </c>
      <c r="B370"/>
      <c r="C370"/>
      <c r="D370"/>
      <c r="E370"/>
      <c r="F370"/>
      <c r="G370"/>
      <c r="H370"/>
      <c r="I370"/>
      <c r="J370"/>
      <c r="K370"/>
      <c r="L370"/>
      <c r="M370"/>
    </row>
    <row r="371" spans="1:13" x14ac:dyDescent="0.2">
      <c r="A371" t="s">
        <v>511</v>
      </c>
      <c r="B371"/>
      <c r="C371"/>
      <c r="D371"/>
      <c r="E371"/>
      <c r="F371"/>
      <c r="G371"/>
      <c r="H371"/>
      <c r="I371"/>
      <c r="J371"/>
      <c r="K371"/>
      <c r="L371"/>
      <c r="M371"/>
    </row>
    <row r="372" spans="1:13" x14ac:dyDescent="0.2">
      <c r="A372" t="s">
        <v>512</v>
      </c>
      <c r="B372"/>
      <c r="C372"/>
      <c r="D372"/>
      <c r="E372"/>
      <c r="F372"/>
      <c r="G372"/>
      <c r="H372"/>
      <c r="I372"/>
      <c r="J372"/>
      <c r="K372"/>
      <c r="L372"/>
      <c r="M372"/>
    </row>
    <row r="373" spans="1:13" x14ac:dyDescent="0.2">
      <c r="A373" t="s">
        <v>513</v>
      </c>
      <c r="B373"/>
      <c r="C373"/>
      <c r="D373"/>
      <c r="E373"/>
      <c r="F373"/>
      <c r="G373"/>
      <c r="H373"/>
      <c r="I373"/>
      <c r="J373"/>
      <c r="K373"/>
      <c r="L373"/>
      <c r="M373"/>
    </row>
    <row r="374" spans="1:13" x14ac:dyDescent="0.2">
      <c r="A374" t="s">
        <v>514</v>
      </c>
      <c r="B374"/>
      <c r="C374"/>
      <c r="D374"/>
      <c r="E374"/>
      <c r="F374"/>
      <c r="G374"/>
      <c r="H374"/>
      <c r="I374"/>
      <c r="J374"/>
      <c r="K374"/>
      <c r="L374"/>
      <c r="M374"/>
    </row>
    <row r="375" spans="1:13" x14ac:dyDescent="0.2">
      <c r="A375" t="s">
        <v>515</v>
      </c>
      <c r="B375"/>
      <c r="C375"/>
      <c r="D375"/>
      <c r="E375"/>
      <c r="F375"/>
      <c r="G375"/>
      <c r="H375"/>
      <c r="I375"/>
      <c r="J375"/>
      <c r="K375"/>
      <c r="L375"/>
      <c r="M375"/>
    </row>
    <row r="376" spans="1:13" x14ac:dyDescent="0.2">
      <c r="A376" t="s">
        <v>516</v>
      </c>
      <c r="B376"/>
      <c r="C376"/>
      <c r="D376"/>
      <c r="E376"/>
      <c r="F376"/>
      <c r="G376"/>
      <c r="H376"/>
      <c r="I376"/>
      <c r="J376"/>
      <c r="K376"/>
      <c r="L376"/>
      <c r="M376"/>
    </row>
    <row r="377" spans="1:13" x14ac:dyDescent="0.2">
      <c r="A377" t="s">
        <v>517</v>
      </c>
      <c r="B377"/>
      <c r="C377"/>
      <c r="D377"/>
      <c r="E377"/>
      <c r="F377"/>
      <c r="G377"/>
      <c r="H377"/>
      <c r="I377"/>
      <c r="J377"/>
      <c r="K377"/>
      <c r="L377"/>
      <c r="M377"/>
    </row>
    <row r="378" spans="1:13" x14ac:dyDescent="0.2">
      <c r="A378" t="s">
        <v>518</v>
      </c>
      <c r="B378"/>
      <c r="C378"/>
      <c r="D378"/>
      <c r="E378"/>
      <c r="F378"/>
      <c r="G378"/>
      <c r="H378"/>
      <c r="I378"/>
      <c r="J378"/>
      <c r="K378"/>
      <c r="L378"/>
      <c r="M378"/>
    </row>
    <row r="379" spans="1:13" x14ac:dyDescent="0.2">
      <c r="A379" t="s">
        <v>519</v>
      </c>
      <c r="B379"/>
      <c r="C379"/>
      <c r="D379"/>
      <c r="E379"/>
      <c r="F379"/>
      <c r="G379"/>
      <c r="H379"/>
      <c r="I379"/>
      <c r="J379"/>
      <c r="K379"/>
      <c r="L379"/>
      <c r="M379"/>
    </row>
    <row r="380" spans="1:13" x14ac:dyDescent="0.2">
      <c r="A380" t="s">
        <v>520</v>
      </c>
      <c r="B380"/>
      <c r="C380"/>
      <c r="D380"/>
      <c r="E380"/>
      <c r="F380"/>
      <c r="G380"/>
      <c r="H380"/>
      <c r="I380"/>
      <c r="J380"/>
      <c r="K380"/>
      <c r="L380"/>
      <c r="M380"/>
    </row>
    <row r="381" spans="1:13" x14ac:dyDescent="0.2">
      <c r="A381" t="s">
        <v>521</v>
      </c>
      <c r="B381"/>
      <c r="C381"/>
      <c r="D381"/>
      <c r="E381"/>
      <c r="F381"/>
      <c r="G381"/>
      <c r="H381"/>
      <c r="I381"/>
      <c r="J381"/>
      <c r="K381"/>
      <c r="L381"/>
      <c r="M381"/>
    </row>
    <row r="382" spans="1:13" x14ac:dyDescent="0.2">
      <c r="A382" t="s">
        <v>522</v>
      </c>
      <c r="B382"/>
      <c r="C382"/>
      <c r="D382"/>
      <c r="E382"/>
      <c r="F382"/>
      <c r="G382"/>
      <c r="H382"/>
      <c r="I382"/>
      <c r="J382"/>
      <c r="K382"/>
      <c r="L382"/>
      <c r="M382"/>
    </row>
    <row r="383" spans="1:13" x14ac:dyDescent="0.2">
      <c r="A383" t="s">
        <v>523</v>
      </c>
      <c r="B383"/>
      <c r="C383"/>
      <c r="D383"/>
      <c r="E383"/>
      <c r="F383"/>
      <c r="G383"/>
      <c r="H383"/>
      <c r="I383"/>
      <c r="J383"/>
      <c r="K383"/>
      <c r="L383"/>
      <c r="M383"/>
    </row>
    <row r="384" spans="1:13" x14ac:dyDescent="0.2">
      <c r="A384" t="s">
        <v>524</v>
      </c>
      <c r="B384"/>
      <c r="C384"/>
      <c r="D384"/>
      <c r="E384"/>
      <c r="F384"/>
      <c r="G384"/>
      <c r="H384"/>
      <c r="I384"/>
      <c r="J384"/>
      <c r="K384"/>
      <c r="L384"/>
      <c r="M384"/>
    </row>
    <row r="385" spans="1:13" x14ac:dyDescent="0.2">
      <c r="A385" t="s">
        <v>525</v>
      </c>
      <c r="B385"/>
      <c r="C385"/>
      <c r="D385"/>
      <c r="E385"/>
      <c r="F385"/>
      <c r="G385"/>
      <c r="H385"/>
      <c r="I385"/>
      <c r="J385"/>
      <c r="K385"/>
      <c r="L385"/>
      <c r="M385"/>
    </row>
    <row r="386" spans="1:13" x14ac:dyDescent="0.2">
      <c r="A386" t="s">
        <v>526</v>
      </c>
      <c r="B386"/>
      <c r="C386"/>
      <c r="D386"/>
      <c r="E386"/>
      <c r="F386"/>
      <c r="G386"/>
      <c r="H386"/>
      <c r="I386"/>
      <c r="J386"/>
      <c r="K386"/>
      <c r="L386"/>
      <c r="M386"/>
    </row>
    <row r="387" spans="1:13" x14ac:dyDescent="0.2">
      <c r="A387" t="s">
        <v>527</v>
      </c>
      <c r="B387"/>
      <c r="C387"/>
      <c r="D387"/>
      <c r="E387"/>
      <c r="F387"/>
      <c r="G387"/>
      <c r="H387"/>
      <c r="I387"/>
      <c r="J387"/>
      <c r="K387"/>
      <c r="L387"/>
      <c r="M387"/>
    </row>
    <row r="388" spans="1:13" x14ac:dyDescent="0.2">
      <c r="A388" t="s">
        <v>528</v>
      </c>
      <c r="B388"/>
      <c r="C388"/>
      <c r="D388"/>
      <c r="E388"/>
      <c r="F388"/>
      <c r="G388"/>
      <c r="H388"/>
      <c r="I388"/>
      <c r="J388"/>
      <c r="K388"/>
      <c r="L388"/>
      <c r="M388"/>
    </row>
    <row r="389" spans="1:13" x14ac:dyDescent="0.2">
      <c r="A389" t="s">
        <v>529</v>
      </c>
      <c r="B389"/>
      <c r="C389"/>
      <c r="D389"/>
      <c r="E389"/>
      <c r="F389"/>
      <c r="G389"/>
      <c r="H389"/>
      <c r="I389"/>
      <c r="J389"/>
      <c r="K389"/>
      <c r="L389"/>
      <c r="M389"/>
    </row>
    <row r="390" spans="1:13" x14ac:dyDescent="0.2">
      <c r="A390" t="s">
        <v>530</v>
      </c>
      <c r="B390"/>
      <c r="C390"/>
      <c r="D390"/>
      <c r="E390"/>
      <c r="F390"/>
      <c r="G390"/>
      <c r="H390"/>
      <c r="I390"/>
      <c r="J390"/>
      <c r="K390"/>
      <c r="L390"/>
      <c r="M390"/>
    </row>
    <row r="391" spans="1:13" x14ac:dyDescent="0.2">
      <c r="A391" t="s">
        <v>531</v>
      </c>
      <c r="B391"/>
      <c r="C391"/>
      <c r="D391"/>
      <c r="E391"/>
      <c r="F391"/>
      <c r="G391"/>
      <c r="H391"/>
      <c r="I391"/>
      <c r="J391"/>
      <c r="K391"/>
      <c r="L391"/>
      <c r="M391"/>
    </row>
    <row r="392" spans="1:13" x14ac:dyDescent="0.2">
      <c r="A392" t="s">
        <v>532</v>
      </c>
      <c r="B392"/>
      <c r="C392"/>
      <c r="D392"/>
      <c r="E392"/>
      <c r="F392"/>
      <c r="G392"/>
      <c r="H392"/>
      <c r="I392"/>
      <c r="J392"/>
      <c r="K392"/>
      <c r="L392"/>
      <c r="M392"/>
    </row>
    <row r="393" spans="1:13" x14ac:dyDescent="0.2">
      <c r="A393" t="s">
        <v>533</v>
      </c>
      <c r="B393"/>
      <c r="C393"/>
      <c r="D393"/>
      <c r="E393"/>
      <c r="F393"/>
      <c r="G393"/>
      <c r="H393"/>
      <c r="I393"/>
      <c r="J393"/>
      <c r="K393"/>
      <c r="L393"/>
      <c r="M393"/>
    </row>
    <row r="394" spans="1:13" x14ac:dyDescent="0.2">
      <c r="A394" t="s">
        <v>534</v>
      </c>
      <c r="B394"/>
      <c r="C394"/>
      <c r="D394"/>
      <c r="E394"/>
      <c r="F394"/>
      <c r="G394"/>
      <c r="H394"/>
      <c r="I394"/>
      <c r="J394"/>
      <c r="K394"/>
      <c r="L394"/>
      <c r="M394"/>
    </row>
    <row r="395" spans="1:13" x14ac:dyDescent="0.2">
      <c r="A395" t="s">
        <v>535</v>
      </c>
      <c r="B395"/>
      <c r="C395"/>
      <c r="D395"/>
      <c r="E395"/>
      <c r="F395"/>
      <c r="G395"/>
      <c r="H395"/>
      <c r="I395"/>
      <c r="J395"/>
      <c r="K395"/>
      <c r="L395"/>
      <c r="M395"/>
    </row>
    <row r="396" spans="1:13" x14ac:dyDescent="0.2">
      <c r="A396" t="s">
        <v>536</v>
      </c>
      <c r="B396"/>
      <c r="C396"/>
      <c r="D396"/>
      <c r="E396"/>
      <c r="F396"/>
      <c r="G396"/>
      <c r="H396"/>
      <c r="I396"/>
      <c r="J396"/>
      <c r="K396"/>
      <c r="L396"/>
      <c r="M396"/>
    </row>
    <row r="397" spans="1:13" x14ac:dyDescent="0.2">
      <c r="A397" t="s">
        <v>537</v>
      </c>
      <c r="B397"/>
      <c r="C397"/>
      <c r="D397"/>
      <c r="E397"/>
      <c r="F397"/>
      <c r="G397"/>
      <c r="H397"/>
      <c r="I397"/>
      <c r="J397"/>
      <c r="K397"/>
      <c r="L397"/>
      <c r="M397"/>
    </row>
    <row r="398" spans="1:13" x14ac:dyDescent="0.2">
      <c r="A398" t="s">
        <v>538</v>
      </c>
      <c r="B398"/>
      <c r="C398"/>
      <c r="D398"/>
      <c r="E398"/>
      <c r="F398"/>
      <c r="G398"/>
      <c r="H398"/>
      <c r="I398"/>
      <c r="J398"/>
      <c r="K398"/>
      <c r="L398"/>
      <c r="M398"/>
    </row>
    <row r="399" spans="1:13" x14ac:dyDescent="0.2">
      <c r="A399" t="s">
        <v>539</v>
      </c>
      <c r="B399"/>
      <c r="C399"/>
      <c r="D399"/>
      <c r="E399"/>
      <c r="F399"/>
      <c r="G399"/>
      <c r="H399"/>
      <c r="I399"/>
      <c r="J399"/>
      <c r="K399"/>
      <c r="L399"/>
      <c r="M399"/>
    </row>
    <row r="400" spans="1:13" x14ac:dyDescent="0.2">
      <c r="A400" t="s">
        <v>540</v>
      </c>
      <c r="B400"/>
      <c r="C400"/>
      <c r="D400"/>
      <c r="E400"/>
      <c r="F400"/>
      <c r="G400"/>
      <c r="H400"/>
      <c r="I400"/>
      <c r="J400"/>
      <c r="K400"/>
      <c r="L400"/>
      <c r="M400"/>
    </row>
    <row r="401" spans="1:13" x14ac:dyDescent="0.2">
      <c r="A401" t="s">
        <v>541</v>
      </c>
      <c r="B401"/>
      <c r="C401"/>
      <c r="D401"/>
      <c r="E401"/>
      <c r="F401"/>
      <c r="G401"/>
      <c r="H401"/>
      <c r="I401"/>
      <c r="J401"/>
      <c r="K401"/>
      <c r="L401"/>
      <c r="M401"/>
    </row>
    <row r="402" spans="1:13" x14ac:dyDescent="0.2">
      <c r="A402" t="s">
        <v>542</v>
      </c>
      <c r="B402"/>
      <c r="C402"/>
      <c r="D402"/>
      <c r="E402"/>
      <c r="F402"/>
      <c r="G402"/>
      <c r="H402"/>
      <c r="I402"/>
      <c r="J402"/>
      <c r="K402"/>
      <c r="L402"/>
      <c r="M402"/>
    </row>
    <row r="403" spans="1:13" x14ac:dyDescent="0.2">
      <c r="A403" t="s">
        <v>543</v>
      </c>
      <c r="B403"/>
      <c r="C403"/>
      <c r="D403"/>
      <c r="E403"/>
      <c r="F403"/>
      <c r="G403"/>
      <c r="H403"/>
      <c r="I403"/>
      <c r="J403"/>
      <c r="K403"/>
      <c r="L403"/>
      <c r="M403"/>
    </row>
    <row r="404" spans="1:13" x14ac:dyDescent="0.2">
      <c r="A404" t="s">
        <v>544</v>
      </c>
      <c r="B404"/>
      <c r="C404"/>
      <c r="D404"/>
      <c r="E404"/>
      <c r="F404"/>
      <c r="G404"/>
      <c r="H404"/>
      <c r="I404"/>
      <c r="J404"/>
      <c r="K404"/>
      <c r="L404"/>
      <c r="M404"/>
    </row>
    <row r="405" spans="1:13" x14ac:dyDescent="0.2">
      <c r="A405" t="s">
        <v>545</v>
      </c>
      <c r="B405"/>
      <c r="C405"/>
      <c r="D405"/>
      <c r="E405"/>
      <c r="F405"/>
      <c r="G405"/>
      <c r="H405"/>
      <c r="I405"/>
      <c r="J405"/>
      <c r="K405"/>
      <c r="L405"/>
      <c r="M405"/>
    </row>
    <row r="406" spans="1:13" x14ac:dyDescent="0.2">
      <c r="A406" t="s">
        <v>546</v>
      </c>
      <c r="B406"/>
      <c r="C406"/>
      <c r="D406"/>
      <c r="E406"/>
      <c r="F406"/>
      <c r="G406"/>
      <c r="H406"/>
      <c r="I406"/>
      <c r="J406"/>
      <c r="K406"/>
      <c r="L406"/>
      <c r="M406"/>
    </row>
    <row r="407" spans="1:13" x14ac:dyDescent="0.2">
      <c r="A407" t="s">
        <v>547</v>
      </c>
      <c r="B407"/>
      <c r="C407"/>
      <c r="D407"/>
      <c r="E407"/>
      <c r="F407"/>
      <c r="G407"/>
      <c r="H407"/>
      <c r="I407"/>
      <c r="J407"/>
      <c r="K407"/>
      <c r="L407"/>
      <c r="M407"/>
    </row>
    <row r="408" spans="1:13" x14ac:dyDescent="0.2">
      <c r="A408" t="s">
        <v>548</v>
      </c>
      <c r="B408"/>
      <c r="C408"/>
      <c r="D408"/>
      <c r="E408"/>
      <c r="F408"/>
      <c r="G408"/>
      <c r="H408"/>
      <c r="I408"/>
      <c r="J408"/>
      <c r="K408"/>
      <c r="L408"/>
      <c r="M408"/>
    </row>
    <row r="409" spans="1:13" x14ac:dyDescent="0.2">
      <c r="A409" t="s">
        <v>549</v>
      </c>
      <c r="B409"/>
      <c r="C409"/>
      <c r="D409"/>
      <c r="E409"/>
      <c r="F409"/>
      <c r="G409"/>
      <c r="H409"/>
      <c r="I409"/>
      <c r="J409"/>
      <c r="K409"/>
      <c r="L409"/>
      <c r="M409"/>
    </row>
    <row r="410" spans="1:13" x14ac:dyDescent="0.2">
      <c r="A410" t="s">
        <v>550</v>
      </c>
      <c r="B410"/>
      <c r="C410"/>
      <c r="D410"/>
      <c r="E410"/>
      <c r="F410"/>
      <c r="G410"/>
      <c r="H410"/>
      <c r="I410"/>
      <c r="J410"/>
      <c r="K410"/>
      <c r="L410"/>
      <c r="M410"/>
    </row>
    <row r="411" spans="1:13" x14ac:dyDescent="0.2">
      <c r="A411" t="s">
        <v>551</v>
      </c>
      <c r="B411"/>
      <c r="C411"/>
      <c r="D411"/>
      <c r="E411"/>
      <c r="F411"/>
      <c r="G411"/>
      <c r="H411"/>
      <c r="I411"/>
      <c r="J411"/>
      <c r="K411"/>
      <c r="L411"/>
      <c r="M411"/>
    </row>
    <row r="412" spans="1:13" x14ac:dyDescent="0.2">
      <c r="A412" t="s">
        <v>552</v>
      </c>
      <c r="B412"/>
      <c r="C412"/>
      <c r="D412"/>
      <c r="E412"/>
      <c r="F412"/>
      <c r="G412"/>
      <c r="H412"/>
      <c r="I412"/>
      <c r="J412"/>
      <c r="K412"/>
      <c r="L412"/>
      <c r="M412"/>
    </row>
    <row r="413" spans="1:13" x14ac:dyDescent="0.2">
      <c r="A413" t="s">
        <v>553</v>
      </c>
      <c r="B413"/>
      <c r="C413"/>
      <c r="D413"/>
      <c r="E413"/>
      <c r="F413"/>
      <c r="G413"/>
      <c r="H413"/>
      <c r="I413"/>
      <c r="J413"/>
      <c r="K413"/>
      <c r="L413"/>
      <c r="M413"/>
    </row>
    <row r="414" spans="1:13" x14ac:dyDescent="0.2">
      <c r="A414" t="s">
        <v>554</v>
      </c>
      <c r="B414"/>
      <c r="C414"/>
      <c r="D414"/>
      <c r="E414"/>
      <c r="F414"/>
      <c r="G414"/>
      <c r="H414"/>
      <c r="I414"/>
      <c r="J414"/>
      <c r="K414"/>
      <c r="L414"/>
      <c r="M414"/>
    </row>
    <row r="415" spans="1:13" x14ac:dyDescent="0.2">
      <c r="A415" t="s">
        <v>555</v>
      </c>
      <c r="B415"/>
      <c r="C415"/>
      <c r="D415"/>
      <c r="E415"/>
      <c r="F415"/>
      <c r="G415"/>
      <c r="H415"/>
      <c r="I415"/>
      <c r="J415"/>
      <c r="K415"/>
      <c r="L415"/>
      <c r="M415"/>
    </row>
    <row r="416" spans="1:13" x14ac:dyDescent="0.2">
      <c r="A416" t="s">
        <v>556</v>
      </c>
      <c r="B416"/>
      <c r="C416"/>
      <c r="D416"/>
      <c r="E416"/>
      <c r="F416"/>
      <c r="G416"/>
      <c r="H416"/>
      <c r="I416"/>
      <c r="J416"/>
      <c r="K416"/>
      <c r="L416"/>
      <c r="M416"/>
    </row>
    <row r="417" spans="1:13" x14ac:dyDescent="0.2">
      <c r="A417" t="s">
        <v>557</v>
      </c>
      <c r="B417"/>
      <c r="C417"/>
      <c r="D417"/>
      <c r="E417"/>
      <c r="F417"/>
      <c r="G417"/>
      <c r="H417"/>
      <c r="I417"/>
      <c r="J417"/>
      <c r="K417"/>
      <c r="L417"/>
      <c r="M417"/>
    </row>
    <row r="418" spans="1:13" x14ac:dyDescent="0.2">
      <c r="A418" t="s">
        <v>558</v>
      </c>
      <c r="B418"/>
      <c r="C418"/>
      <c r="D418"/>
      <c r="E418"/>
      <c r="F418"/>
      <c r="G418"/>
      <c r="H418"/>
      <c r="I418"/>
      <c r="J418"/>
      <c r="K418"/>
      <c r="L418"/>
      <c r="M418"/>
    </row>
    <row r="419" spans="1:13" x14ac:dyDescent="0.2">
      <c r="A419" t="s">
        <v>559</v>
      </c>
      <c r="B419"/>
      <c r="C419"/>
      <c r="D419"/>
      <c r="E419"/>
      <c r="F419"/>
      <c r="G419"/>
      <c r="H419"/>
      <c r="I419"/>
      <c r="J419"/>
      <c r="K419"/>
      <c r="L419"/>
      <c r="M419"/>
    </row>
    <row r="420" spans="1:13" x14ac:dyDescent="0.2">
      <c r="A420" t="s">
        <v>560</v>
      </c>
      <c r="B420"/>
      <c r="C420"/>
      <c r="D420"/>
      <c r="E420"/>
      <c r="F420"/>
      <c r="G420"/>
      <c r="H420"/>
      <c r="I420"/>
      <c r="J420"/>
      <c r="K420"/>
      <c r="L420"/>
      <c r="M420"/>
    </row>
    <row r="421" spans="1:13" x14ac:dyDescent="0.2">
      <c r="A421" t="s">
        <v>561</v>
      </c>
      <c r="B421"/>
      <c r="C421"/>
      <c r="D421"/>
      <c r="E421"/>
      <c r="F421"/>
      <c r="G421"/>
      <c r="H421"/>
      <c r="I421"/>
      <c r="J421"/>
      <c r="K421"/>
      <c r="L421"/>
      <c r="M421"/>
    </row>
    <row r="422" spans="1:13" x14ac:dyDescent="0.2">
      <c r="A422" t="s">
        <v>562</v>
      </c>
      <c r="B422"/>
      <c r="C422"/>
      <c r="D422"/>
      <c r="E422"/>
      <c r="F422"/>
      <c r="G422"/>
      <c r="H422"/>
      <c r="I422"/>
      <c r="J422"/>
      <c r="K422"/>
      <c r="L422"/>
      <c r="M422"/>
    </row>
    <row r="423" spans="1:13" x14ac:dyDescent="0.2">
      <c r="A423" t="s">
        <v>563</v>
      </c>
      <c r="B423"/>
      <c r="C423"/>
      <c r="D423"/>
      <c r="E423"/>
      <c r="F423"/>
      <c r="G423"/>
      <c r="H423"/>
      <c r="I423"/>
      <c r="J423"/>
      <c r="K423"/>
      <c r="L423"/>
      <c r="M423"/>
    </row>
    <row r="424" spans="1:13" x14ac:dyDescent="0.2">
      <c r="A424" t="s">
        <v>564</v>
      </c>
      <c r="B424"/>
      <c r="C424"/>
      <c r="D424"/>
      <c r="E424"/>
      <c r="F424"/>
      <c r="G424"/>
      <c r="H424"/>
      <c r="I424"/>
      <c r="J424"/>
      <c r="K424"/>
      <c r="L424"/>
      <c r="M424"/>
    </row>
    <row r="425" spans="1:13" x14ac:dyDescent="0.2">
      <c r="A425" t="s">
        <v>565</v>
      </c>
      <c r="B425"/>
      <c r="C425"/>
      <c r="D425"/>
      <c r="E425"/>
      <c r="F425"/>
      <c r="G425"/>
      <c r="H425"/>
      <c r="I425"/>
      <c r="J425"/>
      <c r="K425"/>
      <c r="L425"/>
      <c r="M425"/>
    </row>
    <row r="426" spans="1:13" x14ac:dyDescent="0.2">
      <c r="A426" t="s">
        <v>566</v>
      </c>
      <c r="B426"/>
      <c r="C426"/>
      <c r="D426"/>
      <c r="E426"/>
      <c r="F426"/>
      <c r="G426"/>
      <c r="H426"/>
      <c r="I426"/>
      <c r="J426"/>
      <c r="K426"/>
      <c r="L426"/>
      <c r="M426"/>
    </row>
    <row r="427" spans="1:13" x14ac:dyDescent="0.2">
      <c r="A427" t="s">
        <v>567</v>
      </c>
      <c r="B427"/>
      <c r="C427"/>
      <c r="D427"/>
      <c r="E427"/>
      <c r="F427"/>
      <c r="G427"/>
      <c r="H427"/>
      <c r="I427"/>
      <c r="J427"/>
      <c r="K427"/>
      <c r="L427"/>
      <c r="M427"/>
    </row>
    <row r="428" spans="1:13" x14ac:dyDescent="0.2">
      <c r="A428" t="s">
        <v>568</v>
      </c>
      <c r="B428"/>
      <c r="C428"/>
      <c r="D428"/>
      <c r="E428"/>
      <c r="F428"/>
      <c r="G428"/>
      <c r="H428"/>
      <c r="I428"/>
      <c r="J428"/>
      <c r="K428"/>
      <c r="L428"/>
      <c r="M428"/>
    </row>
    <row r="429" spans="1:13" x14ac:dyDescent="0.2">
      <c r="A429" t="s">
        <v>569</v>
      </c>
      <c r="B429"/>
      <c r="C429"/>
      <c r="D429"/>
      <c r="E429"/>
      <c r="F429"/>
      <c r="G429"/>
      <c r="H429"/>
      <c r="I429"/>
      <c r="J429"/>
      <c r="K429"/>
      <c r="L429"/>
      <c r="M429"/>
    </row>
    <row r="430" spans="1:13" x14ac:dyDescent="0.2">
      <c r="A430" t="s">
        <v>570</v>
      </c>
      <c r="B430"/>
      <c r="C430"/>
      <c r="D430"/>
      <c r="E430"/>
      <c r="F430"/>
      <c r="G430"/>
      <c r="H430"/>
      <c r="I430"/>
      <c r="J430"/>
      <c r="K430"/>
      <c r="L430"/>
      <c r="M430"/>
    </row>
    <row r="431" spans="1:13" x14ac:dyDescent="0.2">
      <c r="A431" t="s">
        <v>571</v>
      </c>
      <c r="B431"/>
      <c r="C431"/>
      <c r="D431"/>
      <c r="E431"/>
      <c r="F431"/>
      <c r="G431"/>
      <c r="H431"/>
      <c r="I431"/>
      <c r="J431"/>
      <c r="K431"/>
      <c r="L431"/>
      <c r="M431"/>
    </row>
    <row r="432" spans="1:13" x14ac:dyDescent="0.2">
      <c r="A432" t="s">
        <v>572</v>
      </c>
      <c r="B432"/>
      <c r="C432"/>
      <c r="D432"/>
      <c r="E432"/>
      <c r="F432"/>
      <c r="G432"/>
      <c r="H432"/>
      <c r="I432"/>
      <c r="J432"/>
      <c r="K432"/>
      <c r="L432"/>
      <c r="M432"/>
    </row>
    <row r="433" spans="1:13" x14ac:dyDescent="0.2">
      <c r="A433" t="s">
        <v>573</v>
      </c>
      <c r="B433"/>
      <c r="C433"/>
      <c r="D433"/>
      <c r="E433"/>
      <c r="F433"/>
      <c r="G433"/>
      <c r="H433"/>
      <c r="I433"/>
      <c r="J433"/>
      <c r="K433"/>
      <c r="L433"/>
      <c r="M433"/>
    </row>
    <row r="434" spans="1:13" x14ac:dyDescent="0.2">
      <c r="A434" t="s">
        <v>574</v>
      </c>
      <c r="B434"/>
      <c r="C434"/>
      <c r="D434"/>
      <c r="E434"/>
      <c r="F434"/>
      <c r="G434"/>
      <c r="H434"/>
      <c r="I434"/>
      <c r="J434"/>
      <c r="K434"/>
      <c r="L434"/>
      <c r="M434"/>
    </row>
    <row r="435" spans="1:13" x14ac:dyDescent="0.2">
      <c r="A435" t="s">
        <v>575</v>
      </c>
      <c r="B435"/>
      <c r="C435"/>
      <c r="D435"/>
      <c r="E435"/>
      <c r="F435"/>
      <c r="G435"/>
      <c r="H435"/>
      <c r="I435"/>
      <c r="J435"/>
      <c r="K435"/>
      <c r="L435"/>
      <c r="M435"/>
    </row>
    <row r="436" spans="1:13" x14ac:dyDescent="0.2">
      <c r="A436" t="s">
        <v>576</v>
      </c>
      <c r="B436"/>
      <c r="C436"/>
      <c r="D436"/>
      <c r="E436"/>
      <c r="F436"/>
      <c r="G436"/>
      <c r="H436"/>
      <c r="I436"/>
      <c r="J436"/>
      <c r="K436"/>
      <c r="L436"/>
      <c r="M436"/>
    </row>
    <row r="437" spans="1:13" x14ac:dyDescent="0.2">
      <c r="A437" t="s">
        <v>577</v>
      </c>
      <c r="B437"/>
      <c r="C437"/>
      <c r="D437"/>
      <c r="E437"/>
      <c r="F437"/>
      <c r="G437"/>
      <c r="H437"/>
      <c r="I437"/>
      <c r="J437"/>
      <c r="K437"/>
      <c r="L437"/>
      <c r="M437"/>
    </row>
    <row r="438" spans="1:13" x14ac:dyDescent="0.2">
      <c r="A438" t="s">
        <v>578</v>
      </c>
      <c r="B438"/>
      <c r="C438"/>
      <c r="D438"/>
      <c r="E438"/>
      <c r="F438"/>
      <c r="G438"/>
      <c r="H438"/>
      <c r="I438"/>
      <c r="J438"/>
      <c r="K438"/>
      <c r="L438"/>
      <c r="M438"/>
    </row>
    <row r="439" spans="1:13" x14ac:dyDescent="0.2">
      <c r="A439" t="s">
        <v>579</v>
      </c>
      <c r="B439"/>
      <c r="C439"/>
      <c r="D439"/>
      <c r="E439"/>
      <c r="F439"/>
      <c r="G439"/>
      <c r="H439"/>
      <c r="I439"/>
      <c r="J439"/>
      <c r="K439"/>
      <c r="L439"/>
      <c r="M439"/>
    </row>
    <row r="440" spans="1:13" x14ac:dyDescent="0.2">
      <c r="A440" t="s">
        <v>580</v>
      </c>
      <c r="B440"/>
      <c r="C440"/>
      <c r="D440"/>
      <c r="E440"/>
      <c r="F440"/>
      <c r="G440"/>
      <c r="H440"/>
      <c r="I440"/>
      <c r="J440"/>
      <c r="K440"/>
      <c r="L440"/>
      <c r="M440"/>
    </row>
    <row r="441" spans="1:13" x14ac:dyDescent="0.2">
      <c r="A441" t="s">
        <v>581</v>
      </c>
      <c r="B441"/>
      <c r="C441"/>
      <c r="D441"/>
      <c r="E441"/>
      <c r="F441"/>
      <c r="G441"/>
      <c r="H441"/>
      <c r="I441"/>
      <c r="J441"/>
      <c r="K441"/>
      <c r="L441"/>
      <c r="M441"/>
    </row>
    <row r="442" spans="1:13" x14ac:dyDescent="0.2">
      <c r="A442" t="s">
        <v>582</v>
      </c>
      <c r="B442"/>
      <c r="C442"/>
      <c r="D442"/>
      <c r="E442"/>
      <c r="F442"/>
      <c r="G442"/>
      <c r="H442"/>
      <c r="I442"/>
      <c r="J442"/>
      <c r="K442"/>
      <c r="L442"/>
      <c r="M442"/>
    </row>
    <row r="443" spans="1:13" x14ac:dyDescent="0.2">
      <c r="A443" t="s">
        <v>583</v>
      </c>
      <c r="B443"/>
      <c r="C443"/>
      <c r="D443"/>
      <c r="E443"/>
      <c r="F443"/>
      <c r="G443"/>
      <c r="H443"/>
      <c r="I443"/>
      <c r="J443"/>
      <c r="K443"/>
      <c r="L443"/>
      <c r="M443"/>
    </row>
    <row r="444" spans="1:13" x14ac:dyDescent="0.2">
      <c r="A444" t="s">
        <v>584</v>
      </c>
      <c r="B444"/>
      <c r="C444"/>
      <c r="D444"/>
      <c r="E444"/>
      <c r="F444"/>
      <c r="G444"/>
      <c r="H444"/>
      <c r="I444"/>
      <c r="J444"/>
      <c r="K444"/>
      <c r="L444"/>
      <c r="M444"/>
    </row>
    <row r="445" spans="1:13" x14ac:dyDescent="0.2">
      <c r="A445" t="s">
        <v>585</v>
      </c>
      <c r="B445"/>
      <c r="C445"/>
      <c r="D445"/>
      <c r="E445"/>
      <c r="F445"/>
      <c r="G445"/>
      <c r="H445"/>
      <c r="I445"/>
      <c r="J445"/>
      <c r="K445"/>
      <c r="L445"/>
      <c r="M445"/>
    </row>
    <row r="446" spans="1:13" x14ac:dyDescent="0.2">
      <c r="A446" t="s">
        <v>586</v>
      </c>
      <c r="B446"/>
      <c r="C446"/>
      <c r="D446"/>
      <c r="E446"/>
      <c r="F446"/>
      <c r="G446"/>
      <c r="H446"/>
      <c r="I446"/>
      <c r="J446"/>
      <c r="K446"/>
      <c r="L446"/>
      <c r="M446"/>
    </row>
    <row r="447" spans="1:13" x14ac:dyDescent="0.2">
      <c r="A447" t="s">
        <v>587</v>
      </c>
      <c r="B447"/>
      <c r="C447"/>
      <c r="D447"/>
      <c r="E447"/>
      <c r="F447"/>
      <c r="G447"/>
      <c r="H447"/>
      <c r="I447"/>
      <c r="J447"/>
      <c r="K447"/>
      <c r="L447"/>
      <c r="M447"/>
    </row>
    <row r="448" spans="1:13" x14ac:dyDescent="0.2">
      <c r="A448" t="s">
        <v>588</v>
      </c>
      <c r="B448"/>
      <c r="C448"/>
      <c r="D448"/>
      <c r="E448"/>
      <c r="F448"/>
      <c r="G448"/>
      <c r="H448"/>
      <c r="I448"/>
      <c r="J448"/>
      <c r="K448"/>
      <c r="L448"/>
      <c r="M448"/>
    </row>
    <row r="449" spans="1:13" x14ac:dyDescent="0.2">
      <c r="A449" t="s">
        <v>589</v>
      </c>
      <c r="B449"/>
      <c r="C449"/>
      <c r="D449"/>
      <c r="E449"/>
      <c r="F449"/>
      <c r="G449"/>
      <c r="H449"/>
      <c r="I449"/>
      <c r="J449"/>
      <c r="K449"/>
      <c r="L449"/>
      <c r="M449"/>
    </row>
    <row r="450" spans="1:13" x14ac:dyDescent="0.2">
      <c r="A450" t="s">
        <v>590</v>
      </c>
      <c r="B450"/>
      <c r="C450"/>
      <c r="D450"/>
      <c r="E450"/>
      <c r="F450"/>
      <c r="G450"/>
      <c r="H450"/>
      <c r="I450"/>
      <c r="J450"/>
      <c r="K450"/>
      <c r="L450"/>
      <c r="M450"/>
    </row>
    <row r="451" spans="1:13" x14ac:dyDescent="0.2">
      <c r="A451" t="s">
        <v>591</v>
      </c>
      <c r="B451"/>
      <c r="C451"/>
      <c r="D451"/>
      <c r="E451"/>
      <c r="F451"/>
      <c r="G451"/>
      <c r="H451"/>
      <c r="I451"/>
      <c r="J451"/>
      <c r="K451"/>
      <c r="L451"/>
      <c r="M451"/>
    </row>
    <row r="452" spans="1:13" x14ac:dyDescent="0.2">
      <c r="A452" t="s">
        <v>592</v>
      </c>
      <c r="B452"/>
      <c r="C452"/>
      <c r="D452"/>
      <c r="E452"/>
      <c r="F452"/>
      <c r="G452"/>
      <c r="H452"/>
      <c r="I452"/>
      <c r="J452"/>
      <c r="K452"/>
      <c r="L452"/>
      <c r="M452"/>
    </row>
    <row r="453" spans="1:13" x14ac:dyDescent="0.2">
      <c r="A453" t="s">
        <v>593</v>
      </c>
      <c r="B453"/>
      <c r="C453"/>
      <c r="D453"/>
      <c r="E453"/>
      <c r="F453"/>
      <c r="G453"/>
      <c r="H453"/>
      <c r="I453"/>
      <c r="J453"/>
      <c r="K453"/>
      <c r="L453"/>
      <c r="M453"/>
    </row>
    <row r="454" spans="1:13" x14ac:dyDescent="0.2">
      <c r="A454" t="s">
        <v>594</v>
      </c>
      <c r="B454"/>
      <c r="C454"/>
      <c r="D454"/>
      <c r="E454"/>
      <c r="F454"/>
      <c r="G454"/>
      <c r="H454"/>
      <c r="I454"/>
      <c r="J454"/>
      <c r="K454"/>
      <c r="L454"/>
      <c r="M454"/>
    </row>
    <row r="455" spans="1:13" x14ac:dyDescent="0.2">
      <c r="A455" t="s">
        <v>595</v>
      </c>
      <c r="B455"/>
      <c r="C455"/>
      <c r="D455"/>
      <c r="E455"/>
      <c r="F455"/>
      <c r="G455"/>
      <c r="H455"/>
      <c r="I455"/>
      <c r="J455"/>
      <c r="K455"/>
      <c r="L455"/>
      <c r="M455"/>
    </row>
    <row r="456" spans="1:13" x14ac:dyDescent="0.2">
      <c r="A456" t="s">
        <v>596</v>
      </c>
      <c r="B456"/>
      <c r="C456"/>
      <c r="D456"/>
      <c r="E456"/>
      <c r="F456"/>
      <c r="G456"/>
      <c r="H456"/>
      <c r="I456"/>
      <c r="J456"/>
      <c r="K456"/>
      <c r="L456"/>
      <c r="M456"/>
    </row>
    <row r="457" spans="1:13" x14ac:dyDescent="0.2">
      <c r="A457" t="s">
        <v>597</v>
      </c>
      <c r="B457"/>
      <c r="C457"/>
      <c r="D457"/>
      <c r="E457"/>
      <c r="F457"/>
      <c r="G457"/>
      <c r="H457"/>
      <c r="I457"/>
      <c r="J457"/>
      <c r="K457"/>
      <c r="L457"/>
      <c r="M457"/>
    </row>
    <row r="458" spans="1:13" x14ac:dyDescent="0.2">
      <c r="A458" t="s">
        <v>598</v>
      </c>
      <c r="B458"/>
      <c r="C458"/>
      <c r="D458"/>
      <c r="E458"/>
      <c r="F458"/>
      <c r="G458"/>
      <c r="H458"/>
      <c r="I458"/>
      <c r="J458"/>
      <c r="K458"/>
      <c r="L458"/>
      <c r="M458"/>
    </row>
    <row r="459" spans="1:13" x14ac:dyDescent="0.2">
      <c r="A459" t="s">
        <v>599</v>
      </c>
      <c r="B459"/>
      <c r="C459"/>
      <c r="D459"/>
      <c r="E459"/>
      <c r="F459"/>
      <c r="G459"/>
      <c r="H459"/>
      <c r="I459"/>
      <c r="J459"/>
      <c r="K459"/>
      <c r="L459"/>
      <c r="M459"/>
    </row>
    <row r="460" spans="1:13" x14ac:dyDescent="0.2">
      <c r="A460" t="s">
        <v>600</v>
      </c>
      <c r="B460"/>
      <c r="C460"/>
      <c r="D460"/>
      <c r="E460"/>
      <c r="F460"/>
      <c r="G460"/>
      <c r="H460"/>
      <c r="I460"/>
      <c r="J460"/>
      <c r="K460"/>
      <c r="L460"/>
      <c r="M460"/>
    </row>
    <row r="461" spans="1:13" x14ac:dyDescent="0.2">
      <c r="A461" t="s">
        <v>601</v>
      </c>
      <c r="B461"/>
      <c r="C461"/>
      <c r="D461"/>
      <c r="E461"/>
      <c r="F461"/>
      <c r="G461"/>
      <c r="H461"/>
      <c r="I461"/>
      <c r="J461"/>
      <c r="K461"/>
      <c r="L461"/>
      <c r="M461"/>
    </row>
    <row r="462" spans="1:13" x14ac:dyDescent="0.2">
      <c r="A462" t="s">
        <v>602</v>
      </c>
      <c r="B462"/>
      <c r="C462"/>
      <c r="D462"/>
      <c r="E462"/>
      <c r="F462"/>
      <c r="G462"/>
      <c r="H462"/>
      <c r="I462"/>
      <c r="J462"/>
      <c r="K462"/>
      <c r="L462"/>
      <c r="M462"/>
    </row>
    <row r="463" spans="1:13" x14ac:dyDescent="0.2">
      <c r="A463" t="s">
        <v>603</v>
      </c>
      <c r="B463"/>
      <c r="C463"/>
      <c r="D463"/>
      <c r="E463"/>
      <c r="F463"/>
      <c r="G463"/>
      <c r="H463"/>
      <c r="I463"/>
      <c r="J463"/>
      <c r="K463"/>
      <c r="L463"/>
      <c r="M463"/>
    </row>
    <row r="464" spans="1:13" x14ac:dyDescent="0.2">
      <c r="A464" t="s">
        <v>604</v>
      </c>
      <c r="B464"/>
      <c r="C464"/>
      <c r="D464"/>
      <c r="E464"/>
      <c r="F464"/>
      <c r="G464"/>
      <c r="H464"/>
      <c r="I464"/>
      <c r="J464"/>
      <c r="K464"/>
      <c r="L464"/>
      <c r="M464"/>
    </row>
    <row r="465" spans="1:13" x14ac:dyDescent="0.2">
      <c r="A465" t="s">
        <v>605</v>
      </c>
      <c r="B465"/>
      <c r="C465"/>
      <c r="D465"/>
      <c r="E465"/>
      <c r="F465"/>
      <c r="G465"/>
      <c r="H465"/>
      <c r="I465"/>
      <c r="J465"/>
      <c r="K465"/>
      <c r="L465"/>
      <c r="M465"/>
    </row>
    <row r="466" spans="1:13" x14ac:dyDescent="0.2">
      <c r="A466" t="s">
        <v>606</v>
      </c>
      <c r="B466"/>
      <c r="C466"/>
      <c r="D466"/>
      <c r="E466"/>
      <c r="F466"/>
      <c r="G466"/>
      <c r="H466"/>
      <c r="I466"/>
      <c r="J466"/>
      <c r="K466"/>
      <c r="L466"/>
      <c r="M466"/>
    </row>
    <row r="467" spans="1:13" x14ac:dyDescent="0.2">
      <c r="A467" t="s">
        <v>607</v>
      </c>
      <c r="B467"/>
      <c r="C467"/>
      <c r="D467"/>
      <c r="E467"/>
      <c r="F467"/>
      <c r="G467"/>
      <c r="H467"/>
      <c r="I467"/>
      <c r="J467"/>
      <c r="K467"/>
      <c r="L467"/>
      <c r="M467"/>
    </row>
    <row r="468" spans="1:13" x14ac:dyDescent="0.2">
      <c r="A468" t="s">
        <v>608</v>
      </c>
      <c r="B468"/>
      <c r="C468"/>
      <c r="D468"/>
      <c r="E468"/>
      <c r="F468"/>
      <c r="G468"/>
      <c r="H468"/>
      <c r="I468"/>
      <c r="J468"/>
      <c r="K468"/>
      <c r="L468"/>
      <c r="M468"/>
    </row>
    <row r="469" spans="1:13" x14ac:dyDescent="0.2">
      <c r="A469" t="s">
        <v>609</v>
      </c>
      <c r="B469"/>
      <c r="C469"/>
      <c r="D469"/>
      <c r="E469"/>
      <c r="F469"/>
      <c r="G469"/>
      <c r="H469"/>
      <c r="I469"/>
      <c r="J469"/>
      <c r="K469"/>
      <c r="L469"/>
      <c r="M469"/>
    </row>
    <row r="470" spans="1:13" x14ac:dyDescent="0.2">
      <c r="A470" t="s">
        <v>610</v>
      </c>
      <c r="B470"/>
      <c r="C470"/>
      <c r="D470"/>
      <c r="E470"/>
      <c r="F470"/>
      <c r="G470"/>
      <c r="H470"/>
      <c r="I470"/>
      <c r="J470"/>
      <c r="K470"/>
      <c r="L470"/>
      <c r="M470"/>
    </row>
    <row r="471" spans="1:13" x14ac:dyDescent="0.2">
      <c r="A471" t="s">
        <v>611</v>
      </c>
      <c r="B471"/>
      <c r="C471"/>
      <c r="D471"/>
      <c r="E471"/>
      <c r="F471"/>
      <c r="G471"/>
      <c r="H471"/>
      <c r="I471"/>
      <c r="J471"/>
      <c r="K471"/>
      <c r="L471"/>
      <c r="M471"/>
    </row>
    <row r="472" spans="1:13" x14ac:dyDescent="0.2">
      <c r="A472" t="s">
        <v>612</v>
      </c>
      <c r="B472"/>
      <c r="C472"/>
      <c r="D472"/>
      <c r="E472"/>
      <c r="F472"/>
      <c r="G472"/>
      <c r="H472"/>
      <c r="I472"/>
      <c r="J472"/>
      <c r="K472"/>
      <c r="L472"/>
      <c r="M472"/>
    </row>
    <row r="473" spans="1:13" x14ac:dyDescent="0.2">
      <c r="A473" t="s">
        <v>613</v>
      </c>
      <c r="B473"/>
      <c r="C473"/>
      <c r="D473"/>
      <c r="E473"/>
      <c r="F473"/>
      <c r="G473"/>
      <c r="H473"/>
      <c r="I473"/>
      <c r="J473"/>
      <c r="K473"/>
      <c r="L473"/>
      <c r="M473"/>
    </row>
    <row r="474" spans="1:13" x14ac:dyDescent="0.2">
      <c r="A474" t="s">
        <v>614</v>
      </c>
      <c r="B474"/>
      <c r="C474"/>
      <c r="D474"/>
      <c r="E474"/>
      <c r="F474"/>
      <c r="G474"/>
      <c r="H474"/>
      <c r="I474"/>
      <c r="J474"/>
      <c r="K474"/>
      <c r="L474"/>
      <c r="M474"/>
    </row>
    <row r="475" spans="1:13" x14ac:dyDescent="0.2">
      <c r="A475" t="s">
        <v>615</v>
      </c>
      <c r="B475"/>
      <c r="C475"/>
      <c r="D475"/>
      <c r="E475"/>
      <c r="F475"/>
      <c r="G475"/>
      <c r="H475"/>
      <c r="I475"/>
      <c r="J475"/>
      <c r="K475"/>
      <c r="L475"/>
      <c r="M475"/>
    </row>
    <row r="476" spans="1:13" x14ac:dyDescent="0.2">
      <c r="A476" t="s">
        <v>616</v>
      </c>
      <c r="B476"/>
      <c r="C476"/>
      <c r="D476"/>
      <c r="E476"/>
      <c r="F476"/>
      <c r="G476"/>
      <c r="H476"/>
      <c r="I476"/>
      <c r="J476"/>
      <c r="K476"/>
      <c r="L476"/>
      <c r="M476"/>
    </row>
    <row r="477" spans="1:13" x14ac:dyDescent="0.2">
      <c r="A477" t="s">
        <v>617</v>
      </c>
      <c r="B477"/>
      <c r="C477"/>
      <c r="D477"/>
      <c r="E477"/>
      <c r="F477"/>
      <c r="G477"/>
      <c r="H477"/>
      <c r="I477"/>
      <c r="J477"/>
      <c r="K477"/>
      <c r="L477"/>
      <c r="M477"/>
    </row>
    <row r="478" spans="1:13" x14ac:dyDescent="0.2">
      <c r="A478" t="s">
        <v>618</v>
      </c>
      <c r="B478"/>
      <c r="C478"/>
      <c r="D478"/>
      <c r="E478"/>
      <c r="F478"/>
      <c r="G478"/>
      <c r="H478"/>
      <c r="I478"/>
      <c r="J478"/>
      <c r="K478"/>
      <c r="L478"/>
      <c r="M478"/>
    </row>
    <row r="479" spans="1:13" x14ac:dyDescent="0.2">
      <c r="A479" t="s">
        <v>619</v>
      </c>
      <c r="B479"/>
      <c r="C479"/>
      <c r="D479"/>
      <c r="E479"/>
      <c r="F479"/>
      <c r="G479"/>
      <c r="H479"/>
      <c r="I479"/>
      <c r="J479"/>
      <c r="K479"/>
      <c r="L479"/>
      <c r="M479"/>
    </row>
    <row r="480" spans="1:13" x14ac:dyDescent="0.2">
      <c r="A480" t="s">
        <v>620</v>
      </c>
      <c r="B480"/>
      <c r="C480"/>
      <c r="D480"/>
      <c r="E480"/>
      <c r="F480"/>
      <c r="G480"/>
      <c r="H480"/>
      <c r="I480"/>
      <c r="J480"/>
      <c r="K480"/>
      <c r="L480"/>
      <c r="M480"/>
    </row>
    <row r="481" spans="1:13" x14ac:dyDescent="0.2">
      <c r="A481" t="s">
        <v>621</v>
      </c>
      <c r="B481"/>
      <c r="C481"/>
      <c r="D481"/>
      <c r="E481"/>
      <c r="F481"/>
      <c r="G481"/>
      <c r="H481"/>
      <c r="I481"/>
      <c r="J481"/>
      <c r="K481"/>
      <c r="L481"/>
      <c r="M481"/>
    </row>
    <row r="482" spans="1:13" x14ac:dyDescent="0.2">
      <c r="A482" t="s">
        <v>622</v>
      </c>
      <c r="B482"/>
      <c r="C482"/>
      <c r="D482"/>
      <c r="E482"/>
      <c r="F482"/>
      <c r="G482"/>
      <c r="H482"/>
      <c r="I482"/>
      <c r="J482"/>
      <c r="K482"/>
      <c r="L482"/>
      <c r="M482"/>
    </row>
    <row r="483" spans="1:13" x14ac:dyDescent="0.2">
      <c r="A483" t="s">
        <v>623</v>
      </c>
      <c r="B483"/>
      <c r="C483"/>
      <c r="D483"/>
      <c r="E483"/>
      <c r="F483"/>
      <c r="G483"/>
      <c r="H483"/>
      <c r="I483"/>
      <c r="J483"/>
      <c r="K483"/>
      <c r="L483"/>
      <c r="M483"/>
    </row>
    <row r="484" spans="1:13" x14ac:dyDescent="0.2">
      <c r="A484" t="s">
        <v>624</v>
      </c>
      <c r="B484"/>
      <c r="C484"/>
      <c r="D484"/>
      <c r="E484"/>
      <c r="F484"/>
      <c r="G484"/>
      <c r="H484"/>
      <c r="I484"/>
      <c r="J484"/>
      <c r="K484"/>
      <c r="L484"/>
      <c r="M484"/>
    </row>
    <row r="485" spans="1:13" x14ac:dyDescent="0.2">
      <c r="A485" t="s">
        <v>625</v>
      </c>
      <c r="B485"/>
      <c r="C485"/>
      <c r="D485"/>
      <c r="E485"/>
      <c r="F485"/>
      <c r="G485"/>
      <c r="H485"/>
      <c r="I485"/>
      <c r="J485"/>
      <c r="K485"/>
      <c r="L485"/>
      <c r="M485"/>
    </row>
    <row r="486" spans="1:13" x14ac:dyDescent="0.2">
      <c r="A486" t="s">
        <v>626</v>
      </c>
      <c r="B486"/>
      <c r="C486"/>
      <c r="D486"/>
      <c r="E486"/>
      <c r="F486"/>
      <c r="G486"/>
      <c r="H486"/>
      <c r="I486"/>
      <c r="J486"/>
      <c r="K486"/>
      <c r="L486"/>
      <c r="M486"/>
    </row>
    <row r="487" spans="1:13" x14ac:dyDescent="0.2">
      <c r="A487" t="s">
        <v>627</v>
      </c>
      <c r="B487"/>
      <c r="C487"/>
      <c r="D487"/>
      <c r="E487"/>
      <c r="F487"/>
      <c r="G487"/>
      <c r="H487"/>
      <c r="I487"/>
      <c r="J487"/>
      <c r="K487"/>
      <c r="L487"/>
      <c r="M487"/>
    </row>
    <row r="488" spans="1:13" x14ac:dyDescent="0.2">
      <c r="A488" t="s">
        <v>628</v>
      </c>
      <c r="B488"/>
      <c r="C488"/>
      <c r="D488"/>
      <c r="E488"/>
      <c r="F488"/>
      <c r="G488"/>
      <c r="H488"/>
      <c r="I488"/>
      <c r="J488"/>
      <c r="K488"/>
      <c r="L488"/>
      <c r="M488"/>
    </row>
    <row r="489" spans="1:13" x14ac:dyDescent="0.2">
      <c r="A489" t="s">
        <v>629</v>
      </c>
      <c r="B489"/>
      <c r="C489"/>
      <c r="D489"/>
      <c r="E489"/>
      <c r="F489"/>
      <c r="G489"/>
      <c r="H489"/>
      <c r="I489"/>
      <c r="J489"/>
      <c r="K489"/>
      <c r="L489"/>
      <c r="M489"/>
    </row>
    <row r="490" spans="1:13" x14ac:dyDescent="0.2">
      <c r="A490" t="s">
        <v>630</v>
      </c>
      <c r="B490"/>
      <c r="C490"/>
      <c r="D490"/>
      <c r="E490"/>
      <c r="F490"/>
      <c r="G490"/>
      <c r="H490"/>
      <c r="I490"/>
      <c r="J490"/>
      <c r="K490"/>
      <c r="L490"/>
      <c r="M490"/>
    </row>
    <row r="491" spans="1:13" x14ac:dyDescent="0.2">
      <c r="A491" t="s">
        <v>631</v>
      </c>
      <c r="B491"/>
      <c r="C491"/>
      <c r="D491"/>
      <c r="E491"/>
      <c r="F491"/>
      <c r="G491"/>
      <c r="H491"/>
      <c r="I491"/>
      <c r="J491"/>
      <c r="K491"/>
      <c r="L491"/>
      <c r="M491"/>
    </row>
    <row r="492" spans="1:13" x14ac:dyDescent="0.2">
      <c r="A492" t="s">
        <v>632</v>
      </c>
      <c r="B492"/>
      <c r="C492"/>
      <c r="D492"/>
      <c r="E492"/>
      <c r="F492"/>
      <c r="G492"/>
      <c r="H492"/>
      <c r="I492"/>
      <c r="J492"/>
      <c r="K492"/>
      <c r="L492"/>
      <c r="M492"/>
    </row>
    <row r="493" spans="1:13" x14ac:dyDescent="0.2">
      <c r="A493" t="s">
        <v>633</v>
      </c>
      <c r="B493"/>
      <c r="C493"/>
      <c r="D493"/>
      <c r="E493"/>
      <c r="F493"/>
      <c r="G493"/>
      <c r="H493"/>
      <c r="I493"/>
      <c r="J493"/>
      <c r="K493"/>
      <c r="L493"/>
      <c r="M493"/>
    </row>
    <row r="494" spans="1:13" x14ac:dyDescent="0.2">
      <c r="A494" t="s">
        <v>634</v>
      </c>
      <c r="B494"/>
      <c r="C494"/>
      <c r="D494"/>
      <c r="E494"/>
      <c r="F494"/>
      <c r="G494"/>
      <c r="H494"/>
      <c r="I494"/>
      <c r="J494"/>
      <c r="K494"/>
      <c r="L494"/>
      <c r="M494"/>
    </row>
    <row r="495" spans="1:13" x14ac:dyDescent="0.2">
      <c r="A495" t="s">
        <v>635</v>
      </c>
      <c r="B495"/>
      <c r="C495"/>
      <c r="D495"/>
      <c r="E495"/>
      <c r="F495"/>
      <c r="G495"/>
      <c r="H495"/>
      <c r="I495"/>
      <c r="J495"/>
      <c r="K495"/>
      <c r="L495"/>
      <c r="M495"/>
    </row>
    <row r="496" spans="1:13" x14ac:dyDescent="0.2">
      <c r="A496" t="s">
        <v>636</v>
      </c>
      <c r="B496"/>
      <c r="C496"/>
      <c r="D496"/>
      <c r="E496"/>
      <c r="F496"/>
      <c r="G496"/>
      <c r="H496"/>
      <c r="I496"/>
      <c r="J496"/>
      <c r="K496"/>
      <c r="L496"/>
      <c r="M496"/>
    </row>
    <row r="497" spans="1:13" x14ac:dyDescent="0.2">
      <c r="A497" t="s">
        <v>637</v>
      </c>
      <c r="B497"/>
      <c r="C497"/>
      <c r="D497"/>
      <c r="E497"/>
      <c r="F497"/>
      <c r="G497"/>
      <c r="H497"/>
      <c r="I497"/>
      <c r="J497"/>
      <c r="K497"/>
      <c r="L497"/>
      <c r="M497"/>
    </row>
    <row r="498" spans="1:13" x14ac:dyDescent="0.2">
      <c r="A498" t="s">
        <v>638</v>
      </c>
      <c r="B498"/>
      <c r="C498"/>
      <c r="D498"/>
      <c r="E498"/>
      <c r="F498"/>
      <c r="G498"/>
      <c r="H498"/>
      <c r="I498"/>
      <c r="J498"/>
      <c r="K498"/>
      <c r="L498"/>
      <c r="M498"/>
    </row>
    <row r="499" spans="1:13" x14ac:dyDescent="0.2">
      <c r="A499" t="s">
        <v>639</v>
      </c>
      <c r="B499"/>
      <c r="C499"/>
      <c r="D499"/>
      <c r="E499"/>
      <c r="F499"/>
      <c r="G499"/>
      <c r="H499"/>
      <c r="I499"/>
      <c r="J499"/>
      <c r="K499"/>
      <c r="L499"/>
      <c r="M499"/>
    </row>
    <row r="500" spans="1:13" x14ac:dyDescent="0.2">
      <c r="A500" t="s">
        <v>640</v>
      </c>
      <c r="B500"/>
      <c r="C500"/>
      <c r="D500"/>
      <c r="E500"/>
      <c r="F500"/>
      <c r="G500"/>
      <c r="H500"/>
      <c r="I500"/>
      <c r="J500"/>
      <c r="K500"/>
      <c r="L500"/>
      <c r="M500"/>
    </row>
    <row r="501" spans="1:13" x14ac:dyDescent="0.2">
      <c r="A501" t="s">
        <v>641</v>
      </c>
      <c r="B501"/>
      <c r="C501"/>
      <c r="D501"/>
      <c r="E501"/>
      <c r="F501"/>
      <c r="G501"/>
      <c r="H501"/>
      <c r="I501"/>
      <c r="J501"/>
      <c r="K501"/>
      <c r="L501"/>
      <c r="M501"/>
    </row>
    <row r="502" spans="1:13" x14ac:dyDescent="0.2">
      <c r="A502" t="s">
        <v>642</v>
      </c>
      <c r="B502"/>
      <c r="C502"/>
      <c r="D502"/>
      <c r="E502"/>
      <c r="F502"/>
      <c r="G502"/>
      <c r="H502"/>
      <c r="I502"/>
      <c r="J502"/>
      <c r="K502"/>
      <c r="L502"/>
      <c r="M502"/>
    </row>
    <row r="503" spans="1:13" x14ac:dyDescent="0.2">
      <c r="A503" t="s">
        <v>643</v>
      </c>
      <c r="B503"/>
      <c r="C503"/>
      <c r="D503"/>
      <c r="E503"/>
      <c r="F503"/>
      <c r="G503"/>
      <c r="H503"/>
      <c r="I503"/>
      <c r="J503"/>
      <c r="K503"/>
      <c r="L503"/>
      <c r="M503"/>
    </row>
    <row r="504" spans="1:13" x14ac:dyDescent="0.2">
      <c r="A504" t="s">
        <v>644</v>
      </c>
      <c r="B504"/>
      <c r="C504"/>
      <c r="D504"/>
      <c r="E504"/>
      <c r="F504"/>
      <c r="G504"/>
      <c r="H504"/>
      <c r="I504"/>
      <c r="J504"/>
      <c r="K504"/>
      <c r="L504"/>
      <c r="M504"/>
    </row>
    <row r="505" spans="1:13" x14ac:dyDescent="0.2">
      <c r="A505" t="s">
        <v>645</v>
      </c>
      <c r="B505"/>
      <c r="C505"/>
      <c r="D505"/>
      <c r="E505"/>
      <c r="F505"/>
      <c r="G505"/>
      <c r="H505"/>
      <c r="I505"/>
      <c r="J505"/>
      <c r="K505"/>
      <c r="L505"/>
      <c r="M505"/>
    </row>
    <row r="506" spans="1:13" x14ac:dyDescent="0.2">
      <c r="A506" t="s">
        <v>646</v>
      </c>
      <c r="B506"/>
      <c r="C506"/>
      <c r="D506"/>
      <c r="E506"/>
      <c r="F506"/>
      <c r="G506"/>
      <c r="H506"/>
      <c r="I506"/>
      <c r="J506"/>
      <c r="K506"/>
      <c r="L506"/>
      <c r="M506"/>
    </row>
    <row r="507" spans="1:13" x14ac:dyDescent="0.2">
      <c r="A507" t="s">
        <v>647</v>
      </c>
      <c r="B507"/>
      <c r="C507"/>
      <c r="D507"/>
      <c r="E507"/>
      <c r="F507"/>
      <c r="G507"/>
      <c r="H507"/>
      <c r="I507"/>
      <c r="J507"/>
      <c r="K507"/>
      <c r="L507"/>
      <c r="M507"/>
    </row>
    <row r="508" spans="1:13" x14ac:dyDescent="0.2">
      <c r="A508" t="s">
        <v>648</v>
      </c>
      <c r="B508"/>
      <c r="C508"/>
      <c r="D508"/>
      <c r="E508"/>
      <c r="F508"/>
      <c r="G508"/>
      <c r="H508"/>
      <c r="I508"/>
      <c r="J508"/>
      <c r="K508"/>
      <c r="L508"/>
      <c r="M508"/>
    </row>
    <row r="509" spans="1:13" x14ac:dyDescent="0.2">
      <c r="A509" t="s">
        <v>649</v>
      </c>
      <c r="B509"/>
      <c r="C509"/>
      <c r="D509"/>
      <c r="E509"/>
      <c r="F509"/>
      <c r="G509"/>
      <c r="H509"/>
      <c r="I509"/>
      <c r="J509"/>
      <c r="K509"/>
      <c r="L509"/>
      <c r="M509"/>
    </row>
    <row r="510" spans="1:13" x14ac:dyDescent="0.2">
      <c r="A510" t="s">
        <v>650</v>
      </c>
      <c r="B510"/>
      <c r="C510"/>
      <c r="D510"/>
      <c r="E510"/>
      <c r="F510"/>
      <c r="G510"/>
      <c r="H510"/>
      <c r="I510"/>
      <c r="J510"/>
      <c r="K510"/>
      <c r="L510"/>
      <c r="M510"/>
    </row>
    <row r="511" spans="1:13" x14ac:dyDescent="0.2">
      <c r="A511" t="s">
        <v>651</v>
      </c>
      <c r="B511"/>
      <c r="C511"/>
      <c r="D511"/>
      <c r="E511"/>
      <c r="F511"/>
      <c r="G511"/>
      <c r="H511"/>
      <c r="I511"/>
      <c r="J511"/>
      <c r="K511"/>
      <c r="L511"/>
      <c r="M511"/>
    </row>
    <row r="512" spans="1:13" x14ac:dyDescent="0.2">
      <c r="A512" t="s">
        <v>652</v>
      </c>
      <c r="B512"/>
      <c r="C512"/>
      <c r="D512"/>
      <c r="E512"/>
      <c r="F512"/>
      <c r="G512"/>
      <c r="H512"/>
      <c r="I512"/>
      <c r="J512"/>
      <c r="K512"/>
      <c r="L512"/>
      <c r="M512"/>
    </row>
    <row r="513" spans="1:13" x14ac:dyDescent="0.2">
      <c r="A513" t="s">
        <v>653</v>
      </c>
      <c r="B513"/>
      <c r="C513"/>
      <c r="D513"/>
      <c r="E513"/>
      <c r="F513"/>
      <c r="G513"/>
      <c r="H513"/>
      <c r="I513"/>
      <c r="J513"/>
      <c r="K513"/>
      <c r="L513"/>
      <c r="M513"/>
    </row>
    <row r="514" spans="1:13" x14ac:dyDescent="0.2">
      <c r="A514" t="s">
        <v>654</v>
      </c>
      <c r="B514"/>
      <c r="C514"/>
      <c r="D514"/>
      <c r="E514"/>
      <c r="F514"/>
      <c r="G514"/>
      <c r="H514"/>
      <c r="I514"/>
      <c r="J514"/>
      <c r="K514"/>
      <c r="L514"/>
      <c r="M514"/>
    </row>
    <row r="515" spans="1:13" x14ac:dyDescent="0.2">
      <c r="A515" t="s">
        <v>655</v>
      </c>
      <c r="B515"/>
      <c r="C515"/>
      <c r="D515"/>
      <c r="E515"/>
      <c r="F515"/>
      <c r="G515"/>
      <c r="H515"/>
      <c r="I515"/>
      <c r="J515"/>
      <c r="K515"/>
      <c r="L515"/>
      <c r="M515"/>
    </row>
    <row r="516" spans="1:13" x14ac:dyDescent="0.2">
      <c r="A516" t="s">
        <v>656</v>
      </c>
      <c r="B516"/>
      <c r="C516"/>
      <c r="D516"/>
      <c r="E516"/>
      <c r="F516"/>
      <c r="G516"/>
      <c r="H516"/>
      <c r="I516"/>
      <c r="J516"/>
      <c r="K516"/>
      <c r="L516"/>
      <c r="M516"/>
    </row>
    <row r="517" spans="1:13" x14ac:dyDescent="0.2">
      <c r="A517" t="s">
        <v>657</v>
      </c>
      <c r="B517"/>
      <c r="C517"/>
      <c r="D517"/>
      <c r="E517"/>
      <c r="F517"/>
      <c r="G517"/>
      <c r="H517"/>
      <c r="I517"/>
      <c r="J517"/>
      <c r="K517"/>
      <c r="L517"/>
      <c r="M517"/>
    </row>
    <row r="518" spans="1:13" x14ac:dyDescent="0.2">
      <c r="A518" t="s">
        <v>658</v>
      </c>
      <c r="B518"/>
      <c r="C518"/>
      <c r="D518"/>
      <c r="E518"/>
      <c r="F518"/>
      <c r="G518"/>
      <c r="H518"/>
      <c r="I518"/>
      <c r="J518"/>
      <c r="K518"/>
      <c r="L518"/>
      <c r="M518"/>
    </row>
    <row r="519" spans="1:13" x14ac:dyDescent="0.2">
      <c r="A519" t="s">
        <v>659</v>
      </c>
      <c r="B519"/>
      <c r="C519"/>
      <c r="D519"/>
      <c r="E519"/>
      <c r="F519"/>
      <c r="G519"/>
      <c r="H519"/>
      <c r="I519"/>
      <c r="J519"/>
      <c r="K519"/>
      <c r="L519"/>
      <c r="M519"/>
    </row>
    <row r="520" spans="1:13" x14ac:dyDescent="0.2">
      <c r="A520" t="s">
        <v>660</v>
      </c>
      <c r="B520"/>
      <c r="C520"/>
      <c r="D520"/>
      <c r="E520"/>
      <c r="F520"/>
      <c r="G520"/>
      <c r="H520"/>
      <c r="I520"/>
      <c r="J520"/>
      <c r="K520"/>
      <c r="L520"/>
      <c r="M520"/>
    </row>
    <row r="521" spans="1:13" x14ac:dyDescent="0.2">
      <c r="A521" t="s">
        <v>661</v>
      </c>
      <c r="B521"/>
      <c r="C521"/>
      <c r="D521"/>
      <c r="E521"/>
      <c r="F521"/>
      <c r="G521"/>
      <c r="H521"/>
      <c r="I521"/>
      <c r="J521"/>
      <c r="K521"/>
      <c r="L521"/>
      <c r="M521"/>
    </row>
    <row r="522" spans="1:13" x14ac:dyDescent="0.2">
      <c r="A522" t="s">
        <v>662</v>
      </c>
      <c r="B522"/>
      <c r="C522"/>
      <c r="D522"/>
      <c r="E522"/>
      <c r="F522"/>
      <c r="G522"/>
      <c r="H522"/>
      <c r="I522"/>
      <c r="J522"/>
      <c r="K522"/>
      <c r="L522"/>
      <c r="M522"/>
    </row>
    <row r="523" spans="1:13" x14ac:dyDescent="0.2">
      <c r="A523" t="s">
        <v>663</v>
      </c>
      <c r="B523"/>
      <c r="C523"/>
      <c r="D523"/>
      <c r="E523"/>
      <c r="F523"/>
      <c r="G523"/>
      <c r="H523"/>
      <c r="I523"/>
      <c r="J523"/>
      <c r="K523"/>
      <c r="L523"/>
      <c r="M523"/>
    </row>
    <row r="524" spans="1:13" x14ac:dyDescent="0.2">
      <c r="A524" t="s">
        <v>664</v>
      </c>
      <c r="B524"/>
      <c r="C524"/>
      <c r="D524"/>
      <c r="E524"/>
      <c r="F524"/>
      <c r="G524"/>
      <c r="H524"/>
      <c r="I524"/>
      <c r="J524"/>
      <c r="K524"/>
      <c r="L524"/>
      <c r="M524"/>
    </row>
    <row r="525" spans="1:13" x14ac:dyDescent="0.2">
      <c r="A525" t="s">
        <v>665</v>
      </c>
      <c r="B525"/>
      <c r="C525"/>
      <c r="D525"/>
      <c r="E525"/>
      <c r="F525"/>
      <c r="G525"/>
      <c r="H525"/>
      <c r="I525"/>
      <c r="J525"/>
      <c r="K525"/>
      <c r="L525"/>
      <c r="M525"/>
    </row>
    <row r="526" spans="1:13" x14ac:dyDescent="0.2">
      <c r="A526" t="s">
        <v>666</v>
      </c>
      <c r="B526"/>
      <c r="C526"/>
      <c r="D526"/>
      <c r="E526"/>
      <c r="F526"/>
      <c r="G526"/>
      <c r="H526"/>
      <c r="I526"/>
      <c r="J526"/>
      <c r="K526"/>
      <c r="L526"/>
      <c r="M526"/>
    </row>
    <row r="527" spans="1:13" x14ac:dyDescent="0.2">
      <c r="A527" t="s">
        <v>667</v>
      </c>
      <c r="B527"/>
      <c r="C527"/>
      <c r="D527"/>
      <c r="E527"/>
      <c r="F527"/>
      <c r="G527"/>
      <c r="H527"/>
      <c r="I527"/>
      <c r="J527"/>
      <c r="K527"/>
      <c r="L527"/>
      <c r="M527"/>
    </row>
    <row r="528" spans="1:13" x14ac:dyDescent="0.2">
      <c r="A528" t="s">
        <v>668</v>
      </c>
      <c r="B528"/>
      <c r="C528"/>
      <c r="D528"/>
      <c r="E528"/>
      <c r="F528"/>
      <c r="G528"/>
      <c r="H528"/>
      <c r="I528"/>
      <c r="J528"/>
      <c r="K528"/>
      <c r="L528"/>
      <c r="M528"/>
    </row>
    <row r="529" spans="1:13" x14ac:dyDescent="0.2">
      <c r="A529" t="s">
        <v>669</v>
      </c>
      <c r="B529"/>
      <c r="C529"/>
      <c r="D529"/>
      <c r="E529"/>
      <c r="F529"/>
      <c r="G529"/>
      <c r="H529"/>
      <c r="I529"/>
      <c r="J529"/>
      <c r="K529"/>
      <c r="L529"/>
      <c r="M529"/>
    </row>
    <row r="530" spans="1:13" x14ac:dyDescent="0.2">
      <c r="A530" t="s">
        <v>670</v>
      </c>
      <c r="B530"/>
      <c r="C530"/>
      <c r="D530"/>
      <c r="E530"/>
      <c r="F530"/>
      <c r="G530"/>
      <c r="H530"/>
      <c r="I530"/>
      <c r="J530"/>
      <c r="K530"/>
      <c r="L530"/>
      <c r="M530"/>
    </row>
    <row r="531" spans="1:13" x14ac:dyDescent="0.2">
      <c r="A531" t="s">
        <v>671</v>
      </c>
      <c r="B531"/>
      <c r="C531"/>
      <c r="D531"/>
      <c r="E531"/>
      <c r="F531"/>
      <c r="G531"/>
      <c r="H531"/>
      <c r="I531"/>
      <c r="J531"/>
      <c r="K531"/>
      <c r="L531"/>
      <c r="M531"/>
    </row>
    <row r="532" spans="1:13" x14ac:dyDescent="0.2">
      <c r="A532" t="s">
        <v>672</v>
      </c>
      <c r="B532"/>
      <c r="C532"/>
      <c r="D532"/>
      <c r="E532"/>
      <c r="F532"/>
      <c r="G532"/>
      <c r="H532"/>
      <c r="I532"/>
      <c r="J532"/>
      <c r="K532"/>
      <c r="L532"/>
      <c r="M532"/>
    </row>
    <row r="533" spans="1:13" x14ac:dyDescent="0.2">
      <c r="A533" t="s">
        <v>673</v>
      </c>
      <c r="B533"/>
      <c r="C533"/>
      <c r="D533"/>
      <c r="E533"/>
      <c r="F533"/>
      <c r="G533"/>
      <c r="H533"/>
      <c r="I533"/>
      <c r="J533"/>
      <c r="K533"/>
      <c r="L533"/>
      <c r="M533"/>
    </row>
    <row r="534" spans="1:13" x14ac:dyDescent="0.2">
      <c r="A534" t="s">
        <v>674</v>
      </c>
      <c r="B534"/>
      <c r="C534"/>
      <c r="D534"/>
      <c r="E534"/>
      <c r="F534"/>
      <c r="G534"/>
      <c r="H534"/>
      <c r="I534"/>
      <c r="J534"/>
      <c r="K534"/>
      <c r="L534"/>
      <c r="M534"/>
    </row>
    <row r="535" spans="1:13" x14ac:dyDescent="0.2">
      <c r="A535" t="s">
        <v>675</v>
      </c>
      <c r="B535"/>
      <c r="C535"/>
      <c r="D535"/>
      <c r="E535"/>
      <c r="F535"/>
      <c r="G535"/>
      <c r="H535"/>
      <c r="I535"/>
      <c r="J535"/>
      <c r="K535"/>
      <c r="L535"/>
      <c r="M535"/>
    </row>
    <row r="536" spans="1:13" x14ac:dyDescent="0.2">
      <c r="A536" t="s">
        <v>676</v>
      </c>
      <c r="B536"/>
      <c r="C536"/>
      <c r="D536"/>
      <c r="E536"/>
      <c r="F536"/>
      <c r="G536"/>
      <c r="H536"/>
      <c r="I536"/>
      <c r="J536"/>
      <c r="K536"/>
      <c r="L536"/>
      <c r="M536"/>
    </row>
    <row r="537" spans="1:13" x14ac:dyDescent="0.2">
      <c r="A537" t="s">
        <v>677</v>
      </c>
      <c r="B537"/>
      <c r="C537"/>
      <c r="D537"/>
      <c r="E537"/>
      <c r="F537"/>
      <c r="G537"/>
      <c r="H537"/>
      <c r="I537"/>
      <c r="J537"/>
      <c r="K537"/>
      <c r="L537"/>
      <c r="M537"/>
    </row>
    <row r="538" spans="1:13" x14ac:dyDescent="0.2">
      <c r="A538" t="s">
        <v>678</v>
      </c>
      <c r="B538"/>
      <c r="C538"/>
      <c r="D538"/>
      <c r="E538"/>
      <c r="F538"/>
      <c r="G538"/>
      <c r="H538"/>
      <c r="I538"/>
      <c r="J538"/>
      <c r="K538"/>
      <c r="L538"/>
      <c r="M538"/>
    </row>
    <row r="539" spans="1:13" x14ac:dyDescent="0.2">
      <c r="A539" t="s">
        <v>679</v>
      </c>
      <c r="B539"/>
      <c r="C539"/>
      <c r="D539"/>
      <c r="E539"/>
      <c r="F539"/>
      <c r="G539"/>
      <c r="H539"/>
      <c r="I539"/>
      <c r="J539"/>
      <c r="K539"/>
      <c r="L539"/>
      <c r="M539"/>
    </row>
    <row r="540" spans="1:13" x14ac:dyDescent="0.2">
      <c r="A540" t="s">
        <v>680</v>
      </c>
      <c r="B540"/>
      <c r="C540"/>
      <c r="D540"/>
      <c r="E540"/>
      <c r="F540"/>
      <c r="G540"/>
      <c r="H540"/>
      <c r="I540"/>
      <c r="J540"/>
      <c r="K540"/>
      <c r="L540"/>
      <c r="M540"/>
    </row>
    <row r="541" spans="1:13" x14ac:dyDescent="0.2">
      <c r="A541" t="s">
        <v>681</v>
      </c>
      <c r="B541"/>
      <c r="C541"/>
      <c r="D541"/>
      <c r="E541"/>
      <c r="F541"/>
      <c r="G541"/>
      <c r="H541"/>
      <c r="I541"/>
      <c r="J541"/>
      <c r="K541"/>
      <c r="L541"/>
      <c r="M541"/>
    </row>
    <row r="542" spans="1:13" x14ac:dyDescent="0.2">
      <c r="A542" t="s">
        <v>682</v>
      </c>
      <c r="B542"/>
      <c r="C542"/>
      <c r="D542"/>
      <c r="E542"/>
      <c r="F542"/>
      <c r="G542"/>
      <c r="H542"/>
      <c r="I542"/>
      <c r="J542"/>
      <c r="K542"/>
      <c r="L542"/>
      <c r="M542"/>
    </row>
    <row r="543" spans="1:13" x14ac:dyDescent="0.2">
      <c r="A543" t="s">
        <v>683</v>
      </c>
      <c r="B543"/>
      <c r="C543"/>
      <c r="D543"/>
      <c r="E543"/>
      <c r="F543"/>
      <c r="G543"/>
      <c r="H543"/>
      <c r="I543"/>
      <c r="J543"/>
      <c r="K543"/>
      <c r="L543"/>
      <c r="M543"/>
    </row>
    <row r="544" spans="1:13" x14ac:dyDescent="0.2">
      <c r="A544" t="s">
        <v>684</v>
      </c>
      <c r="B544"/>
      <c r="C544"/>
      <c r="D544"/>
      <c r="E544"/>
      <c r="F544"/>
      <c r="G544"/>
      <c r="H544"/>
      <c r="I544"/>
      <c r="J544"/>
      <c r="K544"/>
      <c r="L544"/>
      <c r="M544"/>
    </row>
    <row r="545" spans="1:13" x14ac:dyDescent="0.2">
      <c r="A545" t="s">
        <v>685</v>
      </c>
      <c r="B545"/>
      <c r="C545"/>
      <c r="D545"/>
      <c r="E545"/>
      <c r="F545"/>
      <c r="G545"/>
      <c r="H545"/>
      <c r="I545"/>
      <c r="J545"/>
      <c r="K545"/>
      <c r="L545"/>
      <c r="M545"/>
    </row>
    <row r="546" spans="1:13" x14ac:dyDescent="0.2">
      <c r="A546" t="s">
        <v>686</v>
      </c>
      <c r="B546"/>
      <c r="C546"/>
      <c r="D546"/>
      <c r="E546"/>
      <c r="F546"/>
      <c r="G546"/>
      <c r="H546"/>
      <c r="I546"/>
      <c r="J546"/>
      <c r="K546"/>
      <c r="L546"/>
      <c r="M546"/>
    </row>
    <row r="547" spans="1:13" x14ac:dyDescent="0.2">
      <c r="A547" t="s">
        <v>687</v>
      </c>
      <c r="B547"/>
      <c r="C547"/>
      <c r="D547"/>
      <c r="E547"/>
      <c r="F547"/>
      <c r="G547"/>
      <c r="H547"/>
      <c r="I547"/>
      <c r="J547"/>
      <c r="K547"/>
      <c r="L547"/>
      <c r="M547"/>
    </row>
    <row r="548" spans="1:13" x14ac:dyDescent="0.2">
      <c r="A548" t="s">
        <v>688</v>
      </c>
      <c r="B548"/>
      <c r="C548"/>
      <c r="D548"/>
      <c r="E548"/>
      <c r="F548"/>
      <c r="G548"/>
      <c r="H548"/>
      <c r="I548"/>
      <c r="J548"/>
      <c r="K548"/>
      <c r="L548"/>
      <c r="M548"/>
    </row>
    <row r="549" spans="1:13" x14ac:dyDescent="0.2">
      <c r="A549" t="s">
        <v>689</v>
      </c>
      <c r="B549"/>
      <c r="C549"/>
      <c r="D549"/>
      <c r="E549"/>
      <c r="F549"/>
      <c r="G549"/>
      <c r="H549"/>
      <c r="I549"/>
      <c r="J549"/>
      <c r="K549"/>
      <c r="L549"/>
      <c r="M549"/>
    </row>
    <row r="550" spans="1:13" x14ac:dyDescent="0.2">
      <c r="A550" t="s">
        <v>690</v>
      </c>
      <c r="B550"/>
      <c r="C550"/>
      <c r="D550"/>
      <c r="E550"/>
      <c r="F550"/>
      <c r="G550"/>
      <c r="H550"/>
      <c r="I550"/>
      <c r="J550"/>
      <c r="K550"/>
      <c r="L550"/>
      <c r="M550"/>
    </row>
    <row r="551" spans="1:13" x14ac:dyDescent="0.2">
      <c r="A551" t="s">
        <v>691</v>
      </c>
      <c r="B551"/>
      <c r="C551"/>
      <c r="D551"/>
      <c r="E551"/>
      <c r="F551"/>
      <c r="G551"/>
      <c r="H551"/>
      <c r="I551"/>
      <c r="J551"/>
      <c r="K551"/>
      <c r="L551"/>
      <c r="M551"/>
    </row>
    <row r="552" spans="1:13" x14ac:dyDescent="0.2">
      <c r="A552" t="s">
        <v>692</v>
      </c>
      <c r="B552"/>
      <c r="C552"/>
      <c r="D552"/>
      <c r="E552"/>
      <c r="F552"/>
      <c r="G552"/>
      <c r="H552"/>
      <c r="I552"/>
      <c r="J552"/>
      <c r="K552"/>
      <c r="L552"/>
      <c r="M552"/>
    </row>
    <row r="553" spans="1:13" x14ac:dyDescent="0.2">
      <c r="A553" t="s">
        <v>693</v>
      </c>
      <c r="B553"/>
      <c r="C553"/>
      <c r="D553"/>
      <c r="E553"/>
      <c r="F553"/>
      <c r="G553"/>
      <c r="H553"/>
      <c r="I553"/>
      <c r="J553"/>
      <c r="K553"/>
      <c r="L553"/>
      <c r="M553"/>
    </row>
    <row r="554" spans="1:13" x14ac:dyDescent="0.2">
      <c r="A554" t="s">
        <v>694</v>
      </c>
      <c r="B554"/>
      <c r="C554"/>
      <c r="D554"/>
      <c r="E554"/>
      <c r="F554"/>
      <c r="G554"/>
      <c r="H554"/>
      <c r="I554"/>
      <c r="J554"/>
      <c r="K554"/>
      <c r="L554"/>
      <c r="M554"/>
    </row>
    <row r="555" spans="1:13" x14ac:dyDescent="0.2">
      <c r="A555" t="s">
        <v>695</v>
      </c>
      <c r="B555"/>
      <c r="C555"/>
      <c r="D555"/>
      <c r="E555"/>
      <c r="F555"/>
      <c r="G555"/>
      <c r="H555"/>
      <c r="I555"/>
      <c r="J555"/>
      <c r="K555"/>
      <c r="L555"/>
      <c r="M555"/>
    </row>
    <row r="556" spans="1:13" x14ac:dyDescent="0.2">
      <c r="A556" t="s">
        <v>696</v>
      </c>
      <c r="B556"/>
      <c r="C556"/>
      <c r="D556"/>
      <c r="E556"/>
      <c r="F556"/>
      <c r="G556"/>
      <c r="H556"/>
      <c r="I556"/>
      <c r="J556"/>
      <c r="K556"/>
      <c r="L556"/>
      <c r="M556"/>
    </row>
    <row r="557" spans="1:13" x14ac:dyDescent="0.2">
      <c r="A557" t="s">
        <v>697</v>
      </c>
      <c r="B557"/>
      <c r="C557"/>
      <c r="D557"/>
      <c r="E557"/>
      <c r="F557"/>
      <c r="G557"/>
      <c r="H557"/>
      <c r="I557"/>
      <c r="J557"/>
      <c r="K557"/>
      <c r="L557"/>
      <c r="M557"/>
    </row>
    <row r="558" spans="1:13" x14ac:dyDescent="0.2">
      <c r="A558" t="s">
        <v>698</v>
      </c>
      <c r="B558"/>
      <c r="C558"/>
      <c r="D558"/>
      <c r="E558"/>
      <c r="F558"/>
      <c r="G558"/>
      <c r="H558"/>
      <c r="I558"/>
      <c r="J558"/>
      <c r="K558"/>
      <c r="L558"/>
      <c r="M558"/>
    </row>
    <row r="559" spans="1:13" x14ac:dyDescent="0.2">
      <c r="A559" t="s">
        <v>699</v>
      </c>
      <c r="B559"/>
      <c r="C559"/>
      <c r="D559"/>
      <c r="E559"/>
      <c r="F559"/>
      <c r="G559"/>
      <c r="H559"/>
      <c r="I559"/>
      <c r="J559"/>
      <c r="K559"/>
      <c r="L559"/>
      <c r="M559"/>
    </row>
    <row r="560" spans="1:13" x14ac:dyDescent="0.2">
      <c r="A560" t="s">
        <v>700</v>
      </c>
      <c r="B560"/>
      <c r="C560"/>
      <c r="D560"/>
      <c r="E560"/>
      <c r="F560"/>
      <c r="G560"/>
      <c r="H560"/>
      <c r="I560"/>
      <c r="J560"/>
      <c r="K560"/>
      <c r="L560"/>
      <c r="M560"/>
    </row>
    <row r="561" spans="1:13" x14ac:dyDescent="0.2">
      <c r="A561" t="s">
        <v>701</v>
      </c>
      <c r="B561"/>
      <c r="C561"/>
      <c r="D561"/>
      <c r="E561"/>
      <c r="F561"/>
      <c r="G561"/>
      <c r="H561"/>
      <c r="I561"/>
      <c r="J561"/>
      <c r="K561"/>
      <c r="L561"/>
      <c r="M561"/>
    </row>
    <row r="562" spans="1:13" x14ac:dyDescent="0.2">
      <c r="A562" t="s">
        <v>702</v>
      </c>
      <c r="B562"/>
      <c r="C562"/>
      <c r="D562"/>
      <c r="E562"/>
      <c r="F562"/>
      <c r="G562"/>
      <c r="H562"/>
      <c r="I562"/>
      <c r="J562"/>
      <c r="K562"/>
      <c r="L562"/>
      <c r="M562"/>
    </row>
    <row r="563" spans="1:13" x14ac:dyDescent="0.2">
      <c r="A563" t="s">
        <v>703</v>
      </c>
      <c r="B563"/>
      <c r="C563"/>
      <c r="D563"/>
      <c r="E563"/>
      <c r="F563"/>
      <c r="G563"/>
      <c r="H563"/>
      <c r="I563"/>
      <c r="J563"/>
      <c r="K563"/>
      <c r="L563"/>
      <c r="M563"/>
    </row>
    <row r="564" spans="1:13" x14ac:dyDescent="0.2">
      <c r="A564" t="s">
        <v>704</v>
      </c>
      <c r="B564"/>
      <c r="C564"/>
      <c r="D564"/>
      <c r="E564"/>
      <c r="F564"/>
      <c r="G564"/>
      <c r="H564"/>
      <c r="I564"/>
      <c r="J564"/>
      <c r="K564"/>
      <c r="L564"/>
      <c r="M564"/>
    </row>
    <row r="565" spans="1:13" x14ac:dyDescent="0.2">
      <c r="A565" t="s">
        <v>705</v>
      </c>
      <c r="B565"/>
      <c r="C565"/>
      <c r="D565"/>
      <c r="E565"/>
      <c r="F565"/>
      <c r="G565"/>
      <c r="H565"/>
      <c r="I565"/>
      <c r="J565"/>
      <c r="K565"/>
      <c r="L565"/>
      <c r="M565"/>
    </row>
    <row r="566" spans="1:13" x14ac:dyDescent="0.2">
      <c r="A566" t="s">
        <v>706</v>
      </c>
      <c r="B566"/>
      <c r="C566"/>
      <c r="D566"/>
      <c r="E566"/>
      <c r="F566"/>
      <c r="G566"/>
      <c r="H566"/>
      <c r="I566"/>
      <c r="J566"/>
      <c r="K566"/>
      <c r="L566"/>
      <c r="M566"/>
    </row>
    <row r="567" spans="1:13" x14ac:dyDescent="0.2">
      <c r="A567" t="s">
        <v>707</v>
      </c>
      <c r="B567"/>
      <c r="C567"/>
      <c r="D567"/>
      <c r="E567"/>
      <c r="F567"/>
      <c r="G567"/>
      <c r="H567"/>
      <c r="I567"/>
      <c r="J567"/>
      <c r="K567"/>
      <c r="L567"/>
      <c r="M567"/>
    </row>
    <row r="568" spans="1:13" x14ac:dyDescent="0.2">
      <c r="A568" t="s">
        <v>708</v>
      </c>
      <c r="B568"/>
      <c r="C568"/>
      <c r="D568"/>
      <c r="E568"/>
      <c r="F568"/>
      <c r="G568"/>
      <c r="H568"/>
      <c r="I568"/>
      <c r="J568"/>
      <c r="K568"/>
      <c r="L568"/>
      <c r="M568"/>
    </row>
    <row r="569" spans="1:13" x14ac:dyDescent="0.2">
      <c r="A569" t="s">
        <v>709</v>
      </c>
      <c r="B569"/>
      <c r="C569"/>
      <c r="D569"/>
      <c r="E569"/>
      <c r="F569"/>
      <c r="G569"/>
      <c r="H569"/>
      <c r="I569"/>
      <c r="J569"/>
      <c r="K569"/>
      <c r="L569"/>
      <c r="M569"/>
    </row>
    <row r="570" spans="1:13" x14ac:dyDescent="0.2">
      <c r="A570" t="s">
        <v>710</v>
      </c>
      <c r="B570"/>
      <c r="C570"/>
      <c r="D570"/>
      <c r="E570"/>
      <c r="F570"/>
      <c r="G570"/>
      <c r="H570"/>
      <c r="I570"/>
      <c r="J570"/>
      <c r="K570"/>
      <c r="L570"/>
      <c r="M570"/>
    </row>
    <row r="571" spans="1:13" x14ac:dyDescent="0.2">
      <c r="A571" t="s">
        <v>711</v>
      </c>
      <c r="B571"/>
      <c r="C571"/>
      <c r="D571"/>
      <c r="E571"/>
      <c r="F571"/>
      <c r="G571"/>
      <c r="H571"/>
      <c r="I571"/>
      <c r="J571"/>
      <c r="K571"/>
      <c r="L571"/>
      <c r="M571"/>
    </row>
    <row r="572" spans="1:13" x14ac:dyDescent="0.2">
      <c r="A572" t="s">
        <v>712</v>
      </c>
      <c r="B572"/>
      <c r="C572"/>
      <c r="D572"/>
      <c r="E572"/>
      <c r="F572"/>
      <c r="G572"/>
      <c r="H572"/>
      <c r="I572"/>
      <c r="J572"/>
      <c r="K572"/>
      <c r="L572"/>
      <c r="M572"/>
    </row>
    <row r="573" spans="1:13" x14ac:dyDescent="0.2">
      <c r="A573" t="s">
        <v>713</v>
      </c>
      <c r="B573"/>
      <c r="C573"/>
      <c r="D573"/>
      <c r="E573"/>
      <c r="F573"/>
      <c r="G573"/>
      <c r="H573"/>
      <c r="I573"/>
      <c r="J573"/>
      <c r="K573"/>
      <c r="L573"/>
      <c r="M573"/>
    </row>
    <row r="574" spans="1:13" x14ac:dyDescent="0.2">
      <c r="A574" t="s">
        <v>714</v>
      </c>
      <c r="B574"/>
      <c r="C574"/>
      <c r="D574"/>
      <c r="E574"/>
      <c r="F574"/>
      <c r="G574"/>
      <c r="H574"/>
      <c r="I574"/>
      <c r="J574"/>
      <c r="K574"/>
      <c r="L574"/>
      <c r="M574"/>
    </row>
    <row r="575" spans="1:13" x14ac:dyDescent="0.2">
      <c r="A575" t="s">
        <v>715</v>
      </c>
      <c r="B575"/>
      <c r="C575"/>
      <c r="D575"/>
      <c r="E575"/>
      <c r="F575"/>
      <c r="G575"/>
      <c r="H575"/>
      <c r="I575"/>
      <c r="J575"/>
      <c r="K575"/>
      <c r="L575"/>
      <c r="M575"/>
    </row>
    <row r="576" spans="1:13" x14ac:dyDescent="0.2">
      <c r="A576" t="s">
        <v>716</v>
      </c>
      <c r="B576"/>
      <c r="C576"/>
      <c r="D576"/>
      <c r="E576"/>
      <c r="F576"/>
      <c r="G576"/>
      <c r="H576"/>
      <c r="I576"/>
      <c r="J576"/>
      <c r="K576"/>
      <c r="L576"/>
      <c r="M576"/>
    </row>
    <row r="577" spans="1:13" x14ac:dyDescent="0.2">
      <c r="A577" t="s">
        <v>717</v>
      </c>
      <c r="B577"/>
      <c r="C577"/>
      <c r="D577"/>
      <c r="E577"/>
      <c r="F577"/>
      <c r="G577"/>
      <c r="H577"/>
      <c r="I577"/>
      <c r="J577"/>
      <c r="K577"/>
      <c r="L577"/>
      <c r="M577"/>
    </row>
    <row r="578" spans="1:13" x14ac:dyDescent="0.2">
      <c r="A578" t="s">
        <v>718</v>
      </c>
      <c r="B578"/>
      <c r="C578"/>
      <c r="D578"/>
      <c r="E578"/>
      <c r="F578"/>
      <c r="G578"/>
      <c r="H578"/>
      <c r="I578"/>
      <c r="J578"/>
      <c r="K578"/>
      <c r="L578"/>
      <c r="M578"/>
    </row>
    <row r="579" spans="1:13" x14ac:dyDescent="0.2">
      <c r="A579" t="s">
        <v>719</v>
      </c>
      <c r="B579"/>
      <c r="C579"/>
      <c r="D579"/>
      <c r="E579"/>
      <c r="F579"/>
      <c r="G579"/>
      <c r="H579"/>
      <c r="I579"/>
      <c r="J579"/>
      <c r="K579"/>
      <c r="L579"/>
      <c r="M579"/>
    </row>
    <row r="580" spans="1:13" x14ac:dyDescent="0.2">
      <c r="A580" t="s">
        <v>720</v>
      </c>
      <c r="B580"/>
      <c r="C580"/>
      <c r="D580"/>
      <c r="E580"/>
      <c r="F580"/>
      <c r="G580"/>
      <c r="H580"/>
      <c r="I580"/>
      <c r="J580"/>
      <c r="K580"/>
      <c r="L580"/>
      <c r="M580"/>
    </row>
    <row r="581" spans="1:13" x14ac:dyDescent="0.2">
      <c r="A581" t="s">
        <v>721</v>
      </c>
      <c r="B581"/>
      <c r="C581"/>
      <c r="D581"/>
      <c r="E581"/>
      <c r="F581"/>
      <c r="G581"/>
      <c r="H581"/>
      <c r="I581"/>
      <c r="J581"/>
      <c r="K581"/>
      <c r="L581"/>
      <c r="M581"/>
    </row>
    <row r="582" spans="1:13" x14ac:dyDescent="0.2">
      <c r="A582" t="s">
        <v>722</v>
      </c>
      <c r="B582"/>
      <c r="C582"/>
      <c r="D582"/>
      <c r="E582"/>
      <c r="F582"/>
      <c r="G582"/>
      <c r="H582"/>
      <c r="I582"/>
      <c r="J582"/>
      <c r="K582"/>
      <c r="L582"/>
      <c r="M582"/>
    </row>
    <row r="583" spans="1:13" x14ac:dyDescent="0.2">
      <c r="A583" t="s">
        <v>723</v>
      </c>
      <c r="B583"/>
      <c r="C583"/>
      <c r="D583"/>
      <c r="E583"/>
      <c r="F583"/>
      <c r="G583"/>
      <c r="H583"/>
      <c r="I583"/>
      <c r="J583"/>
      <c r="K583"/>
      <c r="L583"/>
      <c r="M583"/>
    </row>
    <row r="584" spans="1:13" x14ac:dyDescent="0.2">
      <c r="A584" t="s">
        <v>724</v>
      </c>
      <c r="B584"/>
      <c r="C584"/>
      <c r="D584"/>
      <c r="E584"/>
      <c r="F584"/>
      <c r="G584"/>
      <c r="H584"/>
      <c r="I584"/>
      <c r="J584"/>
      <c r="K584"/>
      <c r="L584"/>
      <c r="M584"/>
    </row>
    <row r="585" spans="1:13" x14ac:dyDescent="0.2">
      <c r="A585" t="s">
        <v>725</v>
      </c>
      <c r="B585"/>
      <c r="C585"/>
      <c r="D585"/>
      <c r="E585"/>
      <c r="F585"/>
      <c r="G585"/>
      <c r="H585"/>
      <c r="I585"/>
      <c r="J585"/>
      <c r="K585"/>
      <c r="L585"/>
      <c r="M585"/>
    </row>
    <row r="586" spans="1:13" x14ac:dyDescent="0.2">
      <c r="A586" t="s">
        <v>726</v>
      </c>
      <c r="B586"/>
      <c r="C586"/>
      <c r="D586"/>
      <c r="E586"/>
      <c r="F586"/>
      <c r="G586"/>
      <c r="H586"/>
      <c r="I586"/>
      <c r="J586"/>
      <c r="K586"/>
      <c r="L586"/>
      <c r="M586"/>
    </row>
    <row r="587" spans="1:13" x14ac:dyDescent="0.2">
      <c r="A587" t="s">
        <v>727</v>
      </c>
      <c r="B587"/>
      <c r="C587"/>
      <c r="D587"/>
      <c r="E587"/>
      <c r="F587"/>
      <c r="G587"/>
      <c r="H587"/>
      <c r="I587"/>
      <c r="J587"/>
      <c r="K587"/>
      <c r="L587"/>
      <c r="M587"/>
    </row>
    <row r="588" spans="1:13" x14ac:dyDescent="0.2">
      <c r="A588" t="s">
        <v>728</v>
      </c>
      <c r="B588"/>
      <c r="C588"/>
      <c r="D588"/>
      <c r="E588"/>
      <c r="F588"/>
      <c r="G588"/>
      <c r="H588"/>
      <c r="I588"/>
      <c r="J588"/>
      <c r="K588"/>
      <c r="L588"/>
      <c r="M588"/>
    </row>
    <row r="589" spans="1:13" x14ac:dyDescent="0.2">
      <c r="A589" t="s">
        <v>729</v>
      </c>
      <c r="B589"/>
      <c r="C589"/>
      <c r="D589"/>
      <c r="E589"/>
      <c r="F589"/>
      <c r="G589"/>
      <c r="H589"/>
      <c r="I589"/>
      <c r="J589"/>
      <c r="K589"/>
      <c r="L589"/>
      <c r="M589"/>
    </row>
    <row r="590" spans="1:13" x14ac:dyDescent="0.2">
      <c r="A590" t="s">
        <v>730</v>
      </c>
      <c r="B590"/>
      <c r="C590"/>
      <c r="D590"/>
      <c r="E590"/>
      <c r="F590"/>
      <c r="G590"/>
      <c r="H590"/>
      <c r="I590"/>
      <c r="J590"/>
      <c r="K590"/>
      <c r="L590"/>
      <c r="M590"/>
    </row>
    <row r="591" spans="1:13" x14ac:dyDescent="0.2">
      <c r="A591" t="s">
        <v>731</v>
      </c>
      <c r="B591"/>
      <c r="C591"/>
      <c r="D591"/>
      <c r="E591"/>
      <c r="F591"/>
      <c r="G591"/>
      <c r="H591"/>
      <c r="I591"/>
      <c r="J591"/>
      <c r="K591"/>
      <c r="L591"/>
      <c r="M591"/>
    </row>
    <row r="592" spans="1:13" x14ac:dyDescent="0.2">
      <c r="A592" t="s">
        <v>732</v>
      </c>
      <c r="B592"/>
      <c r="C592"/>
      <c r="D592"/>
      <c r="E592"/>
      <c r="F592"/>
      <c r="G592"/>
      <c r="H592"/>
      <c r="I592"/>
      <c r="J592"/>
      <c r="K592"/>
      <c r="L592"/>
      <c r="M592"/>
    </row>
    <row r="593" spans="1:13" x14ac:dyDescent="0.2">
      <c r="A593" t="s">
        <v>733</v>
      </c>
      <c r="B593"/>
      <c r="C593"/>
      <c r="D593"/>
      <c r="E593"/>
      <c r="F593"/>
      <c r="G593"/>
      <c r="H593"/>
      <c r="I593"/>
      <c r="J593"/>
      <c r="K593"/>
      <c r="L593"/>
      <c r="M593"/>
    </row>
    <row r="594" spans="1:13" x14ac:dyDescent="0.2">
      <c r="A594" t="s">
        <v>734</v>
      </c>
      <c r="B594"/>
      <c r="C594"/>
      <c r="D594"/>
      <c r="E594"/>
      <c r="F594"/>
      <c r="G594"/>
      <c r="H594"/>
      <c r="I594"/>
      <c r="J594"/>
      <c r="K594"/>
      <c r="L594"/>
      <c r="M594"/>
    </row>
    <row r="595" spans="1:13" x14ac:dyDescent="0.2">
      <c r="A595" t="s">
        <v>735</v>
      </c>
      <c r="B595"/>
      <c r="C595"/>
      <c r="D595"/>
      <c r="E595"/>
      <c r="F595"/>
      <c r="G595"/>
      <c r="H595"/>
      <c r="I595"/>
      <c r="J595"/>
      <c r="K595"/>
      <c r="L595"/>
      <c r="M595"/>
    </row>
    <row r="596" spans="1:13" x14ac:dyDescent="0.2">
      <c r="A596" t="s">
        <v>736</v>
      </c>
      <c r="B596"/>
      <c r="C596"/>
      <c r="D596"/>
      <c r="E596"/>
      <c r="F596"/>
      <c r="G596"/>
      <c r="H596"/>
      <c r="I596"/>
      <c r="J596"/>
      <c r="K596"/>
      <c r="L596"/>
      <c r="M596"/>
    </row>
    <row r="597" spans="1:13" x14ac:dyDescent="0.2">
      <c r="A597" t="s">
        <v>737</v>
      </c>
      <c r="B597"/>
      <c r="C597"/>
      <c r="D597"/>
      <c r="E597"/>
      <c r="F597"/>
      <c r="G597"/>
      <c r="H597"/>
      <c r="I597"/>
      <c r="J597"/>
      <c r="K597"/>
      <c r="L597"/>
      <c r="M597"/>
    </row>
    <row r="598" spans="1:13" x14ac:dyDescent="0.2">
      <c r="A598" t="s">
        <v>738</v>
      </c>
      <c r="B598"/>
      <c r="C598"/>
      <c r="D598"/>
      <c r="E598"/>
      <c r="F598"/>
      <c r="G598"/>
      <c r="H598"/>
      <c r="I598"/>
      <c r="J598"/>
      <c r="K598"/>
      <c r="L598"/>
      <c r="M598"/>
    </row>
    <row r="599" spans="1:13" x14ac:dyDescent="0.2">
      <c r="A599" t="s">
        <v>739</v>
      </c>
      <c r="B599"/>
      <c r="C599"/>
      <c r="D599"/>
      <c r="E599"/>
      <c r="F599"/>
      <c r="G599"/>
      <c r="H599"/>
      <c r="I599"/>
      <c r="J599"/>
      <c r="K599"/>
      <c r="L599"/>
      <c r="M599"/>
    </row>
    <row r="600" spans="1:13" x14ac:dyDescent="0.2">
      <c r="A600" t="s">
        <v>740</v>
      </c>
      <c r="B600"/>
      <c r="C600"/>
      <c r="D600"/>
      <c r="E600"/>
      <c r="F600"/>
      <c r="G600"/>
      <c r="H600"/>
      <c r="I600"/>
      <c r="J600"/>
      <c r="K600"/>
      <c r="L600"/>
      <c r="M600"/>
    </row>
    <row r="601" spans="1:13" x14ac:dyDescent="0.2">
      <c r="A601" t="s">
        <v>741</v>
      </c>
      <c r="B601"/>
      <c r="C601"/>
      <c r="D601"/>
      <c r="E601"/>
      <c r="F601"/>
      <c r="G601"/>
      <c r="H601"/>
      <c r="I601"/>
      <c r="J601"/>
      <c r="K601"/>
      <c r="L601"/>
      <c r="M601"/>
    </row>
    <row r="602" spans="1:13" x14ac:dyDescent="0.2">
      <c r="A602" t="s">
        <v>742</v>
      </c>
      <c r="B602"/>
      <c r="C602"/>
      <c r="D602"/>
      <c r="E602"/>
      <c r="F602"/>
      <c r="G602"/>
      <c r="H602"/>
      <c r="I602"/>
      <c r="J602"/>
      <c r="K602"/>
      <c r="L602"/>
      <c r="M602"/>
    </row>
    <row r="603" spans="1:13" x14ac:dyDescent="0.2">
      <c r="A603" t="s">
        <v>743</v>
      </c>
      <c r="B603"/>
      <c r="C603"/>
      <c r="D603"/>
      <c r="E603"/>
      <c r="F603"/>
      <c r="G603"/>
      <c r="H603"/>
      <c r="I603"/>
      <c r="J603"/>
      <c r="K603"/>
      <c r="L603"/>
      <c r="M603"/>
    </row>
    <row r="604" spans="1:13" x14ac:dyDescent="0.2">
      <c r="A604" t="s">
        <v>744</v>
      </c>
      <c r="B604"/>
      <c r="C604"/>
      <c r="D604"/>
      <c r="E604"/>
      <c r="F604"/>
      <c r="G604"/>
      <c r="H604"/>
      <c r="I604"/>
      <c r="J604"/>
      <c r="K604"/>
      <c r="L604"/>
      <c r="M604"/>
    </row>
    <row r="605" spans="1:13" x14ac:dyDescent="0.2">
      <c r="A605" t="s">
        <v>745</v>
      </c>
      <c r="B605"/>
      <c r="C605"/>
      <c r="D605"/>
      <c r="E605"/>
      <c r="F605"/>
      <c r="G605"/>
      <c r="H605"/>
      <c r="I605"/>
      <c r="J605"/>
      <c r="K605"/>
      <c r="L605"/>
      <c r="M605"/>
    </row>
    <row r="606" spans="1:13" x14ac:dyDescent="0.2">
      <c r="A606" t="s">
        <v>746</v>
      </c>
      <c r="B606"/>
      <c r="C606"/>
      <c r="D606"/>
      <c r="E606"/>
      <c r="F606"/>
      <c r="G606"/>
      <c r="H606"/>
      <c r="I606"/>
      <c r="J606"/>
      <c r="K606"/>
      <c r="L606"/>
      <c r="M606"/>
    </row>
    <row r="607" spans="1:13" x14ac:dyDescent="0.2">
      <c r="A607" t="s">
        <v>747</v>
      </c>
      <c r="B607"/>
      <c r="C607"/>
      <c r="D607"/>
      <c r="E607"/>
      <c r="F607"/>
      <c r="G607"/>
      <c r="H607"/>
      <c r="I607"/>
      <c r="J607"/>
      <c r="K607"/>
      <c r="L607"/>
      <c r="M607"/>
    </row>
    <row r="608" spans="1:13" x14ac:dyDescent="0.2">
      <c r="A608" t="s">
        <v>748</v>
      </c>
      <c r="B608"/>
      <c r="C608"/>
      <c r="D608"/>
      <c r="E608"/>
      <c r="F608"/>
      <c r="G608"/>
      <c r="H608"/>
      <c r="I608"/>
      <c r="J608"/>
      <c r="K608"/>
      <c r="L608"/>
      <c r="M608"/>
    </row>
    <row r="609" spans="1:13" x14ac:dyDescent="0.2">
      <c r="A609" t="s">
        <v>749</v>
      </c>
      <c r="B609"/>
      <c r="C609"/>
      <c r="D609"/>
      <c r="E609"/>
      <c r="F609"/>
      <c r="G609"/>
      <c r="H609"/>
      <c r="I609"/>
      <c r="J609"/>
      <c r="K609"/>
      <c r="L609"/>
      <c r="M609"/>
    </row>
    <row r="610" spans="1:13" x14ac:dyDescent="0.2">
      <c r="A610" t="s">
        <v>750</v>
      </c>
      <c r="B610"/>
      <c r="C610"/>
      <c r="D610"/>
      <c r="E610"/>
      <c r="F610"/>
      <c r="G610"/>
      <c r="H610"/>
      <c r="I610"/>
      <c r="J610"/>
      <c r="K610"/>
      <c r="L610"/>
      <c r="M610"/>
    </row>
    <row r="611" spans="1:13" x14ac:dyDescent="0.2">
      <c r="A611" t="s">
        <v>751</v>
      </c>
      <c r="B611"/>
      <c r="C611"/>
      <c r="D611"/>
      <c r="E611"/>
      <c r="F611"/>
      <c r="G611"/>
      <c r="H611"/>
      <c r="I611"/>
      <c r="J611"/>
      <c r="K611"/>
      <c r="L611"/>
      <c r="M611"/>
    </row>
    <row r="612" spans="1:13" x14ac:dyDescent="0.2">
      <c r="A612" t="s">
        <v>752</v>
      </c>
      <c r="B612"/>
      <c r="C612"/>
      <c r="D612"/>
      <c r="E612"/>
      <c r="F612"/>
      <c r="G612"/>
      <c r="H612"/>
      <c r="I612"/>
      <c r="J612"/>
      <c r="K612"/>
      <c r="L612"/>
      <c r="M612"/>
    </row>
    <row r="613" spans="1:13" x14ac:dyDescent="0.2">
      <c r="A613" t="s">
        <v>753</v>
      </c>
      <c r="B613"/>
      <c r="C613"/>
      <c r="D613"/>
      <c r="E613"/>
      <c r="F613"/>
      <c r="G613"/>
      <c r="H613"/>
      <c r="I613"/>
      <c r="J613"/>
      <c r="K613"/>
      <c r="L613"/>
      <c r="M613"/>
    </row>
    <row r="614" spans="1:13" x14ac:dyDescent="0.2">
      <c r="A614" t="s">
        <v>754</v>
      </c>
      <c r="B614"/>
      <c r="C614"/>
      <c r="D614"/>
      <c r="E614"/>
      <c r="F614"/>
      <c r="G614"/>
      <c r="H614"/>
      <c r="I614"/>
      <c r="J614"/>
      <c r="K614"/>
      <c r="L614"/>
      <c r="M614"/>
    </row>
    <row r="615" spans="1:13" x14ac:dyDescent="0.2">
      <c r="A615" t="s">
        <v>755</v>
      </c>
      <c r="B615"/>
      <c r="C615"/>
      <c r="D615"/>
      <c r="E615"/>
      <c r="F615"/>
      <c r="G615"/>
      <c r="H615"/>
      <c r="I615"/>
      <c r="J615"/>
      <c r="K615"/>
      <c r="L615"/>
      <c r="M615"/>
    </row>
    <row r="616" spans="1:13" x14ac:dyDescent="0.2">
      <c r="A616" t="s">
        <v>756</v>
      </c>
      <c r="B616"/>
      <c r="C616"/>
      <c r="D616"/>
      <c r="E616"/>
      <c r="F616"/>
      <c r="G616"/>
      <c r="H616"/>
      <c r="I616"/>
      <c r="J616"/>
      <c r="K616"/>
      <c r="L616"/>
      <c r="M616"/>
    </row>
    <row r="617" spans="1:13" x14ac:dyDescent="0.2">
      <c r="A617" t="s">
        <v>757</v>
      </c>
      <c r="B617"/>
      <c r="C617"/>
      <c r="D617"/>
      <c r="E617"/>
      <c r="F617"/>
      <c r="G617"/>
      <c r="H617"/>
      <c r="I617"/>
      <c r="J617"/>
      <c r="K617"/>
      <c r="L617"/>
      <c r="M617"/>
    </row>
    <row r="618" spans="1:13" x14ac:dyDescent="0.2">
      <c r="A618" t="s">
        <v>758</v>
      </c>
      <c r="B618"/>
      <c r="C618"/>
      <c r="D618"/>
      <c r="E618"/>
      <c r="F618"/>
      <c r="G618"/>
      <c r="H618"/>
      <c r="I618"/>
      <c r="J618"/>
      <c r="K618"/>
      <c r="L618"/>
      <c r="M618"/>
    </row>
    <row r="619" spans="1:13" x14ac:dyDescent="0.2">
      <c r="A619" t="s">
        <v>759</v>
      </c>
      <c r="B619"/>
      <c r="C619"/>
      <c r="D619"/>
      <c r="E619"/>
      <c r="F619"/>
      <c r="G619"/>
      <c r="H619"/>
      <c r="I619"/>
      <c r="J619"/>
      <c r="K619"/>
      <c r="L619"/>
      <c r="M619"/>
    </row>
    <row r="620" spans="1:13" x14ac:dyDescent="0.2">
      <c r="A620" t="s">
        <v>760</v>
      </c>
      <c r="B620"/>
      <c r="C620"/>
      <c r="D620"/>
      <c r="E620"/>
      <c r="F620"/>
      <c r="G620"/>
      <c r="H620"/>
      <c r="I620"/>
      <c r="J620"/>
      <c r="K620"/>
      <c r="L620"/>
      <c r="M620"/>
    </row>
    <row r="621" spans="1:13" x14ac:dyDescent="0.2">
      <c r="A621" t="s">
        <v>761</v>
      </c>
      <c r="B621"/>
      <c r="C621"/>
      <c r="D621"/>
      <c r="E621"/>
      <c r="F621"/>
      <c r="G621"/>
      <c r="H621"/>
      <c r="I621"/>
      <c r="J621"/>
      <c r="K621"/>
      <c r="L621"/>
      <c r="M621"/>
    </row>
    <row r="622" spans="1:13" x14ac:dyDescent="0.2">
      <c r="A622" t="s">
        <v>762</v>
      </c>
      <c r="B622"/>
      <c r="C622"/>
      <c r="D622"/>
      <c r="E622"/>
      <c r="F622"/>
      <c r="G622"/>
      <c r="H622"/>
      <c r="I622"/>
      <c r="J622"/>
      <c r="K622"/>
      <c r="L622"/>
      <c r="M622"/>
    </row>
    <row r="623" spans="1:13" x14ac:dyDescent="0.2">
      <c r="A623" t="s">
        <v>763</v>
      </c>
      <c r="B623"/>
      <c r="C623"/>
      <c r="D623"/>
      <c r="E623"/>
      <c r="F623"/>
      <c r="G623"/>
      <c r="H623"/>
      <c r="I623"/>
      <c r="J623"/>
      <c r="K623"/>
      <c r="L623"/>
      <c r="M623"/>
    </row>
    <row r="624" spans="1:13" x14ac:dyDescent="0.2">
      <c r="A624" t="s">
        <v>764</v>
      </c>
      <c r="B624"/>
      <c r="C624"/>
      <c r="D624"/>
      <c r="E624"/>
      <c r="F624"/>
      <c r="G624"/>
      <c r="H624"/>
      <c r="I624"/>
      <c r="J624"/>
      <c r="K624"/>
      <c r="L624"/>
      <c r="M624"/>
    </row>
    <row r="625" spans="1:13" x14ac:dyDescent="0.2">
      <c r="A625" t="s">
        <v>765</v>
      </c>
      <c r="B625"/>
      <c r="C625"/>
      <c r="D625"/>
      <c r="E625"/>
      <c r="F625"/>
      <c r="G625"/>
      <c r="H625"/>
      <c r="I625"/>
      <c r="J625"/>
      <c r="K625"/>
      <c r="L625"/>
      <c r="M625"/>
    </row>
    <row r="626" spans="1:13" x14ac:dyDescent="0.2">
      <c r="A626" t="s">
        <v>766</v>
      </c>
      <c r="B626"/>
      <c r="C626"/>
      <c r="D626"/>
      <c r="E626"/>
      <c r="F626"/>
      <c r="G626"/>
      <c r="H626"/>
      <c r="I626"/>
      <c r="J626"/>
      <c r="K626"/>
      <c r="L626"/>
      <c r="M626"/>
    </row>
    <row r="627" spans="1:13" x14ac:dyDescent="0.2">
      <c r="A627" t="s">
        <v>767</v>
      </c>
      <c r="B627"/>
      <c r="C627"/>
      <c r="D627"/>
      <c r="E627"/>
      <c r="F627"/>
      <c r="G627"/>
      <c r="H627"/>
      <c r="I627"/>
      <c r="J627"/>
      <c r="K627"/>
      <c r="L627"/>
      <c r="M627"/>
    </row>
    <row r="628" spans="1:13" x14ac:dyDescent="0.2">
      <c r="A628" t="s">
        <v>768</v>
      </c>
      <c r="B628"/>
      <c r="C628"/>
      <c r="D628"/>
      <c r="E628"/>
      <c r="F628"/>
      <c r="G628"/>
      <c r="H628"/>
      <c r="I628"/>
      <c r="J628"/>
      <c r="K628"/>
      <c r="L628"/>
      <c r="M628"/>
    </row>
    <row r="629" spans="1:13" x14ac:dyDescent="0.2">
      <c r="A629" t="s">
        <v>769</v>
      </c>
      <c r="B629"/>
      <c r="C629"/>
      <c r="D629"/>
      <c r="E629"/>
      <c r="F629"/>
      <c r="G629"/>
      <c r="H629"/>
      <c r="I629"/>
      <c r="J629"/>
      <c r="K629"/>
      <c r="L629"/>
      <c r="M629"/>
    </row>
    <row r="630" spans="1:13" x14ac:dyDescent="0.2">
      <c r="A630" t="s">
        <v>770</v>
      </c>
      <c r="B630"/>
      <c r="C630"/>
      <c r="D630"/>
      <c r="E630"/>
      <c r="F630"/>
      <c r="G630"/>
      <c r="H630"/>
      <c r="I630"/>
      <c r="J630"/>
      <c r="K630"/>
      <c r="L630"/>
      <c r="M630"/>
    </row>
    <row r="631" spans="1:13" x14ac:dyDescent="0.2">
      <c r="A631" t="s">
        <v>771</v>
      </c>
      <c r="B631"/>
      <c r="C631"/>
      <c r="D631"/>
      <c r="E631"/>
      <c r="F631"/>
      <c r="G631"/>
      <c r="H631"/>
      <c r="I631"/>
      <c r="J631"/>
      <c r="K631"/>
      <c r="L631"/>
      <c r="M631"/>
    </row>
    <row r="632" spans="1:13" x14ac:dyDescent="0.2">
      <c r="A632" t="s">
        <v>772</v>
      </c>
      <c r="B632"/>
      <c r="C632"/>
      <c r="D632"/>
      <c r="E632"/>
      <c r="F632"/>
      <c r="G632"/>
      <c r="H632"/>
      <c r="I632"/>
      <c r="J632"/>
      <c r="K632"/>
      <c r="L632"/>
      <c r="M632"/>
    </row>
    <row r="633" spans="1:13" x14ac:dyDescent="0.2">
      <c r="A633" t="s">
        <v>773</v>
      </c>
      <c r="B633"/>
      <c r="C633"/>
      <c r="D633"/>
      <c r="E633"/>
      <c r="F633"/>
      <c r="G633"/>
      <c r="H633"/>
      <c r="I633"/>
      <c r="J633"/>
      <c r="K633"/>
      <c r="L633"/>
      <c r="M633"/>
    </row>
    <row r="634" spans="1:13" x14ac:dyDescent="0.2">
      <c r="A634" t="s">
        <v>774</v>
      </c>
      <c r="B634"/>
      <c r="C634"/>
      <c r="D634"/>
      <c r="E634"/>
      <c r="F634"/>
      <c r="G634"/>
      <c r="H634"/>
      <c r="I634"/>
      <c r="J634"/>
      <c r="K634"/>
      <c r="L634"/>
      <c r="M634"/>
    </row>
    <row r="635" spans="1:13" x14ac:dyDescent="0.2">
      <c r="A635" t="s">
        <v>775</v>
      </c>
      <c r="B635"/>
      <c r="C635"/>
      <c r="D635"/>
      <c r="E635"/>
      <c r="F635"/>
      <c r="G635"/>
      <c r="H635"/>
      <c r="I635"/>
      <c r="J635"/>
      <c r="K635"/>
      <c r="L635"/>
      <c r="M635"/>
    </row>
    <row r="636" spans="1:13" x14ac:dyDescent="0.2">
      <c r="A636" t="s">
        <v>776</v>
      </c>
      <c r="B636"/>
      <c r="C636"/>
      <c r="D636"/>
      <c r="E636"/>
      <c r="F636"/>
      <c r="G636"/>
      <c r="H636"/>
      <c r="I636"/>
      <c r="J636"/>
      <c r="K636"/>
      <c r="L636"/>
      <c r="M636"/>
    </row>
    <row r="637" spans="1:13" x14ac:dyDescent="0.2">
      <c r="A637" t="s">
        <v>777</v>
      </c>
      <c r="B637"/>
      <c r="C637"/>
      <c r="D637"/>
      <c r="E637"/>
      <c r="F637"/>
      <c r="G637"/>
      <c r="H637"/>
      <c r="I637"/>
      <c r="J637"/>
      <c r="K637"/>
      <c r="L637"/>
      <c r="M637"/>
    </row>
    <row r="638" spans="1:13" x14ac:dyDescent="0.2">
      <c r="A638" t="s">
        <v>778</v>
      </c>
      <c r="B638"/>
      <c r="C638"/>
      <c r="D638"/>
      <c r="E638"/>
      <c r="F638"/>
      <c r="G638"/>
      <c r="H638"/>
      <c r="I638"/>
      <c r="J638"/>
      <c r="K638"/>
      <c r="L638"/>
      <c r="M638"/>
    </row>
    <row r="639" spans="1:13" x14ac:dyDescent="0.2">
      <c r="A639" t="s">
        <v>779</v>
      </c>
      <c r="B639"/>
      <c r="C639"/>
      <c r="D639"/>
      <c r="E639"/>
      <c r="F639"/>
      <c r="G639"/>
      <c r="H639"/>
      <c r="I639"/>
      <c r="J639"/>
      <c r="K639"/>
      <c r="L639"/>
      <c r="M639"/>
    </row>
    <row r="640" spans="1:13" x14ac:dyDescent="0.2">
      <c r="A640" t="s">
        <v>780</v>
      </c>
      <c r="B640"/>
      <c r="C640"/>
      <c r="D640"/>
      <c r="E640"/>
      <c r="F640"/>
      <c r="G640"/>
      <c r="H640"/>
      <c r="I640"/>
      <c r="J640"/>
      <c r="K640"/>
      <c r="L640"/>
      <c r="M640"/>
    </row>
    <row r="641" spans="1:13" x14ac:dyDescent="0.2">
      <c r="A641" t="s">
        <v>781</v>
      </c>
      <c r="B641"/>
      <c r="C641"/>
      <c r="D641"/>
      <c r="E641"/>
      <c r="F641"/>
      <c r="G641"/>
      <c r="H641"/>
      <c r="I641"/>
      <c r="J641"/>
      <c r="K641"/>
      <c r="L641"/>
      <c r="M641"/>
    </row>
    <row r="642" spans="1:13" x14ac:dyDescent="0.2">
      <c r="A642" t="s">
        <v>782</v>
      </c>
      <c r="B642"/>
      <c r="C642"/>
      <c r="D642"/>
      <c r="E642"/>
      <c r="F642"/>
      <c r="G642"/>
      <c r="H642"/>
      <c r="I642"/>
      <c r="J642"/>
      <c r="K642"/>
      <c r="L642"/>
      <c r="M642"/>
    </row>
    <row r="643" spans="1:13" x14ac:dyDescent="0.2">
      <c r="A643" t="s">
        <v>783</v>
      </c>
      <c r="B643"/>
      <c r="C643"/>
      <c r="D643"/>
      <c r="E643"/>
      <c r="F643"/>
      <c r="G643"/>
      <c r="H643"/>
      <c r="I643"/>
      <c r="J643"/>
      <c r="K643"/>
      <c r="L643"/>
      <c r="M643"/>
    </row>
    <row r="644" spans="1:13" x14ac:dyDescent="0.2">
      <c r="A644" t="s">
        <v>784</v>
      </c>
      <c r="B644"/>
      <c r="C644"/>
      <c r="D644"/>
      <c r="E644"/>
      <c r="F644"/>
      <c r="G644"/>
      <c r="H644"/>
      <c r="I644"/>
      <c r="J644"/>
      <c r="K644"/>
      <c r="L644"/>
      <c r="M644"/>
    </row>
    <row r="645" spans="1:13" x14ac:dyDescent="0.2">
      <c r="A645" t="s">
        <v>785</v>
      </c>
      <c r="B645"/>
      <c r="C645"/>
      <c r="D645"/>
      <c r="E645"/>
      <c r="F645"/>
      <c r="G645"/>
      <c r="H645"/>
      <c r="I645"/>
      <c r="J645"/>
      <c r="K645"/>
      <c r="L645"/>
      <c r="M645"/>
    </row>
    <row r="646" spans="1:13" x14ac:dyDescent="0.2">
      <c r="A646" t="s">
        <v>786</v>
      </c>
      <c r="B646"/>
      <c r="C646"/>
      <c r="D646"/>
      <c r="E646"/>
      <c r="F646"/>
      <c r="G646"/>
      <c r="H646"/>
      <c r="I646"/>
      <c r="J646"/>
      <c r="K646"/>
      <c r="L646"/>
      <c r="M646"/>
    </row>
    <row r="647" spans="1:13" x14ac:dyDescent="0.2">
      <c r="A647" t="s">
        <v>787</v>
      </c>
      <c r="B647"/>
      <c r="C647"/>
      <c r="D647"/>
      <c r="E647"/>
      <c r="F647"/>
      <c r="G647"/>
      <c r="H647"/>
      <c r="I647"/>
      <c r="J647"/>
      <c r="K647"/>
      <c r="L647"/>
      <c r="M647"/>
    </row>
    <row r="648" spans="1:13" x14ac:dyDescent="0.2">
      <c r="A648" t="s">
        <v>788</v>
      </c>
      <c r="B648"/>
      <c r="C648"/>
      <c r="D648"/>
      <c r="E648"/>
      <c r="F648"/>
      <c r="G648"/>
      <c r="H648"/>
      <c r="I648"/>
      <c r="J648"/>
      <c r="K648"/>
      <c r="L648"/>
      <c r="M648"/>
    </row>
    <row r="649" spans="1:13" x14ac:dyDescent="0.2">
      <c r="A649" t="s">
        <v>789</v>
      </c>
      <c r="B649"/>
      <c r="C649"/>
      <c r="D649"/>
      <c r="E649"/>
      <c r="F649"/>
      <c r="G649"/>
      <c r="H649"/>
      <c r="I649"/>
      <c r="J649"/>
      <c r="K649"/>
      <c r="L649"/>
      <c r="M649"/>
    </row>
    <row r="650" spans="1:13" x14ac:dyDescent="0.2">
      <c r="A650" t="s">
        <v>790</v>
      </c>
      <c r="B650"/>
      <c r="C650"/>
      <c r="D650"/>
      <c r="E650"/>
      <c r="F650"/>
      <c r="G650"/>
      <c r="H650"/>
      <c r="I650"/>
      <c r="J650"/>
      <c r="K650"/>
      <c r="L650"/>
      <c r="M650"/>
    </row>
    <row r="651" spans="1:13" x14ac:dyDescent="0.2">
      <c r="A651" t="s">
        <v>791</v>
      </c>
      <c r="B651"/>
      <c r="C651"/>
      <c r="D651"/>
      <c r="E651"/>
      <c r="F651"/>
      <c r="G651"/>
      <c r="H651"/>
      <c r="I651"/>
      <c r="J651"/>
      <c r="K651"/>
      <c r="L651"/>
      <c r="M651"/>
    </row>
    <row r="652" spans="1:13" x14ac:dyDescent="0.2">
      <c r="A652" t="s">
        <v>792</v>
      </c>
      <c r="B652"/>
      <c r="C652"/>
      <c r="D652"/>
      <c r="E652"/>
      <c r="F652"/>
      <c r="G652"/>
      <c r="H652"/>
      <c r="I652"/>
      <c r="J652"/>
      <c r="K652"/>
      <c r="L652"/>
      <c r="M652"/>
    </row>
    <row r="653" spans="1:13" x14ac:dyDescent="0.2">
      <c r="A653" t="s">
        <v>793</v>
      </c>
      <c r="B653"/>
      <c r="C653"/>
      <c r="D653"/>
      <c r="E653"/>
      <c r="F653"/>
      <c r="G653"/>
      <c r="H653"/>
      <c r="I653"/>
      <c r="J653"/>
      <c r="K653"/>
      <c r="L653"/>
      <c r="M653"/>
    </row>
    <row r="654" spans="1:13" x14ac:dyDescent="0.2">
      <c r="A654" t="s">
        <v>794</v>
      </c>
      <c r="B654"/>
      <c r="C654"/>
      <c r="D654"/>
      <c r="E654"/>
      <c r="F654"/>
      <c r="G654"/>
      <c r="H654"/>
      <c r="I654"/>
      <c r="J654"/>
      <c r="K654"/>
      <c r="L654"/>
      <c r="M654"/>
    </row>
    <row r="655" spans="1:13" x14ac:dyDescent="0.2">
      <c r="A655" t="s">
        <v>795</v>
      </c>
      <c r="B655"/>
      <c r="C655"/>
      <c r="D655"/>
      <c r="E655"/>
      <c r="F655"/>
      <c r="G655"/>
      <c r="H655"/>
      <c r="I655"/>
      <c r="J655"/>
      <c r="K655"/>
      <c r="L655"/>
      <c r="M655"/>
    </row>
    <row r="656" spans="1:13" x14ac:dyDescent="0.2">
      <c r="A656" t="s">
        <v>796</v>
      </c>
      <c r="B656"/>
      <c r="C656"/>
      <c r="D656"/>
      <c r="E656"/>
      <c r="F656"/>
      <c r="G656"/>
      <c r="H656"/>
      <c r="I656"/>
      <c r="J656"/>
      <c r="K656"/>
      <c r="L656"/>
      <c r="M656"/>
    </row>
    <row r="657" spans="1:13" x14ac:dyDescent="0.2">
      <c r="A657" t="s">
        <v>797</v>
      </c>
      <c r="B657"/>
      <c r="C657"/>
      <c r="D657"/>
      <c r="E657"/>
      <c r="F657"/>
      <c r="G657"/>
      <c r="H657"/>
      <c r="I657"/>
      <c r="J657"/>
      <c r="K657"/>
      <c r="L657"/>
      <c r="M657"/>
    </row>
    <row r="658" spans="1:13" x14ac:dyDescent="0.2">
      <c r="A658" t="s">
        <v>798</v>
      </c>
      <c r="B658"/>
      <c r="C658"/>
      <c r="D658"/>
      <c r="E658"/>
      <c r="F658"/>
      <c r="G658"/>
      <c r="H658"/>
      <c r="I658"/>
      <c r="J658"/>
      <c r="K658"/>
      <c r="L658"/>
      <c r="M658"/>
    </row>
    <row r="659" spans="1:13" x14ac:dyDescent="0.2">
      <c r="A659" t="s">
        <v>799</v>
      </c>
      <c r="B659"/>
      <c r="C659"/>
      <c r="D659"/>
      <c r="E659"/>
      <c r="F659"/>
      <c r="G659"/>
      <c r="H659"/>
      <c r="I659"/>
      <c r="J659"/>
      <c r="K659"/>
      <c r="L659"/>
      <c r="M659"/>
    </row>
    <row r="660" spans="1:13" x14ac:dyDescent="0.2">
      <c r="A660" t="s">
        <v>800</v>
      </c>
      <c r="B660"/>
      <c r="C660"/>
      <c r="D660"/>
      <c r="E660"/>
      <c r="F660"/>
      <c r="G660"/>
      <c r="H660"/>
      <c r="I660"/>
      <c r="J660"/>
      <c r="K660"/>
      <c r="L660"/>
      <c r="M660"/>
    </row>
    <row r="661" spans="1:13" x14ac:dyDescent="0.2">
      <c r="A661" t="s">
        <v>801</v>
      </c>
      <c r="B661"/>
      <c r="C661"/>
      <c r="D661"/>
      <c r="E661"/>
      <c r="F661"/>
      <c r="G661"/>
      <c r="H661"/>
      <c r="I661"/>
      <c r="J661"/>
      <c r="K661"/>
      <c r="L661"/>
      <c r="M661"/>
    </row>
    <row r="662" spans="1:13" x14ac:dyDescent="0.2">
      <c r="A662" t="s">
        <v>802</v>
      </c>
      <c r="B662"/>
      <c r="C662"/>
      <c r="D662"/>
      <c r="E662"/>
      <c r="F662"/>
      <c r="G662"/>
      <c r="H662"/>
      <c r="I662"/>
      <c r="J662"/>
      <c r="K662"/>
      <c r="L662"/>
      <c r="M662"/>
    </row>
    <row r="663" spans="1:13" x14ac:dyDescent="0.2">
      <c r="A663" t="s">
        <v>803</v>
      </c>
      <c r="B663"/>
      <c r="C663"/>
      <c r="D663"/>
      <c r="E663"/>
      <c r="F663"/>
      <c r="G663"/>
      <c r="H663"/>
      <c r="I663"/>
      <c r="J663"/>
      <c r="K663"/>
      <c r="L663"/>
      <c r="M663"/>
    </row>
    <row r="664" spans="1:13" x14ac:dyDescent="0.2">
      <c r="A664" t="s">
        <v>804</v>
      </c>
      <c r="B664"/>
      <c r="C664"/>
      <c r="D664"/>
      <c r="E664"/>
      <c r="F664"/>
      <c r="G664"/>
      <c r="H664"/>
      <c r="I664"/>
      <c r="J664"/>
      <c r="K664"/>
      <c r="L664"/>
      <c r="M664"/>
    </row>
    <row r="665" spans="1:13" x14ac:dyDescent="0.2">
      <c r="A665" t="s">
        <v>805</v>
      </c>
      <c r="B665"/>
      <c r="C665"/>
      <c r="D665"/>
      <c r="E665"/>
      <c r="F665"/>
      <c r="G665"/>
      <c r="H665"/>
      <c r="I665"/>
      <c r="J665"/>
      <c r="K665"/>
      <c r="L665"/>
      <c r="M665"/>
    </row>
    <row r="666" spans="1:13" x14ac:dyDescent="0.2">
      <c r="A666" t="s">
        <v>806</v>
      </c>
      <c r="B666"/>
      <c r="C666"/>
      <c r="D666"/>
      <c r="E666"/>
      <c r="F666"/>
      <c r="G666"/>
      <c r="H666"/>
      <c r="I666"/>
      <c r="J666"/>
      <c r="K666"/>
      <c r="L666"/>
      <c r="M666"/>
    </row>
    <row r="667" spans="1:13" x14ac:dyDescent="0.2">
      <c r="A667" t="s">
        <v>807</v>
      </c>
      <c r="B667"/>
      <c r="C667"/>
      <c r="D667"/>
      <c r="E667"/>
      <c r="F667"/>
      <c r="G667"/>
      <c r="H667"/>
      <c r="I667"/>
      <c r="J667"/>
      <c r="K667"/>
      <c r="L667"/>
      <c r="M667"/>
    </row>
    <row r="668" spans="1:13" x14ac:dyDescent="0.2">
      <c r="A668" t="s">
        <v>808</v>
      </c>
      <c r="B668"/>
      <c r="C668"/>
      <c r="D668"/>
      <c r="E668"/>
      <c r="F668"/>
      <c r="G668"/>
      <c r="H668"/>
      <c r="I668"/>
      <c r="J668"/>
      <c r="K668"/>
      <c r="L668"/>
      <c r="M668"/>
    </row>
    <row r="669" spans="1:13" x14ac:dyDescent="0.2">
      <c r="A669" t="s">
        <v>809</v>
      </c>
      <c r="B669"/>
      <c r="C669"/>
      <c r="D669"/>
      <c r="E669"/>
      <c r="F669"/>
      <c r="G669"/>
      <c r="H669"/>
      <c r="I669"/>
      <c r="J669"/>
      <c r="K669"/>
      <c r="L669"/>
      <c r="M669"/>
    </row>
    <row r="670" spans="1:13" x14ac:dyDescent="0.2">
      <c r="A670" t="s">
        <v>810</v>
      </c>
      <c r="B670"/>
      <c r="C670"/>
      <c r="D670"/>
      <c r="E670"/>
      <c r="F670"/>
      <c r="G670"/>
      <c r="H670"/>
      <c r="I670"/>
      <c r="J670"/>
      <c r="K670"/>
      <c r="L670"/>
      <c r="M670"/>
    </row>
    <row r="671" spans="1:13" x14ac:dyDescent="0.2">
      <c r="A671" t="s">
        <v>811</v>
      </c>
      <c r="B671"/>
      <c r="C671"/>
      <c r="D671"/>
      <c r="E671"/>
      <c r="F671"/>
      <c r="G671"/>
      <c r="H671"/>
      <c r="I671"/>
      <c r="J671"/>
      <c r="K671"/>
      <c r="L671"/>
      <c r="M671"/>
    </row>
    <row r="672" spans="1:13" x14ac:dyDescent="0.2">
      <c r="A672" t="s">
        <v>812</v>
      </c>
      <c r="B672"/>
      <c r="C672"/>
      <c r="D672"/>
      <c r="E672"/>
      <c r="F672"/>
      <c r="G672"/>
      <c r="H672"/>
      <c r="I672"/>
      <c r="J672"/>
      <c r="K672"/>
      <c r="L672"/>
      <c r="M672"/>
    </row>
    <row r="673" spans="1:13" x14ac:dyDescent="0.2">
      <c r="A673" t="s">
        <v>813</v>
      </c>
      <c r="B673"/>
      <c r="C673"/>
      <c r="D673"/>
      <c r="E673"/>
      <c r="F673"/>
      <c r="G673"/>
      <c r="H673"/>
      <c r="I673"/>
      <c r="J673"/>
      <c r="K673"/>
      <c r="L673"/>
      <c r="M673"/>
    </row>
    <row r="674" spans="1:13" x14ac:dyDescent="0.2">
      <c r="A674" t="s">
        <v>814</v>
      </c>
      <c r="B674"/>
      <c r="C674"/>
      <c r="D674"/>
      <c r="E674"/>
      <c r="F674"/>
      <c r="G674"/>
      <c r="H674"/>
      <c r="I674"/>
      <c r="J674"/>
      <c r="K674"/>
      <c r="L674"/>
      <c r="M674"/>
    </row>
    <row r="675" spans="1:13" x14ac:dyDescent="0.2">
      <c r="A675" t="s">
        <v>815</v>
      </c>
      <c r="B675"/>
      <c r="C675"/>
      <c r="D675"/>
      <c r="E675"/>
      <c r="F675"/>
      <c r="G675"/>
      <c r="H675"/>
      <c r="I675"/>
      <c r="J675"/>
      <c r="K675"/>
      <c r="L675"/>
      <c r="M675"/>
    </row>
    <row r="676" spans="1:13" x14ac:dyDescent="0.2">
      <c r="A676" t="s">
        <v>816</v>
      </c>
      <c r="B676"/>
      <c r="C676"/>
      <c r="D676"/>
      <c r="E676"/>
      <c r="F676"/>
      <c r="G676"/>
      <c r="H676"/>
      <c r="I676"/>
      <c r="J676"/>
      <c r="K676"/>
      <c r="L676"/>
      <c r="M676"/>
    </row>
    <row r="677" spans="1:13" x14ac:dyDescent="0.2">
      <c r="A677" t="s">
        <v>817</v>
      </c>
      <c r="B677"/>
      <c r="C677"/>
      <c r="D677"/>
      <c r="E677"/>
      <c r="F677"/>
      <c r="G677"/>
      <c r="H677"/>
      <c r="I677"/>
      <c r="J677"/>
      <c r="K677"/>
      <c r="L677"/>
      <c r="M677"/>
    </row>
    <row r="678" spans="1:13" x14ac:dyDescent="0.2">
      <c r="A678" t="s">
        <v>818</v>
      </c>
      <c r="B678"/>
      <c r="C678"/>
      <c r="D678"/>
      <c r="E678"/>
      <c r="F678"/>
      <c r="G678"/>
      <c r="H678"/>
      <c r="I678"/>
      <c r="J678"/>
      <c r="K678"/>
      <c r="L678"/>
      <c r="M678"/>
    </row>
    <row r="679" spans="1:13" x14ac:dyDescent="0.2">
      <c r="A679" t="s">
        <v>819</v>
      </c>
      <c r="B679"/>
      <c r="C679"/>
      <c r="D679"/>
      <c r="E679"/>
      <c r="F679"/>
      <c r="G679"/>
      <c r="H679"/>
      <c r="I679"/>
      <c r="J679"/>
      <c r="K679"/>
      <c r="L679"/>
      <c r="M679"/>
    </row>
    <row r="680" spans="1:13" x14ac:dyDescent="0.2">
      <c r="A680" t="s">
        <v>820</v>
      </c>
      <c r="B680"/>
      <c r="C680"/>
      <c r="D680"/>
      <c r="E680"/>
      <c r="F680"/>
      <c r="G680"/>
      <c r="H680"/>
      <c r="I680"/>
      <c r="J680"/>
      <c r="K680"/>
      <c r="L680"/>
      <c r="M680"/>
    </row>
    <row r="681" spans="1:13" x14ac:dyDescent="0.2">
      <c r="A681" t="s">
        <v>821</v>
      </c>
      <c r="B681"/>
      <c r="C681"/>
      <c r="D681"/>
      <c r="E681"/>
      <c r="F681"/>
      <c r="G681"/>
      <c r="H681"/>
      <c r="I681"/>
      <c r="J681"/>
      <c r="K681"/>
      <c r="L681"/>
      <c r="M681"/>
    </row>
    <row r="682" spans="1:13" x14ac:dyDescent="0.2">
      <c r="A682" t="s">
        <v>822</v>
      </c>
      <c r="B682"/>
      <c r="C682"/>
      <c r="D682"/>
      <c r="E682"/>
      <c r="F682"/>
      <c r="G682"/>
      <c r="H682"/>
      <c r="I682"/>
      <c r="J682"/>
      <c r="K682"/>
      <c r="L682"/>
      <c r="M682"/>
    </row>
    <row r="683" spans="1:13" x14ac:dyDescent="0.2">
      <c r="A683" t="s">
        <v>823</v>
      </c>
      <c r="B683"/>
      <c r="C683"/>
      <c r="D683"/>
      <c r="E683"/>
      <c r="F683"/>
      <c r="G683"/>
      <c r="H683"/>
      <c r="I683"/>
      <c r="J683"/>
      <c r="K683"/>
      <c r="L683"/>
      <c r="M683"/>
    </row>
    <row r="684" spans="1:13" x14ac:dyDescent="0.2">
      <c r="A684" t="s">
        <v>824</v>
      </c>
      <c r="B684"/>
      <c r="C684"/>
      <c r="D684"/>
      <c r="E684"/>
      <c r="F684"/>
      <c r="G684"/>
      <c r="H684"/>
      <c r="I684"/>
      <c r="J684"/>
      <c r="K684"/>
      <c r="L684"/>
      <c r="M684"/>
    </row>
    <row r="685" spans="1:13" x14ac:dyDescent="0.2">
      <c r="A685" t="s">
        <v>825</v>
      </c>
      <c r="B685"/>
      <c r="C685"/>
      <c r="D685"/>
      <c r="E685"/>
      <c r="F685"/>
      <c r="G685"/>
      <c r="H685"/>
      <c r="I685"/>
      <c r="J685"/>
      <c r="K685"/>
      <c r="L685"/>
      <c r="M685"/>
    </row>
    <row r="686" spans="1:13" x14ac:dyDescent="0.2">
      <c r="A686" t="s">
        <v>826</v>
      </c>
      <c r="B686"/>
      <c r="C686"/>
      <c r="D686"/>
      <c r="E686"/>
      <c r="F686"/>
      <c r="G686"/>
      <c r="H686"/>
      <c r="I686"/>
      <c r="J686"/>
      <c r="K686"/>
      <c r="L686"/>
      <c r="M686"/>
    </row>
    <row r="687" spans="1:13" x14ac:dyDescent="0.2">
      <c r="A687" t="s">
        <v>827</v>
      </c>
      <c r="B687"/>
      <c r="C687"/>
      <c r="D687"/>
      <c r="E687"/>
      <c r="F687"/>
      <c r="G687"/>
      <c r="H687"/>
      <c r="I687"/>
      <c r="J687"/>
      <c r="K687"/>
      <c r="L687"/>
      <c r="M687"/>
    </row>
    <row r="688" spans="1:13" x14ac:dyDescent="0.2">
      <c r="A688" t="s">
        <v>828</v>
      </c>
      <c r="B688"/>
      <c r="C688"/>
      <c r="D688"/>
      <c r="E688"/>
      <c r="F688"/>
      <c r="G688"/>
      <c r="H688"/>
      <c r="I688"/>
      <c r="J688"/>
      <c r="K688"/>
      <c r="L688"/>
      <c r="M688"/>
    </row>
    <row r="689" spans="1:13" x14ac:dyDescent="0.2">
      <c r="A689" t="s">
        <v>829</v>
      </c>
      <c r="B689"/>
      <c r="C689"/>
      <c r="D689"/>
      <c r="E689"/>
      <c r="F689"/>
      <c r="G689"/>
      <c r="H689"/>
      <c r="I689"/>
      <c r="J689"/>
      <c r="K689"/>
      <c r="L689"/>
      <c r="M689"/>
    </row>
    <row r="690" spans="1:13" x14ac:dyDescent="0.2">
      <c r="A690" t="s">
        <v>830</v>
      </c>
      <c r="B690"/>
      <c r="C690"/>
      <c r="D690"/>
      <c r="E690"/>
      <c r="F690"/>
      <c r="G690"/>
      <c r="H690"/>
      <c r="I690"/>
      <c r="J690"/>
      <c r="K690"/>
      <c r="L690"/>
      <c r="M690"/>
    </row>
    <row r="691" spans="1:13" x14ac:dyDescent="0.2">
      <c r="A691" t="s">
        <v>831</v>
      </c>
      <c r="B691"/>
      <c r="C691"/>
      <c r="D691"/>
      <c r="E691"/>
      <c r="F691"/>
      <c r="G691"/>
      <c r="H691"/>
      <c r="I691"/>
      <c r="J691"/>
      <c r="K691"/>
      <c r="L691"/>
      <c r="M691"/>
    </row>
    <row r="692" spans="1:13" x14ac:dyDescent="0.2">
      <c r="A692" t="s">
        <v>832</v>
      </c>
      <c r="B692"/>
      <c r="C692"/>
      <c r="D692"/>
      <c r="E692"/>
      <c r="F692"/>
      <c r="G692"/>
      <c r="H692"/>
      <c r="I692"/>
      <c r="J692"/>
      <c r="K692"/>
      <c r="L692"/>
      <c r="M692"/>
    </row>
    <row r="693" spans="1:13" x14ac:dyDescent="0.2">
      <c r="A693" t="s">
        <v>833</v>
      </c>
      <c r="B693"/>
      <c r="C693"/>
      <c r="D693"/>
      <c r="E693"/>
      <c r="F693"/>
      <c r="G693"/>
      <c r="H693"/>
      <c r="I693"/>
      <c r="J693"/>
      <c r="K693"/>
      <c r="L693"/>
      <c r="M693"/>
    </row>
    <row r="694" spans="1:13" x14ac:dyDescent="0.2">
      <c r="A694" t="s">
        <v>834</v>
      </c>
      <c r="B694"/>
      <c r="C694"/>
      <c r="D694"/>
      <c r="E694"/>
      <c r="F694"/>
      <c r="G694"/>
      <c r="H694"/>
      <c r="I694"/>
      <c r="J694"/>
      <c r="K694"/>
      <c r="L694"/>
      <c r="M694"/>
    </row>
    <row r="695" spans="1:13" x14ac:dyDescent="0.2">
      <c r="A695" t="s">
        <v>835</v>
      </c>
      <c r="B695"/>
      <c r="C695"/>
      <c r="D695"/>
      <c r="E695"/>
      <c r="F695"/>
      <c r="G695"/>
      <c r="H695"/>
      <c r="I695"/>
      <c r="J695"/>
      <c r="K695"/>
      <c r="L695"/>
      <c r="M695"/>
    </row>
    <row r="696" spans="1:13" x14ac:dyDescent="0.2">
      <c r="A696" t="s">
        <v>836</v>
      </c>
      <c r="B696"/>
      <c r="C696"/>
      <c r="D696"/>
      <c r="E696"/>
      <c r="F696"/>
      <c r="G696"/>
      <c r="H696"/>
      <c r="I696"/>
      <c r="J696"/>
      <c r="K696"/>
      <c r="L696"/>
      <c r="M696"/>
    </row>
    <row r="697" spans="1:13" x14ac:dyDescent="0.2">
      <c r="A697" t="s">
        <v>837</v>
      </c>
      <c r="B697"/>
      <c r="C697"/>
      <c r="D697"/>
      <c r="E697"/>
      <c r="F697"/>
      <c r="G697"/>
      <c r="H697"/>
      <c r="I697"/>
      <c r="J697"/>
      <c r="K697"/>
      <c r="L697"/>
      <c r="M697"/>
    </row>
    <row r="698" spans="1:13" x14ac:dyDescent="0.2">
      <c r="A698" t="s">
        <v>838</v>
      </c>
      <c r="B698"/>
      <c r="C698"/>
      <c r="D698"/>
      <c r="E698"/>
      <c r="F698"/>
      <c r="G698"/>
      <c r="H698"/>
      <c r="I698"/>
      <c r="J698"/>
      <c r="K698"/>
      <c r="L698"/>
      <c r="M698"/>
    </row>
    <row r="699" spans="1:13" x14ac:dyDescent="0.2">
      <c r="A699" t="s">
        <v>839</v>
      </c>
      <c r="B699"/>
      <c r="C699"/>
      <c r="D699"/>
      <c r="E699"/>
      <c r="F699"/>
      <c r="G699"/>
      <c r="H699"/>
      <c r="I699"/>
      <c r="J699"/>
      <c r="K699"/>
      <c r="L699"/>
      <c r="M699"/>
    </row>
    <row r="700" spans="1:13" x14ac:dyDescent="0.2">
      <c r="A700" t="s">
        <v>840</v>
      </c>
      <c r="B700"/>
      <c r="C700"/>
      <c r="D700"/>
      <c r="E700"/>
      <c r="F700"/>
      <c r="G700"/>
      <c r="H700"/>
      <c r="I700"/>
      <c r="J700"/>
      <c r="K700"/>
      <c r="L700"/>
      <c r="M700"/>
    </row>
    <row r="701" spans="1:13" x14ac:dyDescent="0.2">
      <c r="A701" t="s">
        <v>841</v>
      </c>
      <c r="B701"/>
      <c r="C701"/>
      <c r="D701"/>
      <c r="E701"/>
      <c r="F701"/>
      <c r="G701"/>
      <c r="H701"/>
      <c r="I701"/>
      <c r="J701"/>
      <c r="K701"/>
      <c r="L701"/>
      <c r="M701"/>
    </row>
    <row r="702" spans="1:13" x14ac:dyDescent="0.2">
      <c r="A702" t="s">
        <v>842</v>
      </c>
      <c r="B702"/>
      <c r="C702"/>
      <c r="D702"/>
      <c r="E702"/>
      <c r="F702"/>
      <c r="G702"/>
      <c r="H702"/>
      <c r="I702"/>
      <c r="J702"/>
      <c r="K702"/>
      <c r="L702"/>
      <c r="M702"/>
    </row>
    <row r="703" spans="1:13" x14ac:dyDescent="0.2">
      <c r="A703" t="s">
        <v>843</v>
      </c>
      <c r="B703"/>
      <c r="C703"/>
      <c r="D703"/>
      <c r="E703"/>
      <c r="F703"/>
      <c r="G703"/>
      <c r="H703"/>
      <c r="I703"/>
      <c r="J703"/>
      <c r="K703"/>
      <c r="L703"/>
      <c r="M703"/>
    </row>
    <row r="704" spans="1:13" x14ac:dyDescent="0.2">
      <c r="A704" t="s">
        <v>844</v>
      </c>
      <c r="B704"/>
      <c r="C704"/>
      <c r="D704"/>
      <c r="E704"/>
      <c r="F704"/>
      <c r="G704"/>
      <c r="H704"/>
      <c r="I704"/>
      <c r="J704"/>
      <c r="K704"/>
      <c r="L704"/>
      <c r="M704"/>
    </row>
    <row r="705" spans="1:13" x14ac:dyDescent="0.2">
      <c r="A705" t="s">
        <v>845</v>
      </c>
      <c r="B705"/>
      <c r="C705"/>
      <c r="D705"/>
      <c r="E705"/>
      <c r="F705"/>
      <c r="G705"/>
      <c r="H705"/>
      <c r="I705"/>
      <c r="J705"/>
      <c r="K705"/>
      <c r="L705"/>
      <c r="M705"/>
    </row>
    <row r="706" spans="1:13" x14ac:dyDescent="0.2">
      <c r="A706" t="s">
        <v>846</v>
      </c>
      <c r="B706"/>
      <c r="C706"/>
      <c r="D706"/>
      <c r="E706"/>
      <c r="F706"/>
      <c r="G706"/>
      <c r="H706"/>
      <c r="I706"/>
      <c r="J706"/>
      <c r="K706"/>
      <c r="L706"/>
      <c r="M706"/>
    </row>
    <row r="707" spans="1:13" x14ac:dyDescent="0.2">
      <c r="A707" t="s">
        <v>847</v>
      </c>
      <c r="B707"/>
      <c r="C707"/>
      <c r="D707"/>
      <c r="E707"/>
      <c r="F707"/>
      <c r="G707"/>
      <c r="H707"/>
      <c r="I707"/>
      <c r="J707"/>
      <c r="K707"/>
      <c r="L707"/>
      <c r="M707"/>
    </row>
    <row r="708" spans="1:13" x14ac:dyDescent="0.2">
      <c r="A708" t="s">
        <v>848</v>
      </c>
      <c r="B708"/>
      <c r="C708"/>
      <c r="D708"/>
      <c r="E708"/>
      <c r="F708"/>
      <c r="G708"/>
      <c r="H708"/>
      <c r="I708"/>
      <c r="J708"/>
      <c r="K708"/>
      <c r="L708"/>
      <c r="M708"/>
    </row>
    <row r="709" spans="1:13" x14ac:dyDescent="0.2">
      <c r="A709" t="s">
        <v>849</v>
      </c>
      <c r="B709"/>
      <c r="C709"/>
      <c r="D709"/>
      <c r="E709"/>
      <c r="F709"/>
      <c r="G709"/>
      <c r="H709"/>
      <c r="I709"/>
      <c r="J709"/>
      <c r="K709"/>
      <c r="L709"/>
      <c r="M709"/>
    </row>
    <row r="710" spans="1:13" x14ac:dyDescent="0.2">
      <c r="A710" t="s">
        <v>850</v>
      </c>
      <c r="B710"/>
      <c r="C710"/>
      <c r="D710"/>
      <c r="E710"/>
      <c r="F710"/>
      <c r="G710"/>
      <c r="H710"/>
      <c r="I710"/>
      <c r="J710"/>
      <c r="K710"/>
      <c r="L710"/>
      <c r="M710"/>
    </row>
    <row r="711" spans="1:13" x14ac:dyDescent="0.2">
      <c r="A711" t="s">
        <v>851</v>
      </c>
      <c r="B711"/>
      <c r="C711"/>
      <c r="D711"/>
      <c r="E711"/>
      <c r="F711"/>
      <c r="G711"/>
      <c r="H711"/>
      <c r="I711"/>
      <c r="J711"/>
      <c r="K711"/>
      <c r="L711"/>
      <c r="M711"/>
    </row>
    <row r="712" spans="1:13" x14ac:dyDescent="0.2">
      <c r="A712" t="s">
        <v>852</v>
      </c>
      <c r="B712"/>
      <c r="C712"/>
      <c r="D712"/>
      <c r="E712"/>
      <c r="F712"/>
      <c r="G712"/>
      <c r="H712"/>
      <c r="I712"/>
      <c r="J712"/>
      <c r="K712"/>
      <c r="L712"/>
      <c r="M712"/>
    </row>
    <row r="713" spans="1:13" x14ac:dyDescent="0.2">
      <c r="A713" t="s">
        <v>853</v>
      </c>
      <c r="B713"/>
      <c r="C713"/>
      <c r="D713"/>
      <c r="E713"/>
      <c r="F713"/>
      <c r="G713"/>
      <c r="H713"/>
      <c r="I713"/>
      <c r="J713"/>
      <c r="K713"/>
      <c r="L713"/>
      <c r="M713"/>
    </row>
    <row r="714" spans="1:13" x14ac:dyDescent="0.2">
      <c r="A714" t="s">
        <v>854</v>
      </c>
      <c r="B714"/>
      <c r="C714"/>
      <c r="D714"/>
      <c r="E714"/>
      <c r="F714"/>
      <c r="G714"/>
      <c r="H714"/>
      <c r="I714"/>
      <c r="J714"/>
      <c r="K714"/>
      <c r="L714"/>
      <c r="M714"/>
    </row>
    <row r="715" spans="1:13" x14ac:dyDescent="0.2">
      <c r="A715" t="s">
        <v>855</v>
      </c>
      <c r="B715"/>
      <c r="C715"/>
      <c r="D715"/>
      <c r="E715"/>
      <c r="F715"/>
      <c r="G715"/>
      <c r="H715"/>
      <c r="I715"/>
      <c r="J715"/>
      <c r="K715"/>
      <c r="L715"/>
      <c r="M715"/>
    </row>
    <row r="716" spans="1:13" x14ac:dyDescent="0.2">
      <c r="A716" t="s">
        <v>856</v>
      </c>
      <c r="B716"/>
      <c r="C716"/>
      <c r="D716"/>
      <c r="E716"/>
      <c r="F716"/>
      <c r="G716"/>
      <c r="H716"/>
      <c r="I716"/>
      <c r="J716"/>
      <c r="K716"/>
      <c r="L716"/>
      <c r="M716"/>
    </row>
    <row r="717" spans="1:13" x14ac:dyDescent="0.2">
      <c r="A717" t="s">
        <v>857</v>
      </c>
      <c r="B717"/>
      <c r="C717"/>
      <c r="D717"/>
      <c r="E717"/>
      <c r="F717"/>
      <c r="G717"/>
      <c r="H717"/>
      <c r="I717"/>
      <c r="J717"/>
      <c r="K717"/>
      <c r="L717"/>
      <c r="M717"/>
    </row>
    <row r="718" spans="1:13" x14ac:dyDescent="0.2">
      <c r="A718" t="s">
        <v>858</v>
      </c>
      <c r="B718"/>
      <c r="C718"/>
      <c r="D718"/>
      <c r="E718"/>
      <c r="F718"/>
      <c r="G718"/>
      <c r="H718"/>
      <c r="I718"/>
      <c r="J718"/>
      <c r="K718"/>
      <c r="L718"/>
      <c r="M718"/>
    </row>
    <row r="719" spans="1:13" x14ac:dyDescent="0.2">
      <c r="A719" t="s">
        <v>859</v>
      </c>
      <c r="B719"/>
      <c r="C719"/>
      <c r="D719"/>
      <c r="E719"/>
      <c r="F719"/>
      <c r="G719"/>
      <c r="H719"/>
      <c r="I719"/>
      <c r="J719"/>
      <c r="K719"/>
      <c r="L719"/>
      <c r="M719"/>
    </row>
    <row r="720" spans="1:13" x14ac:dyDescent="0.2">
      <c r="A720" t="s">
        <v>860</v>
      </c>
      <c r="B720"/>
      <c r="C720"/>
      <c r="D720"/>
      <c r="E720"/>
      <c r="F720"/>
      <c r="G720"/>
      <c r="H720"/>
      <c r="I720"/>
      <c r="J720"/>
      <c r="K720"/>
      <c r="L720"/>
      <c r="M720"/>
    </row>
    <row r="721" spans="1:13" x14ac:dyDescent="0.2">
      <c r="A721" t="s">
        <v>861</v>
      </c>
      <c r="B721"/>
      <c r="C721"/>
      <c r="D721"/>
      <c r="E721"/>
      <c r="F721"/>
      <c r="G721"/>
      <c r="H721"/>
      <c r="I721"/>
      <c r="J721"/>
      <c r="K721"/>
      <c r="L721"/>
      <c r="M721"/>
    </row>
    <row r="722" spans="1:13" x14ac:dyDescent="0.2">
      <c r="A722" t="s">
        <v>862</v>
      </c>
      <c r="B722"/>
      <c r="C722"/>
      <c r="D722"/>
      <c r="E722"/>
      <c r="F722"/>
      <c r="G722"/>
      <c r="H722"/>
      <c r="I722"/>
      <c r="J722"/>
      <c r="K722"/>
      <c r="L722"/>
      <c r="M722"/>
    </row>
    <row r="723" spans="1:13" x14ac:dyDescent="0.2">
      <c r="A723" t="s">
        <v>863</v>
      </c>
      <c r="B723"/>
      <c r="C723"/>
      <c r="D723"/>
      <c r="E723"/>
      <c r="F723"/>
      <c r="G723"/>
      <c r="H723"/>
      <c r="I723"/>
      <c r="J723"/>
      <c r="K723"/>
      <c r="L723"/>
      <c r="M723"/>
    </row>
    <row r="724" spans="1:13" x14ac:dyDescent="0.2">
      <c r="A724" t="s">
        <v>864</v>
      </c>
      <c r="B724"/>
      <c r="C724"/>
      <c r="D724"/>
      <c r="E724"/>
      <c r="F724"/>
      <c r="G724"/>
      <c r="H724"/>
      <c r="I724"/>
      <c r="J724"/>
      <c r="K724"/>
      <c r="L724"/>
      <c r="M724"/>
    </row>
    <row r="725" spans="1:13" x14ac:dyDescent="0.2">
      <c r="A725" t="s">
        <v>865</v>
      </c>
      <c r="B725"/>
      <c r="C725"/>
      <c r="D725"/>
      <c r="E725"/>
      <c r="F725"/>
      <c r="G725"/>
      <c r="H725"/>
      <c r="I725"/>
      <c r="J725"/>
      <c r="K725"/>
      <c r="L725"/>
      <c r="M725"/>
    </row>
    <row r="726" spans="1:13" x14ac:dyDescent="0.2">
      <c r="A726" t="s">
        <v>866</v>
      </c>
      <c r="B726"/>
      <c r="C726"/>
      <c r="D726"/>
      <c r="E726"/>
      <c r="F726"/>
      <c r="G726"/>
      <c r="H726"/>
      <c r="I726"/>
      <c r="J726"/>
      <c r="K726"/>
      <c r="L726"/>
      <c r="M726"/>
    </row>
    <row r="727" spans="1:13" x14ac:dyDescent="0.2">
      <c r="A727" t="s">
        <v>867</v>
      </c>
      <c r="B727"/>
      <c r="C727"/>
      <c r="D727"/>
      <c r="E727"/>
      <c r="F727"/>
      <c r="G727"/>
      <c r="H727"/>
      <c r="I727"/>
      <c r="J727"/>
      <c r="K727"/>
      <c r="L727"/>
      <c r="M727"/>
    </row>
    <row r="728" spans="1:13" x14ac:dyDescent="0.2">
      <c r="A728" t="s">
        <v>868</v>
      </c>
      <c r="B728"/>
      <c r="C728"/>
      <c r="D728"/>
      <c r="E728"/>
      <c r="F728"/>
      <c r="G728"/>
      <c r="H728"/>
      <c r="I728"/>
      <c r="J728"/>
      <c r="K728"/>
      <c r="L728"/>
      <c r="M728"/>
    </row>
    <row r="729" spans="1:13" x14ac:dyDescent="0.2">
      <c r="A729" t="s">
        <v>869</v>
      </c>
      <c r="B729"/>
      <c r="C729"/>
      <c r="D729"/>
      <c r="E729"/>
      <c r="F729"/>
      <c r="G729"/>
      <c r="H729"/>
      <c r="I729"/>
      <c r="J729"/>
      <c r="K729"/>
      <c r="L729"/>
      <c r="M729"/>
    </row>
    <row r="730" spans="1:13" x14ac:dyDescent="0.2">
      <c r="A730" t="s">
        <v>870</v>
      </c>
      <c r="B730"/>
      <c r="C730"/>
      <c r="D730"/>
      <c r="E730"/>
      <c r="F730"/>
      <c r="G730"/>
      <c r="H730"/>
      <c r="I730"/>
      <c r="J730"/>
      <c r="K730"/>
      <c r="L730"/>
      <c r="M730"/>
    </row>
    <row r="731" spans="1:13" x14ac:dyDescent="0.2">
      <c r="A731" t="s">
        <v>871</v>
      </c>
      <c r="B731"/>
      <c r="C731"/>
      <c r="D731"/>
      <c r="E731"/>
      <c r="F731"/>
      <c r="G731"/>
      <c r="H731"/>
      <c r="I731"/>
      <c r="J731"/>
      <c r="K731"/>
      <c r="L731"/>
      <c r="M731"/>
    </row>
    <row r="732" spans="1:13" x14ac:dyDescent="0.2">
      <c r="A732" t="s">
        <v>872</v>
      </c>
      <c r="B732"/>
      <c r="C732"/>
      <c r="D732"/>
      <c r="E732"/>
      <c r="F732"/>
      <c r="G732"/>
      <c r="H732"/>
      <c r="I732"/>
      <c r="J732"/>
      <c r="K732"/>
      <c r="L732"/>
      <c r="M732"/>
    </row>
    <row r="733" spans="1:13" x14ac:dyDescent="0.2">
      <c r="A733" t="s">
        <v>873</v>
      </c>
      <c r="B733"/>
      <c r="C733"/>
      <c r="D733"/>
      <c r="E733"/>
      <c r="F733"/>
      <c r="G733"/>
      <c r="H733"/>
      <c r="I733"/>
      <c r="J733"/>
      <c r="K733"/>
      <c r="L733"/>
      <c r="M733"/>
    </row>
    <row r="734" spans="1:13" x14ac:dyDescent="0.2">
      <c r="A734" t="s">
        <v>874</v>
      </c>
      <c r="B734"/>
      <c r="C734"/>
      <c r="D734"/>
      <c r="E734"/>
      <c r="F734"/>
      <c r="G734"/>
      <c r="H734"/>
      <c r="I734"/>
      <c r="J734"/>
      <c r="K734"/>
      <c r="L734"/>
      <c r="M734"/>
    </row>
    <row r="735" spans="1:13" x14ac:dyDescent="0.2">
      <c r="A735" t="s">
        <v>875</v>
      </c>
      <c r="B735"/>
      <c r="C735"/>
      <c r="D735"/>
      <c r="E735"/>
      <c r="F735"/>
      <c r="G735"/>
      <c r="H735"/>
      <c r="I735"/>
      <c r="J735"/>
      <c r="K735"/>
      <c r="L735"/>
      <c r="M735"/>
    </row>
    <row r="736" spans="1:13" x14ac:dyDescent="0.2">
      <c r="A736" t="s">
        <v>876</v>
      </c>
      <c r="B736"/>
      <c r="C736"/>
      <c r="D736"/>
      <c r="E736"/>
      <c r="F736"/>
      <c r="G736"/>
      <c r="H736"/>
      <c r="I736"/>
      <c r="J736"/>
      <c r="K736"/>
      <c r="L736"/>
      <c r="M736"/>
    </row>
    <row r="737" spans="1:13" x14ac:dyDescent="0.2">
      <c r="A737" t="s">
        <v>877</v>
      </c>
      <c r="B737"/>
      <c r="C737"/>
      <c r="D737"/>
      <c r="E737"/>
      <c r="F737"/>
      <c r="G737"/>
      <c r="H737"/>
      <c r="I737"/>
      <c r="J737"/>
      <c r="K737"/>
      <c r="L737"/>
      <c r="M737"/>
    </row>
    <row r="738" spans="1:13" x14ac:dyDescent="0.2">
      <c r="A738" t="s">
        <v>878</v>
      </c>
      <c r="B738"/>
      <c r="C738"/>
      <c r="D738"/>
      <c r="E738"/>
      <c r="F738"/>
      <c r="G738"/>
      <c r="H738"/>
      <c r="I738"/>
      <c r="J738"/>
      <c r="K738"/>
      <c r="L738"/>
      <c r="M738"/>
    </row>
    <row r="739" spans="1:13" x14ac:dyDescent="0.2">
      <c r="A739" t="s">
        <v>879</v>
      </c>
      <c r="B739"/>
      <c r="C739"/>
      <c r="D739"/>
      <c r="E739"/>
      <c r="F739"/>
      <c r="G739"/>
      <c r="H739"/>
      <c r="I739"/>
      <c r="J739"/>
      <c r="K739"/>
      <c r="L739"/>
      <c r="M739"/>
    </row>
    <row r="740" spans="1:13" x14ac:dyDescent="0.2">
      <c r="A740" t="s">
        <v>880</v>
      </c>
      <c r="B740"/>
      <c r="C740"/>
      <c r="D740"/>
      <c r="E740"/>
      <c r="F740"/>
      <c r="G740"/>
      <c r="H740"/>
      <c r="I740"/>
      <c r="J740"/>
      <c r="K740"/>
      <c r="L740"/>
      <c r="M740"/>
    </row>
    <row r="741" spans="1:13" x14ac:dyDescent="0.2">
      <c r="A741" t="s">
        <v>881</v>
      </c>
      <c r="B741"/>
      <c r="C741"/>
      <c r="D741"/>
      <c r="E741"/>
      <c r="F741"/>
      <c r="G741"/>
      <c r="H741"/>
      <c r="I741"/>
      <c r="J741"/>
      <c r="K741"/>
      <c r="L741"/>
      <c r="M741"/>
    </row>
    <row r="742" spans="1:13" x14ac:dyDescent="0.2">
      <c r="A742" t="s">
        <v>882</v>
      </c>
      <c r="B742"/>
      <c r="C742"/>
      <c r="D742"/>
      <c r="E742"/>
      <c r="F742"/>
      <c r="G742"/>
      <c r="H742"/>
      <c r="I742"/>
      <c r="J742"/>
      <c r="K742"/>
      <c r="L742"/>
      <c r="M742"/>
    </row>
    <row r="743" spans="1:13" x14ac:dyDescent="0.2">
      <c r="A743" t="s">
        <v>883</v>
      </c>
      <c r="B743"/>
      <c r="C743"/>
      <c r="D743"/>
      <c r="E743"/>
      <c r="F743"/>
      <c r="G743"/>
      <c r="H743"/>
      <c r="I743"/>
      <c r="J743"/>
      <c r="K743"/>
      <c r="L743"/>
      <c r="M743"/>
    </row>
    <row r="744" spans="1:13" x14ac:dyDescent="0.2">
      <c r="A744" t="s">
        <v>884</v>
      </c>
      <c r="B744"/>
      <c r="C744"/>
      <c r="D744"/>
      <c r="E744"/>
      <c r="F744"/>
      <c r="G744"/>
      <c r="H744"/>
      <c r="I744"/>
      <c r="J744"/>
      <c r="K744"/>
      <c r="L744"/>
      <c r="M744"/>
    </row>
    <row r="745" spans="1:13" x14ac:dyDescent="0.2">
      <c r="A745" t="s">
        <v>885</v>
      </c>
      <c r="B745"/>
      <c r="C745"/>
      <c r="D745"/>
      <c r="E745"/>
      <c r="F745"/>
      <c r="G745"/>
      <c r="H745"/>
      <c r="I745"/>
      <c r="J745"/>
      <c r="K745"/>
      <c r="L745"/>
      <c r="M745"/>
    </row>
    <row r="746" spans="1:13" x14ac:dyDescent="0.2">
      <c r="A746" t="s">
        <v>886</v>
      </c>
      <c r="B746"/>
      <c r="C746"/>
      <c r="D746"/>
      <c r="E746"/>
      <c r="F746"/>
      <c r="G746"/>
      <c r="H746"/>
      <c r="I746"/>
      <c r="J746"/>
      <c r="K746"/>
      <c r="L746"/>
      <c r="M746"/>
    </row>
    <row r="747" spans="1:13" x14ac:dyDescent="0.2">
      <c r="A747" t="s">
        <v>887</v>
      </c>
      <c r="B747"/>
      <c r="C747"/>
      <c r="D747"/>
      <c r="E747"/>
      <c r="F747"/>
      <c r="G747"/>
      <c r="H747"/>
      <c r="I747"/>
      <c r="J747"/>
      <c r="K747"/>
      <c r="L747"/>
      <c r="M747"/>
    </row>
    <row r="748" spans="1:13" x14ac:dyDescent="0.2">
      <c r="A748" t="s">
        <v>888</v>
      </c>
      <c r="B748"/>
      <c r="C748"/>
      <c r="D748"/>
      <c r="E748"/>
      <c r="F748"/>
      <c r="G748"/>
      <c r="H748"/>
      <c r="I748"/>
      <c r="J748"/>
      <c r="K748"/>
      <c r="L748"/>
      <c r="M748"/>
    </row>
    <row r="749" spans="1:13" x14ac:dyDescent="0.2">
      <c r="A749" t="s">
        <v>889</v>
      </c>
      <c r="B749"/>
      <c r="C749"/>
      <c r="D749"/>
      <c r="E749"/>
      <c r="F749"/>
      <c r="G749"/>
      <c r="H749"/>
      <c r="I749"/>
      <c r="J749"/>
      <c r="K749"/>
      <c r="L749"/>
      <c r="M749"/>
    </row>
    <row r="750" spans="1:13" x14ac:dyDescent="0.2">
      <c r="A750" t="s">
        <v>890</v>
      </c>
      <c r="B750"/>
      <c r="C750"/>
      <c r="D750"/>
      <c r="E750"/>
      <c r="F750"/>
      <c r="G750"/>
      <c r="H750"/>
      <c r="I750"/>
      <c r="J750"/>
      <c r="K750"/>
      <c r="L750"/>
      <c r="M750"/>
    </row>
    <row r="751" spans="1:13" x14ac:dyDescent="0.2">
      <c r="A751" t="s">
        <v>891</v>
      </c>
      <c r="B751"/>
      <c r="C751"/>
      <c r="D751"/>
      <c r="E751"/>
      <c r="F751"/>
      <c r="G751"/>
      <c r="H751"/>
      <c r="I751"/>
      <c r="J751"/>
      <c r="K751"/>
      <c r="L751"/>
      <c r="M751"/>
    </row>
    <row r="752" spans="1:13" x14ac:dyDescent="0.2">
      <c r="A752" t="s">
        <v>892</v>
      </c>
      <c r="B752"/>
      <c r="C752"/>
      <c r="D752"/>
      <c r="E752"/>
      <c r="F752"/>
      <c r="G752"/>
      <c r="H752"/>
      <c r="I752"/>
      <c r="J752"/>
      <c r="K752"/>
      <c r="L752"/>
      <c r="M752"/>
    </row>
    <row r="753" spans="1:13" x14ac:dyDescent="0.2">
      <c r="A753" t="s">
        <v>893</v>
      </c>
      <c r="B753"/>
      <c r="C753"/>
      <c r="D753"/>
      <c r="E753"/>
      <c r="F753"/>
      <c r="G753"/>
      <c r="H753"/>
      <c r="I753"/>
      <c r="J753"/>
      <c r="K753"/>
      <c r="L753"/>
      <c r="M753"/>
    </row>
    <row r="754" spans="1:13" x14ac:dyDescent="0.2">
      <c r="A754" t="s">
        <v>894</v>
      </c>
      <c r="B754"/>
      <c r="C754"/>
      <c r="D754"/>
      <c r="E754"/>
      <c r="F754"/>
      <c r="G754"/>
      <c r="H754"/>
      <c r="I754"/>
      <c r="J754"/>
      <c r="K754"/>
      <c r="L754"/>
      <c r="M754"/>
    </row>
    <row r="755" spans="1:13" x14ac:dyDescent="0.2">
      <c r="A755" t="s">
        <v>895</v>
      </c>
      <c r="B755"/>
      <c r="C755"/>
      <c r="D755"/>
      <c r="E755"/>
      <c r="F755"/>
      <c r="G755"/>
      <c r="H755"/>
      <c r="I755"/>
      <c r="J755"/>
      <c r="K755"/>
      <c r="L755"/>
      <c r="M755"/>
    </row>
    <row r="756" spans="1:13" x14ac:dyDescent="0.2">
      <c r="A756" t="s">
        <v>896</v>
      </c>
      <c r="B756"/>
      <c r="C756"/>
      <c r="D756"/>
      <c r="E756"/>
      <c r="F756"/>
      <c r="G756"/>
      <c r="H756"/>
      <c r="I756"/>
      <c r="J756"/>
      <c r="K756"/>
      <c r="L756"/>
      <c r="M756"/>
    </row>
    <row r="757" spans="1:13" x14ac:dyDescent="0.2">
      <c r="A757" t="s">
        <v>897</v>
      </c>
      <c r="B757"/>
      <c r="C757"/>
      <c r="D757"/>
      <c r="E757"/>
      <c r="F757"/>
      <c r="G757"/>
      <c r="H757"/>
      <c r="I757"/>
      <c r="J757"/>
      <c r="K757"/>
      <c r="L757"/>
      <c r="M757"/>
    </row>
    <row r="758" spans="1:13" x14ac:dyDescent="0.2">
      <c r="A758" t="s">
        <v>898</v>
      </c>
      <c r="B758"/>
      <c r="C758"/>
      <c r="D758"/>
      <c r="E758"/>
      <c r="F758"/>
      <c r="G758"/>
      <c r="H758"/>
      <c r="I758"/>
      <c r="J758"/>
      <c r="K758"/>
      <c r="L758"/>
      <c r="M758"/>
    </row>
    <row r="759" spans="1:13" x14ac:dyDescent="0.2">
      <c r="A759" t="s">
        <v>899</v>
      </c>
      <c r="B759"/>
      <c r="C759"/>
      <c r="D759"/>
      <c r="E759"/>
      <c r="F759"/>
      <c r="G759"/>
      <c r="H759"/>
      <c r="I759"/>
      <c r="J759"/>
      <c r="K759"/>
      <c r="L759"/>
      <c r="M759"/>
    </row>
    <row r="760" spans="1:13" x14ac:dyDescent="0.2">
      <c r="A760" t="s">
        <v>900</v>
      </c>
      <c r="B760"/>
      <c r="C760"/>
      <c r="D760"/>
      <c r="E760"/>
      <c r="F760"/>
      <c r="G760"/>
      <c r="H760"/>
      <c r="I760"/>
      <c r="J760"/>
      <c r="K760"/>
      <c r="L760"/>
      <c r="M760"/>
    </row>
    <row r="761" spans="1:13" x14ac:dyDescent="0.2">
      <c r="A761" t="s">
        <v>901</v>
      </c>
      <c r="B761"/>
      <c r="C761"/>
      <c r="D761"/>
      <c r="E761"/>
      <c r="F761"/>
      <c r="G761"/>
      <c r="H761"/>
      <c r="I761"/>
      <c r="J761"/>
      <c r="K761"/>
      <c r="L761"/>
      <c r="M761"/>
    </row>
    <row r="762" spans="1:13" x14ac:dyDescent="0.2">
      <c r="A762" t="s">
        <v>902</v>
      </c>
      <c r="B762"/>
      <c r="C762"/>
      <c r="D762"/>
      <c r="E762"/>
      <c r="F762"/>
      <c r="G762"/>
      <c r="H762"/>
      <c r="I762"/>
      <c r="J762"/>
      <c r="K762"/>
      <c r="L762"/>
      <c r="M762"/>
    </row>
    <row r="763" spans="1:13" x14ac:dyDescent="0.2">
      <c r="A763" t="s">
        <v>903</v>
      </c>
      <c r="B763"/>
      <c r="C763"/>
      <c r="D763"/>
      <c r="E763"/>
      <c r="F763"/>
      <c r="G763"/>
      <c r="H763"/>
      <c r="I763"/>
      <c r="J763"/>
      <c r="K763"/>
      <c r="L763"/>
      <c r="M763"/>
    </row>
    <row r="764" spans="1:13" x14ac:dyDescent="0.2">
      <c r="A764" t="s">
        <v>904</v>
      </c>
      <c r="B764"/>
      <c r="C764"/>
      <c r="D764"/>
      <c r="E764"/>
      <c r="F764"/>
      <c r="G764"/>
      <c r="H764"/>
      <c r="I764"/>
      <c r="J764"/>
      <c r="K764"/>
      <c r="L764"/>
      <c r="M764"/>
    </row>
    <row r="765" spans="1:13" x14ac:dyDescent="0.2">
      <c r="A765" t="s">
        <v>905</v>
      </c>
      <c r="B765"/>
      <c r="C765"/>
      <c r="D765"/>
      <c r="E765"/>
      <c r="F765"/>
      <c r="G765"/>
      <c r="H765"/>
      <c r="I765"/>
      <c r="J765"/>
      <c r="K765"/>
      <c r="L765"/>
      <c r="M765"/>
    </row>
    <row r="766" spans="1:13" x14ac:dyDescent="0.2">
      <c r="A766" t="s">
        <v>906</v>
      </c>
      <c r="B766"/>
      <c r="C766"/>
      <c r="D766"/>
      <c r="E766"/>
      <c r="F766"/>
      <c r="G766"/>
      <c r="H766"/>
      <c r="I766"/>
      <c r="J766"/>
      <c r="K766"/>
      <c r="L766"/>
      <c r="M766"/>
    </row>
    <row r="767" spans="1:13" x14ac:dyDescent="0.2">
      <c r="A767" t="s">
        <v>907</v>
      </c>
      <c r="B767"/>
      <c r="C767"/>
      <c r="D767"/>
      <c r="E767"/>
      <c r="F767"/>
      <c r="G767"/>
      <c r="H767"/>
      <c r="I767"/>
      <c r="J767"/>
      <c r="K767"/>
      <c r="L767"/>
      <c r="M767"/>
    </row>
    <row r="768" spans="1:13" x14ac:dyDescent="0.2">
      <c r="A768" t="s">
        <v>908</v>
      </c>
      <c r="B768"/>
      <c r="C768"/>
      <c r="D768"/>
      <c r="E768"/>
      <c r="F768"/>
      <c r="G768"/>
      <c r="H768"/>
      <c r="I768"/>
      <c r="J768"/>
      <c r="K768"/>
      <c r="L768"/>
      <c r="M768"/>
    </row>
    <row r="769" spans="1:13" x14ac:dyDescent="0.2">
      <c r="A769" t="s">
        <v>909</v>
      </c>
      <c r="B769"/>
      <c r="C769"/>
      <c r="D769"/>
      <c r="E769"/>
      <c r="F769"/>
      <c r="G769"/>
      <c r="H769"/>
      <c r="I769"/>
      <c r="J769"/>
      <c r="K769"/>
      <c r="L769"/>
      <c r="M769"/>
    </row>
    <row r="770" spans="1:13" x14ac:dyDescent="0.2">
      <c r="A770" t="s">
        <v>910</v>
      </c>
      <c r="B770"/>
      <c r="C770"/>
      <c r="D770"/>
      <c r="E770"/>
      <c r="F770"/>
      <c r="G770"/>
      <c r="H770"/>
      <c r="I770"/>
      <c r="J770"/>
      <c r="K770"/>
      <c r="L770"/>
      <c r="M770"/>
    </row>
    <row r="771" spans="1:13" x14ac:dyDescent="0.2">
      <c r="A771" t="s">
        <v>911</v>
      </c>
      <c r="B771"/>
      <c r="C771"/>
      <c r="D771"/>
      <c r="E771"/>
      <c r="F771"/>
      <c r="G771"/>
      <c r="H771"/>
      <c r="I771"/>
      <c r="J771"/>
      <c r="K771"/>
      <c r="L771"/>
      <c r="M771"/>
    </row>
    <row r="772" spans="1:13" x14ac:dyDescent="0.2">
      <c r="A772" t="s">
        <v>912</v>
      </c>
      <c r="B772"/>
      <c r="C772"/>
      <c r="D772"/>
      <c r="E772"/>
      <c r="F772"/>
      <c r="G772"/>
      <c r="H772"/>
      <c r="I772"/>
      <c r="J772"/>
      <c r="K772"/>
      <c r="L772"/>
      <c r="M772"/>
    </row>
    <row r="773" spans="1:13" x14ac:dyDescent="0.2">
      <c r="A773" t="s">
        <v>913</v>
      </c>
      <c r="B773"/>
      <c r="C773"/>
      <c r="D773"/>
      <c r="E773"/>
      <c r="F773"/>
      <c r="G773"/>
      <c r="H773"/>
      <c r="I773"/>
      <c r="J773"/>
      <c r="K773"/>
      <c r="L773"/>
      <c r="M773"/>
    </row>
    <row r="774" spans="1:13" x14ac:dyDescent="0.2">
      <c r="A774" t="s">
        <v>914</v>
      </c>
      <c r="B774"/>
      <c r="C774"/>
      <c r="D774"/>
      <c r="E774"/>
      <c r="F774"/>
      <c r="G774"/>
      <c r="H774"/>
      <c r="I774"/>
      <c r="J774"/>
      <c r="K774"/>
      <c r="L774"/>
      <c r="M774"/>
    </row>
    <row r="775" spans="1:13" x14ac:dyDescent="0.2">
      <c r="A775" t="s">
        <v>915</v>
      </c>
      <c r="B775"/>
      <c r="C775"/>
      <c r="D775"/>
      <c r="E775"/>
      <c r="F775"/>
      <c r="G775"/>
      <c r="H775"/>
      <c r="I775"/>
      <c r="J775"/>
      <c r="K775"/>
      <c r="L775"/>
      <c r="M775"/>
    </row>
    <row r="776" spans="1:13" x14ac:dyDescent="0.2">
      <c r="A776" t="s">
        <v>916</v>
      </c>
      <c r="B776"/>
      <c r="C776"/>
      <c r="D776"/>
      <c r="E776"/>
      <c r="F776"/>
      <c r="G776"/>
      <c r="H776"/>
      <c r="I776"/>
      <c r="J776"/>
      <c r="K776"/>
      <c r="L776"/>
      <c r="M776"/>
    </row>
    <row r="777" spans="1:13" x14ac:dyDescent="0.2">
      <c r="A777" t="s">
        <v>917</v>
      </c>
      <c r="B777"/>
      <c r="C777"/>
      <c r="D777"/>
      <c r="E777"/>
      <c r="F777"/>
      <c r="G777"/>
      <c r="H777"/>
      <c r="I777"/>
      <c r="J777"/>
      <c r="K777"/>
      <c r="L777"/>
      <c r="M777"/>
    </row>
    <row r="778" spans="1:13" x14ac:dyDescent="0.2">
      <c r="A778" t="s">
        <v>918</v>
      </c>
      <c r="B778"/>
      <c r="C778"/>
      <c r="D778"/>
      <c r="E778"/>
      <c r="F778"/>
      <c r="G778"/>
      <c r="H778"/>
      <c r="I778"/>
      <c r="J778"/>
      <c r="K778"/>
      <c r="L778"/>
      <c r="M778"/>
    </row>
    <row r="779" spans="1:13" x14ac:dyDescent="0.2">
      <c r="A779" t="s">
        <v>919</v>
      </c>
      <c r="B779"/>
      <c r="C779"/>
      <c r="D779"/>
      <c r="E779"/>
      <c r="F779"/>
      <c r="G779"/>
      <c r="H779"/>
      <c r="I779"/>
      <c r="J779"/>
      <c r="K779"/>
      <c r="L779"/>
      <c r="M779"/>
    </row>
    <row r="780" spans="1:13" x14ac:dyDescent="0.2">
      <c r="A780" t="s">
        <v>920</v>
      </c>
      <c r="B780"/>
      <c r="C780"/>
      <c r="D780"/>
      <c r="E780"/>
      <c r="F780"/>
      <c r="G780"/>
      <c r="H780"/>
      <c r="I780"/>
      <c r="J780"/>
      <c r="K780"/>
      <c r="L780"/>
      <c r="M780"/>
    </row>
    <row r="781" spans="1:13" x14ac:dyDescent="0.2">
      <c r="A781" t="s">
        <v>921</v>
      </c>
      <c r="B781"/>
      <c r="C781"/>
      <c r="D781"/>
      <c r="E781"/>
      <c r="F781"/>
      <c r="G781"/>
      <c r="H781"/>
      <c r="I781"/>
      <c r="J781"/>
      <c r="K781"/>
      <c r="L781"/>
      <c r="M781"/>
    </row>
    <row r="782" spans="1:13" x14ac:dyDescent="0.2">
      <c r="A782" t="s">
        <v>922</v>
      </c>
      <c r="B782"/>
      <c r="C782"/>
      <c r="D782"/>
      <c r="E782"/>
      <c r="F782"/>
      <c r="G782"/>
      <c r="H782"/>
      <c r="I782"/>
      <c r="J782"/>
      <c r="K782"/>
      <c r="L782"/>
      <c r="M782"/>
    </row>
    <row r="783" spans="1:13" x14ac:dyDescent="0.2">
      <c r="A783" t="s">
        <v>923</v>
      </c>
      <c r="B783"/>
      <c r="C783"/>
      <c r="D783"/>
      <c r="E783"/>
      <c r="F783"/>
      <c r="G783"/>
      <c r="H783"/>
      <c r="I783"/>
      <c r="J783"/>
      <c r="K783"/>
      <c r="L783"/>
      <c r="M783"/>
    </row>
    <row r="784" spans="1:13" x14ac:dyDescent="0.2">
      <c r="A784" t="s">
        <v>924</v>
      </c>
      <c r="B784"/>
      <c r="C784"/>
      <c r="D784"/>
      <c r="E784"/>
      <c r="F784"/>
      <c r="G784"/>
      <c r="H784"/>
      <c r="I784"/>
      <c r="J784"/>
      <c r="K784"/>
      <c r="L784"/>
      <c r="M784"/>
    </row>
    <row r="785" spans="1:13" x14ac:dyDescent="0.2">
      <c r="A785" t="s">
        <v>925</v>
      </c>
      <c r="B785"/>
      <c r="C785"/>
      <c r="D785"/>
      <c r="E785"/>
      <c r="F785"/>
      <c r="G785"/>
      <c r="H785"/>
      <c r="I785"/>
      <c r="J785"/>
      <c r="K785"/>
      <c r="L785"/>
      <c r="M785"/>
    </row>
    <row r="786" spans="1:13" x14ac:dyDescent="0.2">
      <c r="A786" t="s">
        <v>926</v>
      </c>
      <c r="B786"/>
      <c r="C786"/>
      <c r="D786"/>
      <c r="E786"/>
      <c r="F786"/>
      <c r="G786"/>
      <c r="H786"/>
      <c r="I786"/>
      <c r="J786"/>
      <c r="K786"/>
      <c r="L786"/>
      <c r="M786"/>
    </row>
    <row r="787" spans="1:13" x14ac:dyDescent="0.2">
      <c r="A787" t="s">
        <v>927</v>
      </c>
      <c r="B787"/>
      <c r="C787"/>
      <c r="D787"/>
      <c r="E787"/>
      <c r="F787"/>
      <c r="G787"/>
      <c r="H787"/>
      <c r="I787"/>
      <c r="J787"/>
      <c r="K787"/>
      <c r="L787"/>
      <c r="M787"/>
    </row>
    <row r="788" spans="1:13" x14ac:dyDescent="0.2">
      <c r="A788" t="s">
        <v>928</v>
      </c>
      <c r="B788"/>
      <c r="C788"/>
      <c r="D788"/>
      <c r="E788"/>
      <c r="F788"/>
      <c r="G788"/>
      <c r="H788"/>
      <c r="I788"/>
      <c r="J788"/>
      <c r="K788"/>
      <c r="L788"/>
      <c r="M788"/>
    </row>
    <row r="789" spans="1:13" x14ac:dyDescent="0.2">
      <c r="A789" t="s">
        <v>929</v>
      </c>
      <c r="B789"/>
      <c r="C789"/>
      <c r="D789"/>
      <c r="E789"/>
      <c r="F789"/>
      <c r="G789"/>
      <c r="H789"/>
      <c r="I789"/>
      <c r="J789"/>
      <c r="K789"/>
      <c r="L789"/>
      <c r="M789"/>
    </row>
    <row r="790" spans="1:13" x14ac:dyDescent="0.2">
      <c r="A790" t="s">
        <v>930</v>
      </c>
      <c r="B790"/>
      <c r="C790"/>
      <c r="D790"/>
      <c r="E790"/>
      <c r="F790"/>
      <c r="G790"/>
      <c r="H790"/>
      <c r="I790"/>
      <c r="J790"/>
      <c r="K790"/>
      <c r="L790"/>
      <c r="M790"/>
    </row>
    <row r="791" spans="1:13" x14ac:dyDescent="0.2">
      <c r="A791" t="s">
        <v>931</v>
      </c>
      <c r="B791"/>
      <c r="C791"/>
      <c r="D791"/>
      <c r="E791"/>
      <c r="F791"/>
      <c r="G791"/>
      <c r="H791"/>
      <c r="I791"/>
      <c r="J791"/>
      <c r="K791"/>
      <c r="L791"/>
      <c r="M791"/>
    </row>
    <row r="792" spans="1:13" x14ac:dyDescent="0.2">
      <c r="A792" t="s">
        <v>932</v>
      </c>
      <c r="B792"/>
      <c r="C792"/>
      <c r="D792"/>
      <c r="E792"/>
      <c r="F792"/>
      <c r="G792"/>
      <c r="H792"/>
      <c r="I792"/>
      <c r="J792"/>
      <c r="K792"/>
      <c r="L792"/>
      <c r="M792"/>
    </row>
    <row r="793" spans="1:13" x14ac:dyDescent="0.2">
      <c r="A793" t="s">
        <v>933</v>
      </c>
      <c r="B793"/>
      <c r="C793"/>
      <c r="D793"/>
      <c r="E793"/>
      <c r="F793"/>
      <c r="G793"/>
      <c r="H793"/>
      <c r="I793"/>
      <c r="J793"/>
      <c r="K793"/>
      <c r="L793"/>
      <c r="M793"/>
    </row>
    <row r="794" spans="1:13" x14ac:dyDescent="0.2">
      <c r="A794" t="s">
        <v>934</v>
      </c>
      <c r="B794"/>
      <c r="C794"/>
      <c r="D794"/>
      <c r="E794"/>
      <c r="F794"/>
      <c r="G794"/>
      <c r="H794"/>
      <c r="I794"/>
      <c r="J794"/>
      <c r="K794"/>
      <c r="L794"/>
      <c r="M794"/>
    </row>
    <row r="795" spans="1:13" x14ac:dyDescent="0.2">
      <c r="A795" t="s">
        <v>935</v>
      </c>
      <c r="B795"/>
      <c r="C795"/>
      <c r="D795"/>
      <c r="E795"/>
      <c r="F795"/>
      <c r="G795"/>
      <c r="H795"/>
      <c r="I795"/>
      <c r="J795"/>
      <c r="K795"/>
      <c r="L795"/>
      <c r="M795"/>
    </row>
    <row r="796" spans="1:13" x14ac:dyDescent="0.2">
      <c r="A796" t="s">
        <v>936</v>
      </c>
      <c r="B796"/>
      <c r="C796"/>
      <c r="D796"/>
      <c r="E796"/>
      <c r="F796"/>
      <c r="G796"/>
      <c r="H796"/>
      <c r="I796"/>
      <c r="J796"/>
      <c r="K796"/>
      <c r="L796"/>
      <c r="M796"/>
    </row>
    <row r="797" spans="1:13" x14ac:dyDescent="0.2">
      <c r="A797" t="s">
        <v>937</v>
      </c>
      <c r="B797"/>
      <c r="C797"/>
      <c r="D797"/>
      <c r="E797"/>
      <c r="F797"/>
      <c r="G797"/>
      <c r="H797"/>
      <c r="I797"/>
      <c r="J797"/>
      <c r="K797"/>
      <c r="L797"/>
      <c r="M797"/>
    </row>
    <row r="798" spans="1:13" x14ac:dyDescent="0.2">
      <c r="A798" t="s">
        <v>938</v>
      </c>
      <c r="B798"/>
      <c r="C798"/>
      <c r="D798"/>
      <c r="E798"/>
      <c r="F798"/>
      <c r="G798"/>
      <c r="H798"/>
      <c r="I798"/>
      <c r="J798"/>
      <c r="K798"/>
      <c r="L798"/>
      <c r="M798"/>
    </row>
    <row r="799" spans="1:13" x14ac:dyDescent="0.2">
      <c r="A799" t="s">
        <v>939</v>
      </c>
      <c r="B799"/>
      <c r="C799"/>
      <c r="D799"/>
      <c r="E799"/>
      <c r="F799"/>
      <c r="G799"/>
      <c r="H799"/>
      <c r="I799"/>
      <c r="J799"/>
      <c r="K799"/>
      <c r="L799"/>
      <c r="M799"/>
    </row>
    <row r="800" spans="1:13" x14ac:dyDescent="0.2">
      <c r="A800" t="s">
        <v>940</v>
      </c>
      <c r="B800"/>
      <c r="C800"/>
      <c r="D800"/>
      <c r="E800"/>
      <c r="F800"/>
      <c r="G800"/>
      <c r="H800"/>
      <c r="I800"/>
      <c r="J800"/>
      <c r="K800"/>
      <c r="L800"/>
      <c r="M800"/>
    </row>
    <row r="801" spans="1:13" x14ac:dyDescent="0.2">
      <c r="A801" t="s">
        <v>941</v>
      </c>
      <c r="B801"/>
      <c r="C801"/>
      <c r="D801"/>
      <c r="E801"/>
      <c r="F801"/>
      <c r="G801"/>
      <c r="H801"/>
      <c r="I801"/>
      <c r="J801"/>
      <c r="K801"/>
      <c r="L801"/>
      <c r="M801"/>
    </row>
    <row r="802" spans="1:13" x14ac:dyDescent="0.2">
      <c r="A802" t="s">
        <v>942</v>
      </c>
      <c r="B802"/>
      <c r="C802"/>
      <c r="D802"/>
      <c r="E802"/>
      <c r="F802"/>
      <c r="G802"/>
      <c r="H802"/>
      <c r="I802"/>
      <c r="J802"/>
      <c r="K802"/>
      <c r="L802"/>
      <c r="M802"/>
    </row>
    <row r="803" spans="1:13" x14ac:dyDescent="0.2">
      <c r="A803" t="s">
        <v>943</v>
      </c>
      <c r="B803"/>
      <c r="C803"/>
      <c r="D803"/>
      <c r="E803"/>
      <c r="F803"/>
      <c r="G803"/>
      <c r="H803"/>
      <c r="I803"/>
      <c r="J803"/>
      <c r="K803"/>
      <c r="L803"/>
      <c r="M803"/>
    </row>
    <row r="804" spans="1:13" x14ac:dyDescent="0.2">
      <c r="A804" t="s">
        <v>944</v>
      </c>
      <c r="B804"/>
      <c r="C804"/>
      <c r="D804"/>
      <c r="E804"/>
      <c r="F804"/>
      <c r="G804"/>
      <c r="H804"/>
      <c r="I804"/>
      <c r="J804"/>
      <c r="K804"/>
      <c r="L804"/>
      <c r="M804"/>
    </row>
    <row r="805" spans="1:13" x14ac:dyDescent="0.2">
      <c r="A805" t="s">
        <v>945</v>
      </c>
      <c r="B805"/>
      <c r="C805"/>
      <c r="D805"/>
      <c r="E805"/>
      <c r="F805"/>
      <c r="G805"/>
      <c r="H805"/>
      <c r="I805"/>
      <c r="J805"/>
      <c r="K805"/>
      <c r="L805"/>
      <c r="M805"/>
    </row>
    <row r="806" spans="1:13" x14ac:dyDescent="0.2">
      <c r="A806" t="s">
        <v>946</v>
      </c>
      <c r="B806"/>
      <c r="C806"/>
      <c r="D806"/>
      <c r="E806"/>
      <c r="F806"/>
      <c r="G806"/>
      <c r="H806"/>
      <c r="I806"/>
      <c r="J806"/>
      <c r="K806"/>
      <c r="L806"/>
      <c r="M806"/>
    </row>
    <row r="807" spans="1:13" x14ac:dyDescent="0.2">
      <c r="A807" t="s">
        <v>947</v>
      </c>
      <c r="B807"/>
      <c r="C807"/>
      <c r="D807"/>
      <c r="E807"/>
      <c r="F807"/>
      <c r="G807"/>
      <c r="H807"/>
      <c r="I807"/>
      <c r="J807"/>
      <c r="K807"/>
      <c r="L807"/>
      <c r="M807"/>
    </row>
    <row r="808" spans="1:13" x14ac:dyDescent="0.2">
      <c r="A808" t="s">
        <v>948</v>
      </c>
      <c r="B808"/>
      <c r="C808"/>
      <c r="D808"/>
      <c r="E808"/>
      <c r="F808"/>
      <c r="G808"/>
      <c r="H808"/>
      <c r="I808"/>
      <c r="J808"/>
      <c r="K808"/>
      <c r="L808"/>
      <c r="M808"/>
    </row>
    <row r="809" spans="1:13" x14ac:dyDescent="0.2">
      <c r="A809" t="s">
        <v>949</v>
      </c>
      <c r="B809"/>
      <c r="C809"/>
      <c r="D809"/>
      <c r="E809"/>
      <c r="F809"/>
      <c r="G809"/>
      <c r="H809"/>
      <c r="I809"/>
      <c r="J809"/>
      <c r="K809"/>
      <c r="L809"/>
      <c r="M809"/>
    </row>
    <row r="810" spans="1:13" x14ac:dyDescent="0.2">
      <c r="A810" t="s">
        <v>950</v>
      </c>
      <c r="B810"/>
      <c r="C810"/>
      <c r="D810"/>
      <c r="E810"/>
      <c r="F810"/>
      <c r="G810"/>
      <c r="H810"/>
      <c r="I810"/>
      <c r="J810"/>
      <c r="K810"/>
      <c r="L810"/>
      <c r="M810"/>
    </row>
    <row r="811" spans="1:13" x14ac:dyDescent="0.2">
      <c r="A811" t="s">
        <v>951</v>
      </c>
      <c r="B811"/>
      <c r="C811"/>
      <c r="D811"/>
      <c r="E811"/>
      <c r="F811"/>
      <c r="G811"/>
      <c r="H811"/>
      <c r="I811"/>
      <c r="J811"/>
      <c r="K811"/>
      <c r="L811"/>
      <c r="M811"/>
    </row>
    <row r="812" spans="1:13" x14ac:dyDescent="0.2">
      <c r="A812" t="s">
        <v>952</v>
      </c>
      <c r="B812"/>
      <c r="C812"/>
      <c r="D812"/>
      <c r="E812"/>
      <c r="F812"/>
      <c r="G812"/>
      <c r="H812"/>
      <c r="I812"/>
      <c r="J812"/>
      <c r="K812"/>
      <c r="L812"/>
      <c r="M812"/>
    </row>
    <row r="813" spans="1:13" x14ac:dyDescent="0.2">
      <c r="A813" t="s">
        <v>953</v>
      </c>
      <c r="B813"/>
      <c r="C813"/>
      <c r="D813"/>
      <c r="E813"/>
      <c r="F813"/>
      <c r="G813"/>
      <c r="H813"/>
      <c r="I813"/>
      <c r="J813"/>
      <c r="K813"/>
      <c r="L813"/>
      <c r="M813"/>
    </row>
    <row r="814" spans="1:13" x14ac:dyDescent="0.2">
      <c r="A814" t="s">
        <v>954</v>
      </c>
      <c r="B814"/>
      <c r="C814"/>
      <c r="D814"/>
      <c r="E814"/>
      <c r="F814"/>
      <c r="G814"/>
      <c r="H814"/>
      <c r="I814"/>
      <c r="J814"/>
      <c r="K814"/>
      <c r="L814"/>
      <c r="M814"/>
    </row>
    <row r="815" spans="1:13" x14ac:dyDescent="0.2">
      <c r="A815" t="s">
        <v>955</v>
      </c>
      <c r="B815"/>
      <c r="C815"/>
      <c r="D815"/>
      <c r="E815"/>
      <c r="F815"/>
      <c r="G815"/>
      <c r="H815"/>
      <c r="I815"/>
      <c r="J815"/>
      <c r="K815"/>
      <c r="L815"/>
      <c r="M815"/>
    </row>
    <row r="816" spans="1:13" x14ac:dyDescent="0.2">
      <c r="A816" t="s">
        <v>956</v>
      </c>
      <c r="B816"/>
      <c r="C816"/>
      <c r="D816"/>
      <c r="E816"/>
      <c r="F816"/>
      <c r="G816"/>
      <c r="H816"/>
      <c r="I816"/>
      <c r="J816"/>
      <c r="K816"/>
      <c r="L816"/>
      <c r="M816"/>
    </row>
    <row r="817" spans="1:13" x14ac:dyDescent="0.2">
      <c r="A817" t="s">
        <v>957</v>
      </c>
      <c r="B817"/>
      <c r="C817"/>
      <c r="D817"/>
      <c r="E817"/>
      <c r="F817"/>
      <c r="G817"/>
      <c r="H817"/>
      <c r="I817"/>
      <c r="J817"/>
      <c r="K817"/>
      <c r="L817"/>
      <c r="M817"/>
    </row>
    <row r="818" spans="1:13" x14ac:dyDescent="0.2">
      <c r="A818" t="s">
        <v>958</v>
      </c>
      <c r="B818"/>
      <c r="C818"/>
      <c r="D818"/>
      <c r="E818"/>
      <c r="F818"/>
      <c r="G818"/>
      <c r="H818"/>
      <c r="I818"/>
      <c r="J818"/>
      <c r="K818"/>
      <c r="L818"/>
      <c r="M818"/>
    </row>
    <row r="819" spans="1:13" x14ac:dyDescent="0.2">
      <c r="A819" t="s">
        <v>959</v>
      </c>
      <c r="B819"/>
      <c r="C819"/>
      <c r="D819"/>
      <c r="E819"/>
      <c r="F819"/>
      <c r="G819"/>
      <c r="H819"/>
      <c r="I819"/>
      <c r="J819"/>
      <c r="K819"/>
      <c r="L819"/>
      <c r="M819"/>
    </row>
    <row r="820" spans="1:13" x14ac:dyDescent="0.2">
      <c r="A820" t="s">
        <v>960</v>
      </c>
      <c r="B820"/>
      <c r="C820"/>
      <c r="D820"/>
      <c r="E820"/>
      <c r="F820"/>
      <c r="G820"/>
      <c r="H820"/>
      <c r="I820"/>
      <c r="J820"/>
      <c r="K820"/>
      <c r="L820"/>
      <c r="M820"/>
    </row>
    <row r="821" spans="1:13" x14ac:dyDescent="0.2">
      <c r="A821" t="s">
        <v>961</v>
      </c>
      <c r="B821"/>
      <c r="C821"/>
      <c r="D821"/>
      <c r="E821"/>
      <c r="F821"/>
      <c r="G821"/>
      <c r="H821"/>
      <c r="I821"/>
      <c r="J821"/>
      <c r="K821"/>
      <c r="L821"/>
      <c r="M821"/>
    </row>
    <row r="822" spans="1:13" x14ac:dyDescent="0.2">
      <c r="A822" t="s">
        <v>962</v>
      </c>
      <c r="B822"/>
      <c r="C822"/>
      <c r="D822"/>
      <c r="E822"/>
      <c r="F822"/>
      <c r="G822"/>
      <c r="H822"/>
      <c r="I822"/>
      <c r="J822"/>
      <c r="K822"/>
      <c r="L822"/>
      <c r="M822"/>
    </row>
    <row r="823" spans="1:13" x14ac:dyDescent="0.2">
      <c r="A823" t="s">
        <v>963</v>
      </c>
      <c r="B823"/>
      <c r="C823"/>
      <c r="D823"/>
      <c r="E823"/>
      <c r="F823"/>
      <c r="G823"/>
      <c r="H823"/>
      <c r="I823"/>
      <c r="J823"/>
      <c r="K823"/>
      <c r="L823"/>
      <c r="M823"/>
    </row>
    <row r="824" spans="1:13" x14ac:dyDescent="0.2">
      <c r="A824" t="s">
        <v>964</v>
      </c>
      <c r="B824"/>
      <c r="C824"/>
      <c r="D824"/>
      <c r="E824"/>
      <c r="F824"/>
      <c r="G824"/>
      <c r="H824"/>
      <c r="I824"/>
      <c r="J824"/>
      <c r="K824"/>
      <c r="L824"/>
      <c r="M824"/>
    </row>
    <row r="825" spans="1:13" x14ac:dyDescent="0.2">
      <c r="A825" t="s">
        <v>965</v>
      </c>
      <c r="B825"/>
      <c r="C825"/>
      <c r="D825"/>
      <c r="E825"/>
      <c r="F825"/>
      <c r="G825"/>
      <c r="H825"/>
      <c r="I825"/>
      <c r="J825"/>
      <c r="K825"/>
      <c r="L825"/>
      <c r="M825"/>
    </row>
    <row r="826" spans="1:13" x14ac:dyDescent="0.2">
      <c r="A826" t="s">
        <v>966</v>
      </c>
      <c r="B826"/>
      <c r="C826"/>
      <c r="D826"/>
      <c r="E826"/>
      <c r="F826"/>
      <c r="G826"/>
      <c r="H826"/>
      <c r="I826"/>
      <c r="J826"/>
      <c r="K826"/>
      <c r="L826"/>
      <c r="M826"/>
    </row>
    <row r="827" spans="1:13" x14ac:dyDescent="0.2">
      <c r="A827" t="s">
        <v>967</v>
      </c>
      <c r="B827"/>
      <c r="C827"/>
      <c r="D827"/>
      <c r="E827"/>
      <c r="F827"/>
      <c r="G827"/>
      <c r="H827"/>
      <c r="I827"/>
      <c r="J827"/>
      <c r="K827"/>
      <c r="L827"/>
      <c r="M827"/>
    </row>
    <row r="828" spans="1:13" x14ac:dyDescent="0.2">
      <c r="A828" t="s">
        <v>968</v>
      </c>
      <c r="B828"/>
      <c r="C828"/>
      <c r="D828"/>
      <c r="E828"/>
      <c r="F828"/>
      <c r="G828"/>
      <c r="H828"/>
      <c r="I828"/>
      <c r="J828"/>
      <c r="K828"/>
      <c r="L828"/>
      <c r="M828"/>
    </row>
    <row r="829" spans="1:13" x14ac:dyDescent="0.2">
      <c r="A829" t="s">
        <v>969</v>
      </c>
      <c r="B829"/>
      <c r="C829"/>
      <c r="D829"/>
      <c r="E829"/>
      <c r="F829"/>
      <c r="G829"/>
      <c r="H829"/>
      <c r="I829"/>
      <c r="J829"/>
      <c r="K829"/>
      <c r="L829"/>
      <c r="M829"/>
    </row>
    <row r="830" spans="1:13" x14ac:dyDescent="0.2">
      <c r="A830" t="s">
        <v>970</v>
      </c>
      <c r="B830"/>
      <c r="C830"/>
      <c r="D830"/>
      <c r="E830"/>
      <c r="F830"/>
      <c r="G830"/>
      <c r="H830"/>
      <c r="I830"/>
      <c r="J830"/>
      <c r="K830"/>
      <c r="L830"/>
      <c r="M830"/>
    </row>
    <row r="831" spans="1:13" x14ac:dyDescent="0.2">
      <c r="A831" t="s">
        <v>971</v>
      </c>
      <c r="B831"/>
      <c r="C831"/>
      <c r="D831"/>
      <c r="E831"/>
      <c r="F831"/>
      <c r="G831"/>
      <c r="H831"/>
      <c r="I831"/>
      <c r="J831"/>
      <c r="K831"/>
      <c r="L831"/>
      <c r="M831"/>
    </row>
    <row r="832" spans="1:13" x14ac:dyDescent="0.2">
      <c r="A832" t="s">
        <v>972</v>
      </c>
      <c r="B832"/>
      <c r="C832"/>
      <c r="D832"/>
      <c r="E832"/>
      <c r="F832"/>
      <c r="G832"/>
      <c r="H832"/>
      <c r="I832"/>
      <c r="J832"/>
      <c r="K832"/>
      <c r="L832"/>
      <c r="M832"/>
    </row>
    <row r="833" spans="1:13" x14ac:dyDescent="0.2">
      <c r="A833" t="s">
        <v>973</v>
      </c>
      <c r="B833"/>
      <c r="C833"/>
      <c r="D833"/>
      <c r="E833"/>
      <c r="F833"/>
      <c r="G833"/>
      <c r="H833"/>
      <c r="I833"/>
      <c r="J833"/>
      <c r="K833"/>
      <c r="L833"/>
      <c r="M833"/>
    </row>
    <row r="834" spans="1:13" x14ac:dyDescent="0.2">
      <c r="A834" t="s">
        <v>974</v>
      </c>
      <c r="B834"/>
      <c r="C834"/>
      <c r="D834"/>
      <c r="E834"/>
      <c r="F834"/>
      <c r="G834"/>
      <c r="H834"/>
      <c r="I834"/>
      <c r="J834"/>
      <c r="K834"/>
      <c r="L834"/>
      <c r="M834"/>
    </row>
    <row r="835" spans="1:13" x14ac:dyDescent="0.2">
      <c r="A835" t="s">
        <v>975</v>
      </c>
      <c r="B835"/>
      <c r="C835"/>
      <c r="D835"/>
      <c r="E835"/>
      <c r="F835"/>
      <c r="G835"/>
      <c r="H835"/>
      <c r="I835"/>
      <c r="J835"/>
      <c r="K835"/>
      <c r="L835"/>
      <c r="M835"/>
    </row>
    <row r="836" spans="1:13" x14ac:dyDescent="0.2">
      <c r="A836" t="s">
        <v>976</v>
      </c>
      <c r="B836"/>
      <c r="C836"/>
      <c r="D836"/>
      <c r="E836"/>
      <c r="F836"/>
      <c r="G836"/>
      <c r="H836"/>
      <c r="I836"/>
      <c r="J836"/>
      <c r="K836"/>
      <c r="L836"/>
      <c r="M836"/>
    </row>
    <row r="837" spans="1:13" x14ac:dyDescent="0.2">
      <c r="A837" t="s">
        <v>977</v>
      </c>
      <c r="B837"/>
      <c r="C837"/>
      <c r="D837"/>
      <c r="E837"/>
      <c r="F837"/>
      <c r="G837"/>
      <c r="H837"/>
      <c r="I837"/>
      <c r="J837"/>
      <c r="K837"/>
      <c r="L837"/>
      <c r="M837"/>
    </row>
    <row r="838" spans="1:13" x14ac:dyDescent="0.2">
      <c r="A838" t="s">
        <v>978</v>
      </c>
      <c r="B838"/>
      <c r="C838"/>
      <c r="D838"/>
      <c r="E838"/>
      <c r="F838"/>
      <c r="G838"/>
      <c r="H838"/>
      <c r="I838"/>
      <c r="J838"/>
      <c r="K838"/>
      <c r="L838"/>
      <c r="M838"/>
    </row>
    <row r="839" spans="1:13" x14ac:dyDescent="0.2">
      <c r="A839" t="s">
        <v>979</v>
      </c>
      <c r="B839"/>
      <c r="C839"/>
      <c r="D839"/>
      <c r="E839"/>
      <c r="F839"/>
      <c r="G839"/>
      <c r="H839"/>
      <c r="I839"/>
      <c r="J839"/>
      <c r="K839"/>
      <c r="L839"/>
      <c r="M839"/>
    </row>
    <row r="840" spans="1:13" x14ac:dyDescent="0.2">
      <c r="A840" t="s">
        <v>980</v>
      </c>
      <c r="B840"/>
      <c r="C840"/>
      <c r="D840"/>
      <c r="E840"/>
      <c r="F840"/>
      <c r="G840"/>
      <c r="H840"/>
      <c r="I840"/>
      <c r="J840"/>
      <c r="K840"/>
      <c r="L840"/>
      <c r="M840"/>
    </row>
    <row r="841" spans="1:13" x14ac:dyDescent="0.2">
      <c r="A841" t="s">
        <v>981</v>
      </c>
      <c r="B841"/>
      <c r="C841"/>
      <c r="D841"/>
      <c r="E841"/>
      <c r="F841"/>
      <c r="G841"/>
      <c r="H841"/>
      <c r="I841"/>
      <c r="J841"/>
      <c r="K841"/>
      <c r="L841"/>
      <c r="M841"/>
    </row>
    <row r="842" spans="1:13" x14ac:dyDescent="0.2">
      <c r="A842" t="s">
        <v>982</v>
      </c>
      <c r="B842"/>
      <c r="C842"/>
      <c r="D842"/>
      <c r="E842"/>
      <c r="F842"/>
      <c r="G842"/>
      <c r="H842"/>
      <c r="I842"/>
      <c r="J842"/>
      <c r="K842"/>
      <c r="L842"/>
      <c r="M842"/>
    </row>
    <row r="843" spans="1:13" x14ac:dyDescent="0.2">
      <c r="A843" t="s">
        <v>983</v>
      </c>
      <c r="B843"/>
      <c r="C843"/>
      <c r="D843"/>
      <c r="E843"/>
      <c r="F843"/>
      <c r="G843"/>
      <c r="H843"/>
      <c r="I843"/>
      <c r="J843"/>
      <c r="K843"/>
      <c r="L843"/>
      <c r="M843"/>
    </row>
    <row r="844" spans="1:13" x14ac:dyDescent="0.2">
      <c r="A844" t="s">
        <v>984</v>
      </c>
      <c r="B844"/>
      <c r="C844"/>
      <c r="D844"/>
      <c r="E844"/>
      <c r="F844"/>
      <c r="G844"/>
      <c r="H844"/>
      <c r="I844"/>
      <c r="J844"/>
      <c r="K844"/>
      <c r="L844"/>
      <c r="M844"/>
    </row>
    <row r="845" spans="1:13" x14ac:dyDescent="0.2">
      <c r="A845" t="s">
        <v>985</v>
      </c>
      <c r="B845"/>
      <c r="C845"/>
      <c r="D845"/>
      <c r="E845"/>
      <c r="F845"/>
      <c r="G845"/>
      <c r="H845"/>
      <c r="I845"/>
      <c r="J845"/>
      <c r="K845"/>
      <c r="L845"/>
      <c r="M845"/>
    </row>
    <row r="846" spans="1:13" x14ac:dyDescent="0.2">
      <c r="A846" t="s">
        <v>986</v>
      </c>
      <c r="B846"/>
      <c r="C846"/>
      <c r="D846"/>
      <c r="E846"/>
      <c r="F846"/>
      <c r="G846"/>
      <c r="H846"/>
      <c r="I846"/>
      <c r="J846"/>
      <c r="K846"/>
      <c r="L846"/>
      <c r="M846"/>
    </row>
    <row r="847" spans="1:13" x14ac:dyDescent="0.2">
      <c r="A847" t="s">
        <v>987</v>
      </c>
      <c r="B847"/>
      <c r="C847"/>
      <c r="D847"/>
      <c r="E847"/>
      <c r="F847"/>
      <c r="G847"/>
      <c r="H847"/>
      <c r="I847"/>
      <c r="J847"/>
      <c r="K847"/>
      <c r="L847"/>
      <c r="M847"/>
    </row>
    <row r="848" spans="1:13" x14ac:dyDescent="0.2">
      <c r="A848" t="s">
        <v>988</v>
      </c>
      <c r="B848"/>
      <c r="C848"/>
      <c r="D848"/>
      <c r="E848"/>
      <c r="F848"/>
      <c r="G848"/>
      <c r="H848"/>
      <c r="I848"/>
      <c r="J848"/>
      <c r="K848"/>
      <c r="L848"/>
      <c r="M848"/>
    </row>
    <row r="849" spans="1:13" x14ac:dyDescent="0.2">
      <c r="A849" t="s">
        <v>989</v>
      </c>
      <c r="B849"/>
      <c r="C849"/>
      <c r="D849"/>
      <c r="E849"/>
      <c r="F849"/>
      <c r="G849"/>
      <c r="H849"/>
      <c r="I849"/>
      <c r="J849"/>
      <c r="K849"/>
      <c r="L849"/>
      <c r="M849"/>
    </row>
    <row r="850" spans="1:13" x14ac:dyDescent="0.2">
      <c r="A850" t="s">
        <v>990</v>
      </c>
      <c r="B850"/>
      <c r="C850"/>
      <c r="D850"/>
      <c r="E850"/>
      <c r="F850"/>
      <c r="G850"/>
      <c r="H850"/>
      <c r="I850"/>
      <c r="J850"/>
      <c r="K850"/>
      <c r="L850"/>
      <c r="M850"/>
    </row>
    <row r="851" spans="1:13" x14ac:dyDescent="0.2">
      <c r="A851" t="s">
        <v>991</v>
      </c>
      <c r="B851"/>
      <c r="C851"/>
      <c r="D851"/>
      <c r="E851"/>
      <c r="F851"/>
      <c r="G851"/>
      <c r="H851"/>
      <c r="I851"/>
      <c r="J851"/>
      <c r="K851"/>
      <c r="L851"/>
      <c r="M851"/>
    </row>
    <row r="852" spans="1:13" x14ac:dyDescent="0.2">
      <c r="A852" t="s">
        <v>992</v>
      </c>
      <c r="B852"/>
      <c r="C852"/>
      <c r="D852"/>
      <c r="E852"/>
      <c r="F852"/>
      <c r="G852"/>
      <c r="H852"/>
      <c r="I852"/>
      <c r="J852"/>
      <c r="K852"/>
      <c r="L852"/>
      <c r="M852"/>
    </row>
    <row r="853" spans="1:13" x14ac:dyDescent="0.2">
      <c r="A853" t="s">
        <v>993</v>
      </c>
      <c r="B853"/>
      <c r="C853"/>
      <c r="D853"/>
      <c r="E853"/>
      <c r="F853"/>
      <c r="G853"/>
      <c r="H853"/>
      <c r="I853"/>
      <c r="J853"/>
      <c r="K853"/>
      <c r="L853"/>
      <c r="M853"/>
    </row>
    <row r="854" spans="1:13" x14ac:dyDescent="0.2">
      <c r="A854" t="s">
        <v>994</v>
      </c>
      <c r="B854"/>
      <c r="C854"/>
      <c r="D854"/>
      <c r="E854"/>
      <c r="F854"/>
      <c r="G854"/>
      <c r="H854"/>
      <c r="I854"/>
      <c r="J854"/>
      <c r="K854"/>
      <c r="L854"/>
      <c r="M854"/>
    </row>
    <row r="855" spans="1:13" x14ac:dyDescent="0.2">
      <c r="A855" t="s">
        <v>995</v>
      </c>
      <c r="B855"/>
      <c r="C855"/>
      <c r="D855"/>
      <c r="E855"/>
      <c r="F855"/>
      <c r="G855"/>
      <c r="H855"/>
      <c r="I855"/>
      <c r="J855"/>
      <c r="K855"/>
      <c r="L855"/>
      <c r="M855"/>
    </row>
    <row r="856" spans="1:13" x14ac:dyDescent="0.2">
      <c r="A856" t="s">
        <v>996</v>
      </c>
      <c r="B856"/>
      <c r="C856"/>
      <c r="D856"/>
      <c r="E856"/>
      <c r="F856"/>
      <c r="G856"/>
      <c r="H856"/>
      <c r="I856"/>
      <c r="J856"/>
      <c r="K856"/>
      <c r="L856"/>
      <c r="M856"/>
    </row>
    <row r="857" spans="1:13" x14ac:dyDescent="0.2">
      <c r="A857" t="s">
        <v>997</v>
      </c>
      <c r="B857"/>
      <c r="C857"/>
      <c r="D857"/>
      <c r="E857"/>
      <c r="F857"/>
      <c r="G857"/>
      <c r="H857"/>
      <c r="I857"/>
      <c r="J857"/>
      <c r="K857"/>
      <c r="L857"/>
      <c r="M857"/>
    </row>
    <row r="858" spans="1:13" x14ac:dyDescent="0.2">
      <c r="A858" t="s">
        <v>998</v>
      </c>
      <c r="B858"/>
      <c r="C858"/>
      <c r="D858"/>
      <c r="E858"/>
      <c r="F858"/>
      <c r="G858"/>
      <c r="H858"/>
      <c r="I858"/>
      <c r="J858"/>
      <c r="K858"/>
      <c r="L858"/>
      <c r="M858"/>
    </row>
    <row r="859" spans="1:13" x14ac:dyDescent="0.2">
      <c r="A859" t="s">
        <v>999</v>
      </c>
      <c r="B859"/>
      <c r="C859"/>
      <c r="D859"/>
      <c r="E859"/>
      <c r="F859"/>
      <c r="G859"/>
      <c r="H859"/>
      <c r="I859"/>
      <c r="J859"/>
      <c r="K859"/>
      <c r="L859"/>
      <c r="M859"/>
    </row>
    <row r="860" spans="1:13" x14ac:dyDescent="0.2">
      <c r="A860" t="s">
        <v>1000</v>
      </c>
      <c r="B860"/>
      <c r="C860"/>
      <c r="D860"/>
      <c r="E860"/>
      <c r="F860"/>
      <c r="G860"/>
      <c r="H860"/>
      <c r="I860"/>
      <c r="J860"/>
      <c r="K860"/>
      <c r="L860"/>
      <c r="M860"/>
    </row>
    <row r="861" spans="1:13" x14ac:dyDescent="0.2">
      <c r="A861" t="s">
        <v>1001</v>
      </c>
      <c r="B861"/>
      <c r="C861"/>
      <c r="D861"/>
      <c r="E861"/>
      <c r="F861"/>
      <c r="G861"/>
      <c r="H861"/>
      <c r="I861"/>
      <c r="J861"/>
      <c r="K861"/>
      <c r="L861"/>
      <c r="M861"/>
    </row>
    <row r="862" spans="1:13" x14ac:dyDescent="0.2">
      <c r="A862" t="s">
        <v>1002</v>
      </c>
      <c r="B862"/>
      <c r="C862"/>
      <c r="D862"/>
      <c r="E862"/>
      <c r="F862"/>
      <c r="G862"/>
      <c r="H862"/>
      <c r="I862"/>
      <c r="J862"/>
      <c r="K862"/>
      <c r="L862"/>
      <c r="M862"/>
    </row>
    <row r="863" spans="1:13" x14ac:dyDescent="0.2">
      <c r="A863" t="s">
        <v>1003</v>
      </c>
      <c r="B863"/>
      <c r="C863"/>
      <c r="D863"/>
      <c r="E863"/>
      <c r="F863"/>
      <c r="G863"/>
      <c r="H863"/>
      <c r="I863"/>
      <c r="J863"/>
      <c r="K863"/>
      <c r="L863"/>
      <c r="M863"/>
    </row>
    <row r="864" spans="1:13" x14ac:dyDescent="0.2">
      <c r="A864" t="s">
        <v>1004</v>
      </c>
      <c r="B864"/>
      <c r="C864"/>
      <c r="D864"/>
      <c r="E864"/>
      <c r="F864"/>
      <c r="G864"/>
      <c r="H864"/>
      <c r="I864"/>
      <c r="J864"/>
      <c r="K864"/>
      <c r="L864"/>
      <c r="M864"/>
    </row>
    <row r="865" spans="1:13" x14ac:dyDescent="0.2">
      <c r="A865" t="s">
        <v>1005</v>
      </c>
      <c r="B865"/>
      <c r="C865"/>
      <c r="D865"/>
      <c r="E865"/>
      <c r="F865"/>
      <c r="G865"/>
      <c r="H865"/>
      <c r="I865"/>
      <c r="J865"/>
      <c r="K865"/>
      <c r="L865"/>
      <c r="M865"/>
    </row>
    <row r="866" spans="1:13" x14ac:dyDescent="0.2">
      <c r="A866" t="s">
        <v>1006</v>
      </c>
      <c r="B866"/>
      <c r="C866"/>
      <c r="D866"/>
      <c r="E866"/>
      <c r="F866"/>
      <c r="G866"/>
      <c r="H866"/>
      <c r="I866"/>
      <c r="J866"/>
      <c r="K866"/>
      <c r="L866"/>
      <c r="M866"/>
    </row>
    <row r="867" spans="1:13" x14ac:dyDescent="0.2">
      <c r="A867" t="s">
        <v>1007</v>
      </c>
      <c r="B867"/>
      <c r="C867"/>
      <c r="D867"/>
      <c r="E867"/>
      <c r="F867"/>
      <c r="G867"/>
      <c r="H867"/>
      <c r="I867"/>
      <c r="J867"/>
      <c r="K867"/>
      <c r="L867"/>
      <c r="M867"/>
    </row>
    <row r="868" spans="1:13" x14ac:dyDescent="0.2">
      <c r="A868" t="s">
        <v>1008</v>
      </c>
      <c r="B868"/>
      <c r="C868"/>
      <c r="D868"/>
      <c r="E868"/>
      <c r="F868"/>
      <c r="G868"/>
      <c r="H868"/>
      <c r="I868"/>
      <c r="J868"/>
      <c r="K868"/>
      <c r="L868"/>
      <c r="M868"/>
    </row>
    <row r="869" spans="1:13" x14ac:dyDescent="0.2">
      <c r="A869" t="s">
        <v>1009</v>
      </c>
      <c r="B869"/>
      <c r="C869"/>
      <c r="D869"/>
      <c r="E869"/>
      <c r="F869"/>
      <c r="G869"/>
      <c r="H869"/>
      <c r="I869"/>
      <c r="J869"/>
      <c r="K869"/>
      <c r="L869"/>
      <c r="M869"/>
    </row>
    <row r="870" spans="1:13" x14ac:dyDescent="0.2">
      <c r="A870" t="s">
        <v>1010</v>
      </c>
      <c r="B870"/>
      <c r="C870"/>
      <c r="D870"/>
      <c r="E870"/>
      <c r="F870"/>
      <c r="G870"/>
      <c r="H870"/>
      <c r="I870"/>
      <c r="J870"/>
      <c r="K870"/>
      <c r="L870"/>
      <c r="M870"/>
    </row>
    <row r="871" spans="1:13" x14ac:dyDescent="0.2">
      <c r="A871" t="s">
        <v>1011</v>
      </c>
      <c r="B871"/>
      <c r="C871"/>
      <c r="D871"/>
      <c r="E871"/>
      <c r="F871"/>
      <c r="G871"/>
      <c r="H871"/>
      <c r="I871"/>
      <c r="J871"/>
      <c r="K871"/>
      <c r="L871"/>
      <c r="M871"/>
    </row>
    <row r="872" spans="1:13" x14ac:dyDescent="0.2">
      <c r="A872" t="s">
        <v>1012</v>
      </c>
      <c r="B872"/>
      <c r="C872"/>
      <c r="D872"/>
      <c r="E872"/>
      <c r="F872"/>
      <c r="G872"/>
      <c r="H872"/>
      <c r="I872"/>
      <c r="J872"/>
      <c r="K872"/>
      <c r="L872"/>
      <c r="M872"/>
    </row>
    <row r="873" spans="1:13" x14ac:dyDescent="0.2">
      <c r="A873" t="s">
        <v>1013</v>
      </c>
      <c r="B873"/>
      <c r="C873"/>
      <c r="D873"/>
      <c r="E873"/>
      <c r="F873"/>
      <c r="G873"/>
      <c r="H873"/>
      <c r="I873"/>
      <c r="J873"/>
      <c r="K873"/>
      <c r="L873"/>
      <c r="M873"/>
    </row>
    <row r="874" spans="1:13" x14ac:dyDescent="0.2">
      <c r="A874" t="s">
        <v>1014</v>
      </c>
      <c r="B874"/>
      <c r="C874"/>
      <c r="D874"/>
      <c r="E874"/>
      <c r="F874"/>
      <c r="G874"/>
      <c r="H874"/>
      <c r="I874"/>
      <c r="J874"/>
      <c r="K874"/>
      <c r="L874"/>
      <c r="M874"/>
    </row>
    <row r="875" spans="1:13" x14ac:dyDescent="0.2">
      <c r="A875" t="s">
        <v>1015</v>
      </c>
      <c r="B875"/>
      <c r="C875"/>
      <c r="D875"/>
      <c r="E875"/>
      <c r="F875"/>
      <c r="G875"/>
      <c r="H875"/>
      <c r="I875"/>
      <c r="J875"/>
      <c r="K875"/>
      <c r="L875"/>
      <c r="M875"/>
    </row>
    <row r="876" spans="1:13" x14ac:dyDescent="0.2">
      <c r="A876" t="s">
        <v>1016</v>
      </c>
      <c r="B876"/>
      <c r="C876"/>
      <c r="D876"/>
      <c r="E876"/>
      <c r="F876"/>
      <c r="G876"/>
      <c r="H876"/>
      <c r="I876"/>
      <c r="J876"/>
      <c r="K876"/>
      <c r="L876"/>
      <c r="M876"/>
    </row>
    <row r="877" spans="1:13" x14ac:dyDescent="0.2">
      <c r="A877" t="s">
        <v>1017</v>
      </c>
      <c r="B877"/>
      <c r="C877"/>
      <c r="D877"/>
      <c r="E877"/>
      <c r="F877"/>
      <c r="G877"/>
      <c r="H877"/>
      <c r="I877"/>
      <c r="J877"/>
      <c r="K877"/>
      <c r="L877"/>
      <c r="M877"/>
    </row>
    <row r="878" spans="1:13" x14ac:dyDescent="0.2">
      <c r="A878" t="s">
        <v>1018</v>
      </c>
      <c r="B878"/>
      <c r="C878"/>
      <c r="D878"/>
      <c r="E878"/>
      <c r="F878"/>
      <c r="G878"/>
      <c r="H878"/>
      <c r="I878"/>
      <c r="J878"/>
      <c r="K878"/>
      <c r="L878"/>
      <c r="M878"/>
    </row>
    <row r="879" spans="1:13" x14ac:dyDescent="0.2">
      <c r="A879" t="s">
        <v>1019</v>
      </c>
      <c r="B879"/>
      <c r="C879"/>
      <c r="D879"/>
      <c r="E879"/>
      <c r="F879"/>
      <c r="G879"/>
      <c r="H879"/>
      <c r="I879"/>
      <c r="J879"/>
      <c r="K879"/>
      <c r="L879"/>
      <c r="M879"/>
    </row>
    <row r="880" spans="1:13" x14ac:dyDescent="0.2">
      <c r="A880" t="s">
        <v>1020</v>
      </c>
      <c r="B880"/>
      <c r="C880"/>
      <c r="D880"/>
      <c r="E880"/>
      <c r="F880"/>
      <c r="G880"/>
      <c r="H880"/>
      <c r="I880"/>
      <c r="J880"/>
      <c r="K880"/>
      <c r="L880"/>
      <c r="M880"/>
    </row>
    <row r="881" spans="1:13" x14ac:dyDescent="0.2">
      <c r="A881" t="s">
        <v>1021</v>
      </c>
      <c r="B881"/>
      <c r="C881"/>
      <c r="D881"/>
      <c r="E881"/>
      <c r="F881"/>
      <c r="G881"/>
      <c r="H881"/>
      <c r="I881"/>
      <c r="J881"/>
      <c r="K881"/>
      <c r="L881"/>
      <c r="M881"/>
    </row>
    <row r="882" spans="1:13" x14ac:dyDescent="0.2">
      <c r="A882" t="s">
        <v>1022</v>
      </c>
      <c r="B882"/>
      <c r="C882"/>
      <c r="D882"/>
      <c r="E882"/>
      <c r="F882"/>
      <c r="G882"/>
      <c r="H882"/>
      <c r="I882"/>
      <c r="J882"/>
      <c r="K882"/>
      <c r="L882"/>
      <c r="M882"/>
    </row>
    <row r="883" spans="1:13" x14ac:dyDescent="0.2">
      <c r="A883" t="s">
        <v>1023</v>
      </c>
      <c r="B883"/>
      <c r="C883"/>
      <c r="D883"/>
      <c r="E883"/>
      <c r="F883"/>
      <c r="G883"/>
      <c r="H883"/>
      <c r="I883"/>
      <c r="J883"/>
      <c r="K883"/>
      <c r="L883"/>
      <c r="M883"/>
    </row>
    <row r="884" spans="1:13" x14ac:dyDescent="0.2">
      <c r="A884" t="s">
        <v>1024</v>
      </c>
      <c r="B884"/>
      <c r="C884"/>
      <c r="D884"/>
      <c r="E884"/>
      <c r="F884"/>
      <c r="G884"/>
      <c r="H884"/>
      <c r="I884"/>
      <c r="J884"/>
      <c r="K884"/>
      <c r="L884"/>
      <c r="M884"/>
    </row>
    <row r="885" spans="1:13" x14ac:dyDescent="0.2">
      <c r="A885" t="s">
        <v>1025</v>
      </c>
      <c r="B885"/>
      <c r="C885"/>
      <c r="D885"/>
      <c r="E885"/>
      <c r="F885"/>
      <c r="G885"/>
      <c r="H885"/>
      <c r="I885"/>
      <c r="J885"/>
      <c r="K885"/>
      <c r="L885"/>
      <c r="M885"/>
    </row>
    <row r="886" spans="1:13" x14ac:dyDescent="0.2">
      <c r="A886" t="s">
        <v>1026</v>
      </c>
      <c r="B886"/>
      <c r="C886"/>
      <c r="D886"/>
      <c r="E886"/>
      <c r="F886"/>
      <c r="G886"/>
      <c r="H886"/>
      <c r="I886"/>
      <c r="J886"/>
      <c r="K886"/>
      <c r="L886"/>
      <c r="M886"/>
    </row>
    <row r="887" spans="1:13" x14ac:dyDescent="0.2">
      <c r="A887" t="s">
        <v>1027</v>
      </c>
      <c r="B887"/>
      <c r="C887"/>
      <c r="D887"/>
      <c r="E887"/>
      <c r="F887"/>
      <c r="G887"/>
      <c r="H887"/>
      <c r="I887"/>
      <c r="J887"/>
      <c r="K887"/>
      <c r="L887"/>
      <c r="M887"/>
    </row>
    <row r="888" spans="1:13" x14ac:dyDescent="0.2">
      <c r="A888" t="s">
        <v>1028</v>
      </c>
      <c r="B888"/>
      <c r="C888"/>
      <c r="D888"/>
      <c r="E888"/>
      <c r="F888"/>
      <c r="G888"/>
      <c r="H888"/>
      <c r="I888"/>
      <c r="J888"/>
      <c r="K888"/>
      <c r="L888"/>
      <c r="M888"/>
    </row>
    <row r="889" spans="1:13" x14ac:dyDescent="0.2">
      <c r="A889" t="s">
        <v>1029</v>
      </c>
      <c r="B889"/>
      <c r="C889"/>
      <c r="D889"/>
      <c r="E889"/>
      <c r="F889"/>
      <c r="G889"/>
      <c r="H889"/>
      <c r="I889"/>
      <c r="J889"/>
      <c r="K889"/>
      <c r="L889"/>
      <c r="M889"/>
    </row>
    <row r="890" spans="1:13" x14ac:dyDescent="0.2">
      <c r="A890" t="s">
        <v>1030</v>
      </c>
      <c r="B890"/>
      <c r="C890"/>
      <c r="D890"/>
      <c r="E890"/>
      <c r="F890"/>
      <c r="G890"/>
      <c r="H890"/>
      <c r="I890"/>
      <c r="J890"/>
      <c r="K890"/>
      <c r="L890"/>
      <c r="M890"/>
    </row>
    <row r="891" spans="1:13" x14ac:dyDescent="0.2">
      <c r="A891" t="s">
        <v>1031</v>
      </c>
      <c r="B891"/>
      <c r="C891"/>
      <c r="D891"/>
      <c r="E891"/>
      <c r="F891"/>
      <c r="G891"/>
      <c r="H891"/>
      <c r="I891"/>
      <c r="J891"/>
      <c r="K891"/>
      <c r="L891"/>
      <c r="M891"/>
    </row>
    <row r="892" spans="1:13" x14ac:dyDescent="0.2">
      <c r="A892" t="s">
        <v>1032</v>
      </c>
      <c r="B892"/>
      <c r="C892"/>
      <c r="D892"/>
      <c r="E892"/>
      <c r="F892"/>
      <c r="G892"/>
      <c r="H892"/>
      <c r="I892"/>
      <c r="J892"/>
      <c r="K892"/>
      <c r="L892"/>
      <c r="M892"/>
    </row>
    <row r="893" spans="1:13" x14ac:dyDescent="0.2">
      <c r="A893" t="s">
        <v>1033</v>
      </c>
      <c r="B893"/>
      <c r="C893"/>
      <c r="D893"/>
      <c r="E893"/>
      <c r="F893"/>
      <c r="G893"/>
      <c r="H893"/>
      <c r="I893"/>
      <c r="J893"/>
      <c r="K893"/>
      <c r="L893"/>
      <c r="M893"/>
    </row>
    <row r="894" spans="1:13" x14ac:dyDescent="0.2">
      <c r="A894" t="s">
        <v>1034</v>
      </c>
      <c r="B894"/>
      <c r="C894"/>
      <c r="D894"/>
      <c r="E894"/>
      <c r="F894"/>
      <c r="G894"/>
      <c r="H894"/>
      <c r="I894"/>
      <c r="J894"/>
      <c r="K894"/>
      <c r="L894"/>
      <c r="M894"/>
    </row>
    <row r="895" spans="1:13" x14ac:dyDescent="0.2">
      <c r="A895" t="s">
        <v>1035</v>
      </c>
      <c r="B895"/>
      <c r="C895"/>
      <c r="D895"/>
      <c r="E895"/>
      <c r="F895"/>
      <c r="G895"/>
      <c r="H895"/>
      <c r="I895"/>
      <c r="J895"/>
      <c r="K895"/>
      <c r="L895"/>
      <c r="M895"/>
    </row>
    <row r="896" spans="1:13" x14ac:dyDescent="0.2">
      <c r="A896" t="s">
        <v>1036</v>
      </c>
      <c r="B896"/>
      <c r="C896"/>
      <c r="D896"/>
      <c r="E896"/>
      <c r="F896"/>
      <c r="G896"/>
      <c r="H896"/>
      <c r="I896"/>
      <c r="J896"/>
      <c r="K896"/>
      <c r="L896"/>
      <c r="M896"/>
    </row>
    <row r="897" spans="1:13" x14ac:dyDescent="0.2">
      <c r="A897" t="s">
        <v>1037</v>
      </c>
      <c r="B897"/>
      <c r="C897"/>
      <c r="D897"/>
      <c r="E897"/>
      <c r="F897"/>
      <c r="G897"/>
      <c r="H897"/>
      <c r="I897"/>
      <c r="J897"/>
      <c r="K897"/>
      <c r="L897"/>
      <c r="M897"/>
    </row>
    <row r="898" spans="1:13" x14ac:dyDescent="0.2">
      <c r="A898" t="s">
        <v>1038</v>
      </c>
      <c r="B898"/>
      <c r="C898"/>
      <c r="D898"/>
      <c r="E898"/>
      <c r="F898"/>
      <c r="G898"/>
      <c r="H898"/>
      <c r="I898"/>
      <c r="J898"/>
      <c r="K898"/>
      <c r="L898"/>
      <c r="M898"/>
    </row>
    <row r="899" spans="1:13" x14ac:dyDescent="0.2">
      <c r="A899" t="s">
        <v>1039</v>
      </c>
      <c r="B899"/>
      <c r="C899"/>
      <c r="D899"/>
      <c r="E899"/>
      <c r="F899"/>
      <c r="G899"/>
      <c r="H899"/>
      <c r="I899"/>
      <c r="J899"/>
      <c r="K899"/>
      <c r="L899"/>
      <c r="M899"/>
    </row>
    <row r="900" spans="1:13" x14ac:dyDescent="0.2">
      <c r="A900" t="s">
        <v>1040</v>
      </c>
      <c r="B900"/>
      <c r="C900"/>
      <c r="D900"/>
      <c r="E900"/>
      <c r="F900"/>
      <c r="G900"/>
      <c r="H900"/>
      <c r="I900"/>
      <c r="J900"/>
      <c r="K900"/>
      <c r="L900"/>
      <c r="M900"/>
    </row>
    <row r="901" spans="1:13" x14ac:dyDescent="0.2">
      <c r="A901" t="s">
        <v>1041</v>
      </c>
      <c r="B901"/>
      <c r="C901"/>
      <c r="D901"/>
      <c r="E901"/>
      <c r="F901"/>
      <c r="G901"/>
      <c r="H901"/>
      <c r="I901"/>
      <c r="J901"/>
      <c r="K901"/>
      <c r="L901"/>
      <c r="M901"/>
    </row>
    <row r="902" spans="1:13" x14ac:dyDescent="0.2">
      <c r="A902" t="s">
        <v>1042</v>
      </c>
      <c r="B902"/>
      <c r="C902"/>
      <c r="D902"/>
      <c r="E902"/>
      <c r="F902"/>
      <c r="G902"/>
      <c r="H902"/>
      <c r="I902"/>
      <c r="J902"/>
      <c r="K902"/>
      <c r="L902"/>
      <c r="M902"/>
    </row>
    <row r="903" spans="1:13" x14ac:dyDescent="0.2">
      <c r="A903" t="s">
        <v>1043</v>
      </c>
      <c r="B903"/>
      <c r="C903"/>
      <c r="D903"/>
      <c r="E903"/>
      <c r="F903"/>
      <c r="G903"/>
      <c r="H903"/>
      <c r="I903"/>
      <c r="J903"/>
      <c r="K903"/>
      <c r="L903"/>
      <c r="M903"/>
    </row>
    <row r="904" spans="1:13" x14ac:dyDescent="0.2">
      <c r="A904" t="s">
        <v>1044</v>
      </c>
      <c r="B904"/>
      <c r="C904"/>
      <c r="D904"/>
      <c r="E904"/>
      <c r="F904"/>
      <c r="G904"/>
      <c r="H904"/>
      <c r="I904"/>
      <c r="J904"/>
      <c r="K904"/>
      <c r="L904"/>
      <c r="M904"/>
    </row>
    <row r="905" spans="1:13" x14ac:dyDescent="0.2">
      <c r="A905" t="s">
        <v>1045</v>
      </c>
      <c r="B905"/>
      <c r="C905"/>
      <c r="D905"/>
      <c r="E905"/>
      <c r="F905"/>
      <c r="G905"/>
      <c r="H905"/>
      <c r="I905"/>
      <c r="J905"/>
      <c r="K905"/>
      <c r="L905"/>
      <c r="M905"/>
    </row>
    <row r="906" spans="1:13" x14ac:dyDescent="0.2">
      <c r="A906" t="s">
        <v>1046</v>
      </c>
      <c r="B906"/>
      <c r="C906"/>
      <c r="D906"/>
      <c r="E906"/>
      <c r="F906"/>
      <c r="G906"/>
      <c r="H906"/>
      <c r="I906"/>
      <c r="J906"/>
      <c r="K906"/>
      <c r="L906"/>
      <c r="M906"/>
    </row>
    <row r="907" spans="1:13" x14ac:dyDescent="0.2">
      <c r="A907" t="s">
        <v>1047</v>
      </c>
      <c r="B907"/>
      <c r="C907"/>
      <c r="D907"/>
      <c r="E907"/>
      <c r="F907"/>
      <c r="G907"/>
      <c r="H907"/>
      <c r="I907"/>
      <c r="J907"/>
      <c r="K907"/>
      <c r="L907"/>
      <c r="M907"/>
    </row>
    <row r="908" spans="1:13" x14ac:dyDescent="0.2">
      <c r="A908" t="s">
        <v>1048</v>
      </c>
      <c r="B908"/>
      <c r="C908"/>
      <c r="D908"/>
      <c r="E908"/>
      <c r="F908"/>
      <c r="G908"/>
      <c r="H908"/>
      <c r="I908"/>
      <c r="J908"/>
      <c r="K908"/>
      <c r="L908"/>
      <c r="M908"/>
    </row>
    <row r="909" spans="1:13" x14ac:dyDescent="0.2">
      <c r="A909" t="s">
        <v>1049</v>
      </c>
      <c r="B909"/>
      <c r="C909"/>
      <c r="D909"/>
      <c r="E909"/>
      <c r="F909"/>
      <c r="G909"/>
      <c r="H909"/>
      <c r="I909"/>
      <c r="J909"/>
      <c r="K909"/>
      <c r="L909"/>
      <c r="M909"/>
    </row>
    <row r="910" spans="1:13" x14ac:dyDescent="0.2">
      <c r="A910" t="s">
        <v>1050</v>
      </c>
      <c r="B910"/>
      <c r="C910"/>
      <c r="D910"/>
      <c r="E910"/>
      <c r="F910"/>
      <c r="G910"/>
      <c r="H910"/>
      <c r="I910"/>
      <c r="J910"/>
      <c r="K910"/>
      <c r="L910"/>
      <c r="M910"/>
    </row>
    <row r="911" spans="1:13" x14ac:dyDescent="0.2">
      <c r="A911" t="s">
        <v>1051</v>
      </c>
      <c r="B911"/>
      <c r="C911"/>
      <c r="D911"/>
      <c r="E911"/>
      <c r="F911"/>
      <c r="G911"/>
      <c r="H911"/>
      <c r="I911"/>
      <c r="J911"/>
      <c r="K911"/>
      <c r="L911"/>
      <c r="M911"/>
    </row>
    <row r="912" spans="1:13" x14ac:dyDescent="0.2">
      <c r="A912" t="s">
        <v>1052</v>
      </c>
      <c r="B912"/>
      <c r="C912"/>
      <c r="D912"/>
      <c r="E912"/>
      <c r="F912"/>
      <c r="G912"/>
      <c r="H912"/>
      <c r="I912"/>
      <c r="J912"/>
      <c r="K912"/>
      <c r="L912"/>
      <c r="M912"/>
    </row>
    <row r="913" spans="1:13" x14ac:dyDescent="0.2">
      <c r="A913" t="s">
        <v>1053</v>
      </c>
      <c r="B913"/>
      <c r="C913"/>
      <c r="D913"/>
      <c r="E913"/>
      <c r="F913"/>
      <c r="G913"/>
      <c r="H913"/>
      <c r="I913"/>
      <c r="J913"/>
      <c r="K913"/>
      <c r="L913"/>
      <c r="M913"/>
    </row>
    <row r="914" spans="1:13" x14ac:dyDescent="0.2">
      <c r="A914" t="s">
        <v>1054</v>
      </c>
      <c r="B914"/>
      <c r="C914"/>
      <c r="D914"/>
      <c r="E914"/>
      <c r="F914"/>
      <c r="G914"/>
      <c r="H914"/>
      <c r="I914"/>
      <c r="J914"/>
      <c r="K914"/>
      <c r="L914"/>
      <c r="M914"/>
    </row>
    <row r="915" spans="1:13" x14ac:dyDescent="0.2">
      <c r="A915" t="s">
        <v>1055</v>
      </c>
      <c r="B915"/>
      <c r="C915"/>
      <c r="D915"/>
      <c r="E915"/>
      <c r="F915"/>
      <c r="G915"/>
      <c r="H915"/>
      <c r="I915"/>
      <c r="J915"/>
      <c r="K915"/>
      <c r="L915"/>
      <c r="M915"/>
    </row>
    <row r="916" spans="1:13" x14ac:dyDescent="0.2">
      <c r="A916" t="s">
        <v>1056</v>
      </c>
      <c r="B916"/>
      <c r="C916"/>
      <c r="D916"/>
      <c r="E916"/>
      <c r="F916"/>
      <c r="G916"/>
      <c r="H916"/>
      <c r="I916"/>
      <c r="J916"/>
      <c r="K916"/>
      <c r="L916"/>
      <c r="M916"/>
    </row>
    <row r="917" spans="1:13" x14ac:dyDescent="0.2">
      <c r="A917" t="s">
        <v>1057</v>
      </c>
      <c r="B917"/>
      <c r="C917"/>
      <c r="D917"/>
      <c r="E917"/>
      <c r="F917"/>
      <c r="G917"/>
      <c r="H917"/>
      <c r="I917"/>
      <c r="J917"/>
      <c r="K917"/>
      <c r="L917"/>
      <c r="M917"/>
    </row>
    <row r="918" spans="1:13" x14ac:dyDescent="0.2">
      <c r="A918" t="s">
        <v>1058</v>
      </c>
      <c r="B918"/>
      <c r="C918"/>
      <c r="D918"/>
      <c r="E918"/>
      <c r="F918"/>
      <c r="G918"/>
      <c r="H918"/>
      <c r="I918"/>
      <c r="J918"/>
      <c r="K918"/>
      <c r="L918"/>
      <c r="M918"/>
    </row>
    <row r="919" spans="1:13" x14ac:dyDescent="0.2">
      <c r="A919" t="s">
        <v>1059</v>
      </c>
      <c r="B919"/>
      <c r="C919"/>
      <c r="D919"/>
      <c r="E919"/>
      <c r="F919"/>
      <c r="G919"/>
      <c r="H919"/>
      <c r="I919"/>
      <c r="J919"/>
      <c r="K919"/>
      <c r="L919"/>
      <c r="M919"/>
    </row>
    <row r="920" spans="1:13" x14ac:dyDescent="0.2">
      <c r="A920" t="s">
        <v>1060</v>
      </c>
      <c r="B920"/>
      <c r="C920"/>
      <c r="D920"/>
      <c r="E920"/>
      <c r="F920"/>
      <c r="G920"/>
      <c r="H920"/>
      <c r="I920"/>
      <c r="J920"/>
      <c r="K920"/>
      <c r="L920"/>
      <c r="M920"/>
    </row>
    <row r="921" spans="1:13" x14ac:dyDescent="0.2">
      <c r="A921" t="s">
        <v>1061</v>
      </c>
      <c r="B921"/>
      <c r="C921"/>
      <c r="D921"/>
      <c r="E921"/>
      <c r="F921"/>
      <c r="G921"/>
      <c r="H921"/>
      <c r="I921"/>
      <c r="J921"/>
      <c r="K921"/>
      <c r="L921"/>
      <c r="M921"/>
    </row>
    <row r="922" spans="1:13" x14ac:dyDescent="0.2">
      <c r="A922" t="s">
        <v>1062</v>
      </c>
      <c r="B922"/>
      <c r="C922"/>
      <c r="D922"/>
      <c r="E922"/>
      <c r="F922"/>
      <c r="G922"/>
      <c r="H922"/>
      <c r="I922"/>
      <c r="J922"/>
      <c r="K922"/>
      <c r="L922"/>
      <c r="M922"/>
    </row>
    <row r="923" spans="1:13" x14ac:dyDescent="0.2">
      <c r="A923" t="s">
        <v>1063</v>
      </c>
      <c r="B923"/>
      <c r="C923"/>
      <c r="D923"/>
      <c r="E923"/>
      <c r="F923"/>
      <c r="G923"/>
      <c r="H923"/>
      <c r="I923"/>
      <c r="J923"/>
      <c r="K923"/>
      <c r="L923"/>
      <c r="M923"/>
    </row>
    <row r="924" spans="1:13" x14ac:dyDescent="0.2">
      <c r="A924" t="s">
        <v>1064</v>
      </c>
      <c r="B924"/>
      <c r="C924"/>
      <c r="D924"/>
      <c r="E924"/>
      <c r="F924"/>
      <c r="G924"/>
      <c r="H924"/>
      <c r="I924"/>
      <c r="J924"/>
      <c r="K924"/>
      <c r="L924"/>
      <c r="M924"/>
    </row>
    <row r="925" spans="1:13" x14ac:dyDescent="0.2">
      <c r="A925" t="s">
        <v>1065</v>
      </c>
      <c r="B925"/>
      <c r="C925"/>
      <c r="D925"/>
      <c r="E925"/>
      <c r="F925"/>
      <c r="G925"/>
      <c r="H925"/>
      <c r="I925"/>
      <c r="J925"/>
      <c r="K925"/>
      <c r="L925"/>
      <c r="M925"/>
    </row>
    <row r="926" spans="1:13" x14ac:dyDescent="0.2">
      <c r="A926" t="s">
        <v>1066</v>
      </c>
      <c r="B926"/>
      <c r="C926"/>
      <c r="D926"/>
      <c r="E926"/>
      <c r="F926"/>
      <c r="G926"/>
      <c r="H926"/>
      <c r="I926"/>
      <c r="J926"/>
      <c r="K926"/>
      <c r="L926"/>
      <c r="M926"/>
    </row>
    <row r="927" spans="1:13" x14ac:dyDescent="0.2">
      <c r="A927" t="s">
        <v>1067</v>
      </c>
      <c r="B927"/>
      <c r="C927"/>
      <c r="D927"/>
      <c r="E927"/>
      <c r="F927"/>
      <c r="G927"/>
      <c r="H927"/>
      <c r="I927"/>
      <c r="J927"/>
      <c r="K927"/>
      <c r="L927"/>
      <c r="M927"/>
    </row>
    <row r="928" spans="1:13" x14ac:dyDescent="0.2">
      <c r="A928" t="s">
        <v>1068</v>
      </c>
      <c r="B928"/>
      <c r="C928"/>
      <c r="D928"/>
      <c r="E928"/>
      <c r="F928"/>
      <c r="G928"/>
      <c r="H928"/>
      <c r="I928"/>
      <c r="J928"/>
      <c r="K928"/>
      <c r="L928"/>
      <c r="M928"/>
    </row>
    <row r="929" spans="1:13" x14ac:dyDescent="0.2">
      <c r="A929" t="s">
        <v>1069</v>
      </c>
      <c r="B929"/>
      <c r="C929"/>
      <c r="D929"/>
      <c r="E929"/>
      <c r="F929"/>
      <c r="G929"/>
      <c r="H929"/>
      <c r="I929"/>
      <c r="J929"/>
      <c r="K929"/>
      <c r="L929"/>
      <c r="M929"/>
    </row>
    <row r="930" spans="1:13" x14ac:dyDescent="0.2">
      <c r="A930" t="s">
        <v>1070</v>
      </c>
      <c r="B930"/>
      <c r="C930"/>
      <c r="D930"/>
      <c r="E930"/>
      <c r="F930"/>
      <c r="G930"/>
      <c r="H930"/>
      <c r="I930"/>
      <c r="J930"/>
      <c r="K930"/>
      <c r="L930"/>
      <c r="M930"/>
    </row>
    <row r="931" spans="1:13" x14ac:dyDescent="0.2">
      <c r="A931" t="s">
        <v>1071</v>
      </c>
      <c r="B931"/>
      <c r="C931"/>
      <c r="D931"/>
      <c r="E931"/>
      <c r="F931"/>
      <c r="G931"/>
      <c r="H931"/>
      <c r="I931"/>
      <c r="J931"/>
      <c r="K931"/>
      <c r="L931"/>
      <c r="M931"/>
    </row>
    <row r="932" spans="1:13" x14ac:dyDescent="0.2">
      <c r="A932" t="s">
        <v>1072</v>
      </c>
      <c r="B932"/>
      <c r="C932"/>
      <c r="D932"/>
      <c r="E932"/>
      <c r="F932"/>
      <c r="G932"/>
      <c r="H932"/>
      <c r="I932"/>
      <c r="J932"/>
      <c r="K932"/>
      <c r="L932"/>
      <c r="M932"/>
    </row>
    <row r="933" spans="1:13" x14ac:dyDescent="0.2">
      <c r="A933" t="s">
        <v>1073</v>
      </c>
      <c r="B933"/>
      <c r="C933"/>
      <c r="D933"/>
      <c r="E933"/>
      <c r="F933"/>
      <c r="G933"/>
      <c r="H933"/>
      <c r="I933"/>
      <c r="J933"/>
      <c r="K933"/>
      <c r="L933"/>
      <c r="M933"/>
    </row>
    <row r="934" spans="1:13" x14ac:dyDescent="0.2">
      <c r="A934" t="s">
        <v>1074</v>
      </c>
      <c r="B934"/>
      <c r="C934"/>
      <c r="D934"/>
      <c r="E934"/>
      <c r="F934"/>
      <c r="G934"/>
      <c r="H934"/>
      <c r="I934"/>
      <c r="J934"/>
      <c r="K934"/>
      <c r="L934"/>
      <c r="M934"/>
    </row>
    <row r="935" spans="1:13" x14ac:dyDescent="0.2">
      <c r="A935" t="s">
        <v>1075</v>
      </c>
      <c r="B935"/>
      <c r="C935"/>
      <c r="D935"/>
      <c r="E935"/>
      <c r="F935"/>
      <c r="G935"/>
      <c r="H935"/>
      <c r="I935"/>
      <c r="J935"/>
      <c r="K935"/>
      <c r="L935"/>
      <c r="M935"/>
    </row>
    <row r="936" spans="1:13" x14ac:dyDescent="0.2">
      <c r="A936" t="s">
        <v>1076</v>
      </c>
      <c r="B936"/>
      <c r="C936"/>
      <c r="D936"/>
      <c r="E936"/>
      <c r="F936"/>
      <c r="G936"/>
      <c r="H936"/>
      <c r="I936"/>
      <c r="J936"/>
      <c r="K936"/>
      <c r="L936"/>
      <c r="M936"/>
    </row>
    <row r="937" spans="1:13" x14ac:dyDescent="0.2">
      <c r="A937" t="s">
        <v>1077</v>
      </c>
      <c r="B937"/>
      <c r="C937"/>
      <c r="D937"/>
      <c r="E937"/>
      <c r="F937"/>
      <c r="G937"/>
      <c r="H937"/>
      <c r="I937"/>
      <c r="J937"/>
      <c r="K937"/>
      <c r="L937"/>
      <c r="M937"/>
    </row>
    <row r="938" spans="1:13" x14ac:dyDescent="0.2">
      <c r="A938" t="s">
        <v>1078</v>
      </c>
      <c r="B938"/>
      <c r="C938"/>
      <c r="D938"/>
      <c r="E938"/>
      <c r="F938"/>
      <c r="G938"/>
      <c r="H938"/>
      <c r="I938"/>
      <c r="J938"/>
      <c r="K938"/>
      <c r="L938"/>
      <c r="M938"/>
    </row>
    <row r="939" spans="1:13" x14ac:dyDescent="0.2">
      <c r="A939" t="s">
        <v>1079</v>
      </c>
      <c r="B939"/>
      <c r="C939"/>
      <c r="D939"/>
      <c r="E939"/>
      <c r="F939"/>
      <c r="G939"/>
      <c r="H939"/>
      <c r="I939"/>
      <c r="J939"/>
      <c r="K939"/>
      <c r="L939"/>
      <c r="M939"/>
    </row>
    <row r="940" spans="1:13" x14ac:dyDescent="0.2">
      <c r="A940" t="s">
        <v>1080</v>
      </c>
      <c r="B940"/>
      <c r="C940"/>
      <c r="D940"/>
      <c r="E940"/>
      <c r="F940"/>
      <c r="G940"/>
      <c r="H940"/>
      <c r="I940"/>
      <c r="J940"/>
      <c r="K940"/>
      <c r="L940"/>
      <c r="M940"/>
    </row>
    <row r="941" spans="1:13" x14ac:dyDescent="0.2">
      <c r="A941" t="s">
        <v>1081</v>
      </c>
      <c r="B941"/>
      <c r="C941"/>
      <c r="D941"/>
      <c r="E941"/>
      <c r="F941"/>
      <c r="G941"/>
      <c r="H941"/>
      <c r="I941"/>
      <c r="J941"/>
      <c r="K941"/>
      <c r="L941"/>
      <c r="M941"/>
    </row>
    <row r="942" spans="1:13" x14ac:dyDescent="0.2">
      <c r="A942" t="s">
        <v>1082</v>
      </c>
      <c r="B942"/>
      <c r="C942"/>
      <c r="D942"/>
      <c r="E942"/>
      <c r="F942"/>
      <c r="G942"/>
      <c r="H942"/>
      <c r="I942"/>
      <c r="J942"/>
      <c r="K942"/>
      <c r="L942"/>
      <c r="M942"/>
    </row>
    <row r="943" spans="1:13" x14ac:dyDescent="0.2">
      <c r="A943" t="s">
        <v>1083</v>
      </c>
      <c r="B943"/>
      <c r="C943"/>
      <c r="D943"/>
      <c r="E943"/>
      <c r="F943"/>
      <c r="G943"/>
      <c r="H943"/>
      <c r="I943"/>
      <c r="J943"/>
      <c r="K943"/>
      <c r="L943"/>
      <c r="M943"/>
    </row>
    <row r="944" spans="1:13" x14ac:dyDescent="0.2">
      <c r="A944" t="s">
        <v>1084</v>
      </c>
      <c r="B944"/>
      <c r="C944"/>
      <c r="D944"/>
      <c r="E944"/>
      <c r="F944"/>
      <c r="G944"/>
      <c r="H944"/>
      <c r="I944"/>
      <c r="J944"/>
      <c r="K944"/>
      <c r="L944"/>
      <c r="M944"/>
    </row>
    <row r="945" spans="1:13" x14ac:dyDescent="0.2">
      <c r="A945" t="s">
        <v>1085</v>
      </c>
      <c r="B945"/>
      <c r="C945"/>
      <c r="D945"/>
      <c r="E945"/>
      <c r="F945"/>
      <c r="G945"/>
      <c r="H945"/>
      <c r="I945"/>
      <c r="J945"/>
      <c r="K945"/>
      <c r="L945"/>
      <c r="M945"/>
    </row>
    <row r="946" spans="1:13" x14ac:dyDescent="0.2">
      <c r="A946" t="s">
        <v>1086</v>
      </c>
      <c r="B946"/>
      <c r="C946"/>
      <c r="D946"/>
      <c r="E946"/>
      <c r="F946"/>
      <c r="G946"/>
      <c r="H946"/>
      <c r="I946"/>
      <c r="J946"/>
      <c r="K946"/>
      <c r="L946"/>
      <c r="M946"/>
    </row>
    <row r="947" spans="1:13" x14ac:dyDescent="0.2">
      <c r="A947" t="s">
        <v>1087</v>
      </c>
      <c r="B947"/>
      <c r="C947"/>
      <c r="D947"/>
      <c r="E947"/>
      <c r="F947"/>
      <c r="G947"/>
      <c r="H947"/>
      <c r="I947"/>
      <c r="J947"/>
      <c r="K947"/>
      <c r="L947"/>
      <c r="M947"/>
    </row>
    <row r="948" spans="1:13" x14ac:dyDescent="0.2">
      <c r="A948" t="s">
        <v>1088</v>
      </c>
      <c r="B948"/>
      <c r="C948"/>
      <c r="D948"/>
      <c r="E948"/>
      <c r="F948"/>
      <c r="G948"/>
      <c r="H948"/>
      <c r="I948"/>
      <c r="J948"/>
      <c r="K948"/>
      <c r="L948"/>
      <c r="M948"/>
    </row>
    <row r="949" spans="1:13" x14ac:dyDescent="0.2">
      <c r="A949" t="s">
        <v>1089</v>
      </c>
      <c r="B949"/>
      <c r="C949"/>
      <c r="D949"/>
      <c r="E949"/>
      <c r="F949"/>
      <c r="G949"/>
      <c r="H949"/>
      <c r="I949"/>
      <c r="J949"/>
      <c r="K949"/>
      <c r="L949"/>
      <c r="M949"/>
    </row>
    <row r="950" spans="1:13" x14ac:dyDescent="0.2">
      <c r="A950" t="s">
        <v>1090</v>
      </c>
      <c r="B950"/>
      <c r="C950"/>
      <c r="D950"/>
      <c r="E950"/>
      <c r="F950"/>
      <c r="G950"/>
      <c r="H950"/>
      <c r="I950"/>
      <c r="J950"/>
      <c r="K950"/>
      <c r="L950"/>
      <c r="M950"/>
    </row>
    <row r="951" spans="1:13" x14ac:dyDescent="0.2">
      <c r="A951" t="s">
        <v>1091</v>
      </c>
      <c r="B951"/>
      <c r="C951"/>
      <c r="D951"/>
      <c r="E951"/>
      <c r="F951"/>
      <c r="G951"/>
      <c r="H951"/>
      <c r="I951"/>
      <c r="J951"/>
      <c r="K951"/>
      <c r="L951"/>
      <c r="M951"/>
    </row>
    <row r="952" spans="1:13" x14ac:dyDescent="0.2">
      <c r="A952" t="s">
        <v>1092</v>
      </c>
      <c r="B952"/>
      <c r="C952"/>
      <c r="D952"/>
      <c r="E952"/>
      <c r="F952"/>
      <c r="G952"/>
      <c r="H952"/>
      <c r="I952"/>
      <c r="J952"/>
      <c r="K952"/>
      <c r="L952"/>
      <c r="M952"/>
    </row>
    <row r="953" spans="1:13" x14ac:dyDescent="0.2">
      <c r="A953" t="s">
        <v>1093</v>
      </c>
      <c r="B953"/>
      <c r="C953"/>
      <c r="D953"/>
      <c r="E953"/>
      <c r="F953"/>
      <c r="G953"/>
      <c r="H953"/>
      <c r="I953"/>
      <c r="J953"/>
      <c r="K953"/>
      <c r="L953"/>
      <c r="M953"/>
    </row>
    <row r="954" spans="1:13" x14ac:dyDescent="0.2">
      <c r="A954" t="s">
        <v>1094</v>
      </c>
      <c r="B954"/>
      <c r="C954"/>
      <c r="D954"/>
      <c r="E954"/>
      <c r="F954"/>
      <c r="G954"/>
      <c r="H954"/>
      <c r="I954"/>
      <c r="J954"/>
      <c r="K954"/>
      <c r="L954"/>
      <c r="M954"/>
    </row>
    <row r="955" spans="1:13" x14ac:dyDescent="0.2">
      <c r="A955" t="s">
        <v>1095</v>
      </c>
      <c r="B955"/>
      <c r="C955"/>
      <c r="D955"/>
      <c r="E955"/>
      <c r="F955"/>
      <c r="G955"/>
      <c r="H955"/>
      <c r="I955"/>
      <c r="J955"/>
      <c r="K955"/>
      <c r="L955"/>
      <c r="M955"/>
    </row>
    <row r="956" spans="1:13" x14ac:dyDescent="0.2">
      <c r="A956" t="s">
        <v>1096</v>
      </c>
      <c r="B956"/>
      <c r="C956"/>
      <c r="D956"/>
      <c r="E956"/>
      <c r="F956"/>
      <c r="G956"/>
      <c r="H956"/>
      <c r="I956"/>
      <c r="J956"/>
      <c r="K956"/>
      <c r="L956"/>
      <c r="M956"/>
    </row>
    <row r="957" spans="1:13" x14ac:dyDescent="0.2">
      <c r="A957" t="s">
        <v>1097</v>
      </c>
      <c r="B957"/>
      <c r="C957"/>
      <c r="D957"/>
      <c r="E957"/>
      <c r="F957"/>
      <c r="G957"/>
      <c r="H957"/>
      <c r="I957"/>
      <c r="J957"/>
      <c r="K957"/>
      <c r="L957"/>
      <c r="M957"/>
    </row>
    <row r="958" spans="1:13" x14ac:dyDescent="0.2">
      <c r="A958" t="s">
        <v>1098</v>
      </c>
      <c r="B958"/>
      <c r="C958"/>
      <c r="D958"/>
      <c r="E958"/>
      <c r="F958"/>
      <c r="G958"/>
      <c r="H958"/>
      <c r="I958"/>
      <c r="J958"/>
      <c r="K958"/>
      <c r="L958"/>
      <c r="M958"/>
    </row>
    <row r="959" spans="1:13" x14ac:dyDescent="0.2">
      <c r="A959" t="s">
        <v>1099</v>
      </c>
      <c r="B959"/>
      <c r="C959"/>
      <c r="D959"/>
      <c r="E959"/>
      <c r="F959"/>
      <c r="G959"/>
      <c r="H959"/>
      <c r="I959"/>
      <c r="J959"/>
      <c r="K959"/>
      <c r="L959"/>
      <c r="M959"/>
    </row>
    <row r="960" spans="1:13" x14ac:dyDescent="0.2">
      <c r="A960" t="s">
        <v>1100</v>
      </c>
      <c r="B960"/>
      <c r="C960"/>
      <c r="D960"/>
      <c r="E960"/>
      <c r="F960"/>
      <c r="G960"/>
      <c r="H960"/>
      <c r="I960"/>
      <c r="J960"/>
      <c r="K960"/>
      <c r="L960"/>
      <c r="M960"/>
    </row>
    <row r="961" spans="1:13" x14ac:dyDescent="0.2">
      <c r="A961" t="s">
        <v>1101</v>
      </c>
      <c r="B961"/>
      <c r="C961"/>
      <c r="D961"/>
      <c r="E961"/>
      <c r="F961"/>
      <c r="G961"/>
      <c r="H961"/>
      <c r="I961"/>
      <c r="J961"/>
      <c r="K961"/>
      <c r="L961"/>
      <c r="M961"/>
    </row>
    <row r="962" spans="1:13" x14ac:dyDescent="0.2">
      <c r="A962" t="s">
        <v>1102</v>
      </c>
      <c r="B962"/>
      <c r="C962"/>
      <c r="D962"/>
      <c r="E962"/>
      <c r="F962"/>
      <c r="G962"/>
      <c r="H962"/>
      <c r="I962"/>
      <c r="J962"/>
      <c r="K962"/>
      <c r="L962"/>
      <c r="M962"/>
    </row>
    <row r="963" spans="1:13" x14ac:dyDescent="0.2">
      <c r="A963" t="s">
        <v>1103</v>
      </c>
      <c r="B963"/>
      <c r="C963"/>
      <c r="D963"/>
      <c r="E963"/>
      <c r="F963"/>
      <c r="G963"/>
      <c r="H963"/>
      <c r="I963"/>
      <c r="J963"/>
      <c r="K963"/>
      <c r="L963"/>
      <c r="M963"/>
    </row>
    <row r="964" spans="1:13" x14ac:dyDescent="0.2">
      <c r="A964" t="s">
        <v>1104</v>
      </c>
      <c r="B964"/>
      <c r="C964"/>
      <c r="D964"/>
      <c r="E964"/>
      <c r="F964"/>
      <c r="G964"/>
      <c r="H964"/>
      <c r="I964"/>
      <c r="J964"/>
      <c r="K964"/>
      <c r="L964"/>
      <c r="M964"/>
    </row>
    <row r="965" spans="1:13" x14ac:dyDescent="0.2">
      <c r="A965" t="s">
        <v>1105</v>
      </c>
      <c r="B965"/>
      <c r="C965"/>
      <c r="D965"/>
      <c r="E965"/>
      <c r="F965"/>
      <c r="G965"/>
      <c r="H965"/>
      <c r="I965"/>
      <c r="J965"/>
      <c r="K965"/>
      <c r="L965"/>
      <c r="M965"/>
    </row>
    <row r="966" spans="1:13" x14ac:dyDescent="0.2">
      <c r="A966" t="s">
        <v>1106</v>
      </c>
      <c r="B966"/>
      <c r="C966"/>
      <c r="D966"/>
      <c r="E966"/>
      <c r="F966"/>
      <c r="G966"/>
      <c r="H966"/>
      <c r="I966"/>
      <c r="J966"/>
      <c r="K966"/>
      <c r="L966"/>
      <c r="M966"/>
    </row>
    <row r="967" spans="1:13" x14ac:dyDescent="0.2">
      <c r="A967" t="s">
        <v>1107</v>
      </c>
      <c r="B967"/>
      <c r="C967"/>
      <c r="D967"/>
      <c r="E967"/>
      <c r="F967"/>
      <c r="G967"/>
      <c r="H967"/>
      <c r="I967"/>
      <c r="J967"/>
      <c r="K967"/>
      <c r="L967"/>
      <c r="M967"/>
    </row>
    <row r="968" spans="1:13" x14ac:dyDescent="0.2">
      <c r="A968" t="s">
        <v>1108</v>
      </c>
      <c r="B968"/>
      <c r="C968"/>
      <c r="D968"/>
      <c r="E968"/>
      <c r="F968"/>
      <c r="G968"/>
      <c r="H968"/>
      <c r="I968"/>
      <c r="J968"/>
      <c r="K968"/>
      <c r="L968"/>
      <c r="M968"/>
    </row>
    <row r="969" spans="1:13" x14ac:dyDescent="0.2">
      <c r="A969" t="s">
        <v>1109</v>
      </c>
      <c r="B969"/>
      <c r="C969"/>
      <c r="D969"/>
      <c r="E969"/>
      <c r="F969"/>
      <c r="G969"/>
      <c r="H969"/>
      <c r="I969"/>
      <c r="J969"/>
      <c r="K969"/>
      <c r="L969"/>
      <c r="M969"/>
    </row>
    <row r="970" spans="1:13" x14ac:dyDescent="0.2">
      <c r="A970" t="s">
        <v>1110</v>
      </c>
      <c r="B970"/>
      <c r="C970"/>
      <c r="D970"/>
      <c r="E970"/>
      <c r="F970"/>
      <c r="G970"/>
      <c r="H970"/>
      <c r="I970"/>
      <c r="J970"/>
      <c r="K970"/>
      <c r="L970"/>
      <c r="M970"/>
    </row>
    <row r="971" spans="1:13" x14ac:dyDescent="0.2">
      <c r="A971" t="s">
        <v>1111</v>
      </c>
      <c r="B971"/>
      <c r="C971"/>
      <c r="D971"/>
      <c r="E971"/>
      <c r="F971"/>
      <c r="G971"/>
      <c r="H971"/>
      <c r="I971"/>
      <c r="J971"/>
      <c r="K971"/>
      <c r="L971"/>
      <c r="M971"/>
    </row>
    <row r="972" spans="1:13" x14ac:dyDescent="0.2">
      <c r="A972" t="s">
        <v>1112</v>
      </c>
      <c r="B972"/>
      <c r="C972"/>
      <c r="D972"/>
      <c r="E972"/>
      <c r="F972"/>
      <c r="G972"/>
      <c r="H972"/>
      <c r="I972"/>
      <c r="J972"/>
      <c r="K972"/>
      <c r="L972"/>
      <c r="M972"/>
    </row>
    <row r="973" spans="1:13" x14ac:dyDescent="0.2">
      <c r="A973" t="s">
        <v>1113</v>
      </c>
      <c r="B973"/>
      <c r="C973"/>
      <c r="D973"/>
      <c r="E973"/>
      <c r="F973"/>
      <c r="G973"/>
      <c r="H973"/>
      <c r="I973"/>
      <c r="J973"/>
      <c r="K973"/>
      <c r="L973"/>
      <c r="M973"/>
    </row>
    <row r="974" spans="1:13" x14ac:dyDescent="0.2">
      <c r="A974" t="s">
        <v>1114</v>
      </c>
      <c r="B974"/>
      <c r="C974"/>
      <c r="D974"/>
      <c r="E974"/>
      <c r="F974"/>
      <c r="G974"/>
      <c r="H974"/>
      <c r="I974"/>
      <c r="J974"/>
      <c r="K974"/>
      <c r="L974"/>
      <c r="M974"/>
    </row>
    <row r="975" spans="1:13" x14ac:dyDescent="0.2">
      <c r="A975" t="s">
        <v>1115</v>
      </c>
      <c r="B975"/>
      <c r="C975"/>
      <c r="D975"/>
      <c r="E975"/>
      <c r="F975"/>
      <c r="G975"/>
      <c r="H975"/>
      <c r="I975"/>
      <c r="J975"/>
      <c r="K975"/>
      <c r="L975"/>
      <c r="M975"/>
    </row>
    <row r="976" spans="1:13" x14ac:dyDescent="0.2">
      <c r="A976" t="s">
        <v>1116</v>
      </c>
      <c r="B976"/>
      <c r="C976"/>
      <c r="D976"/>
      <c r="E976"/>
      <c r="F976"/>
      <c r="G976"/>
      <c r="H976"/>
      <c r="I976"/>
      <c r="J976"/>
      <c r="K976"/>
      <c r="L976"/>
      <c r="M976"/>
    </row>
    <row r="977" spans="1:13" x14ac:dyDescent="0.2">
      <c r="A977" t="s">
        <v>1117</v>
      </c>
      <c r="B977"/>
      <c r="C977"/>
      <c r="D977"/>
      <c r="E977"/>
      <c r="F977"/>
      <c r="G977"/>
      <c r="H977"/>
      <c r="I977"/>
      <c r="J977"/>
      <c r="K977"/>
      <c r="L977"/>
      <c r="M977"/>
    </row>
    <row r="978" spans="1:13" x14ac:dyDescent="0.2">
      <c r="A978" t="s">
        <v>1118</v>
      </c>
      <c r="B978"/>
      <c r="C978"/>
      <c r="D978"/>
      <c r="E978"/>
      <c r="F978"/>
      <c r="G978"/>
      <c r="H978"/>
      <c r="I978"/>
      <c r="J978"/>
      <c r="K978"/>
      <c r="L978"/>
      <c r="M978"/>
    </row>
    <row r="979" spans="1:13" x14ac:dyDescent="0.2">
      <c r="A979" t="s">
        <v>1119</v>
      </c>
      <c r="B979"/>
      <c r="C979"/>
      <c r="D979"/>
      <c r="E979"/>
      <c r="F979"/>
      <c r="G979"/>
      <c r="H979"/>
      <c r="I979"/>
      <c r="J979"/>
      <c r="K979"/>
      <c r="L979"/>
      <c r="M979"/>
    </row>
    <row r="980" spans="1:13" x14ac:dyDescent="0.2">
      <c r="A980" t="s">
        <v>1120</v>
      </c>
      <c r="B980"/>
      <c r="C980"/>
      <c r="D980"/>
      <c r="E980"/>
      <c r="F980"/>
      <c r="G980"/>
      <c r="H980"/>
      <c r="I980"/>
      <c r="J980"/>
      <c r="K980"/>
      <c r="L980"/>
      <c r="M980"/>
    </row>
    <row r="981" spans="1:13" x14ac:dyDescent="0.2">
      <c r="A981" t="s">
        <v>1121</v>
      </c>
      <c r="B981"/>
      <c r="C981"/>
      <c r="D981"/>
      <c r="E981"/>
      <c r="F981"/>
      <c r="G981"/>
      <c r="H981"/>
      <c r="I981"/>
      <c r="J981"/>
      <c r="K981"/>
      <c r="L981"/>
      <c r="M981"/>
    </row>
    <row r="982" spans="1:13" x14ac:dyDescent="0.2">
      <c r="A982" t="s">
        <v>1122</v>
      </c>
      <c r="B982"/>
      <c r="C982"/>
      <c r="D982"/>
      <c r="E982"/>
      <c r="F982"/>
      <c r="G982"/>
      <c r="H982"/>
      <c r="I982"/>
      <c r="J982"/>
      <c r="K982"/>
      <c r="L982"/>
      <c r="M982"/>
    </row>
    <row r="983" spans="1:13" x14ac:dyDescent="0.2">
      <c r="A983" t="s">
        <v>1123</v>
      </c>
      <c r="B983"/>
      <c r="C983"/>
      <c r="D983"/>
      <c r="E983"/>
      <c r="F983"/>
      <c r="G983"/>
      <c r="H983"/>
      <c r="I983"/>
      <c r="J983"/>
      <c r="K983"/>
      <c r="L983"/>
      <c r="M983"/>
    </row>
    <row r="984" spans="1:13" x14ac:dyDescent="0.2">
      <c r="A984" t="s">
        <v>1124</v>
      </c>
      <c r="B984"/>
      <c r="C984"/>
      <c r="D984"/>
      <c r="E984"/>
      <c r="F984"/>
      <c r="G984"/>
      <c r="H984"/>
      <c r="I984"/>
      <c r="J984"/>
      <c r="K984"/>
      <c r="L984"/>
      <c r="M984"/>
    </row>
    <row r="985" spans="1:13" x14ac:dyDescent="0.2">
      <c r="A985" t="s">
        <v>1125</v>
      </c>
      <c r="B985"/>
      <c r="C985"/>
      <c r="D985"/>
      <c r="E985"/>
      <c r="F985"/>
      <c r="G985"/>
      <c r="H985"/>
      <c r="I985"/>
      <c r="J985"/>
      <c r="K985"/>
      <c r="L985"/>
      <c r="M985"/>
    </row>
    <row r="986" spans="1:13" x14ac:dyDescent="0.2">
      <c r="A986" t="s">
        <v>1126</v>
      </c>
      <c r="B986"/>
      <c r="C986"/>
      <c r="D986"/>
      <c r="E986"/>
      <c r="F986"/>
      <c r="G986"/>
      <c r="H986"/>
      <c r="I986"/>
      <c r="J986"/>
      <c r="K986"/>
      <c r="L986"/>
      <c r="M986"/>
    </row>
    <row r="987" spans="1:13" x14ac:dyDescent="0.2">
      <c r="A987" t="s">
        <v>1127</v>
      </c>
      <c r="B987"/>
      <c r="C987"/>
      <c r="D987"/>
      <c r="E987"/>
      <c r="F987"/>
      <c r="G987"/>
      <c r="H987"/>
      <c r="I987"/>
      <c r="J987"/>
      <c r="K987"/>
      <c r="L987"/>
      <c r="M987"/>
    </row>
    <row r="988" spans="1:13" x14ac:dyDescent="0.2">
      <c r="A988" t="s">
        <v>1128</v>
      </c>
      <c r="B988"/>
      <c r="C988"/>
      <c r="D988"/>
      <c r="E988"/>
      <c r="F988"/>
      <c r="G988"/>
      <c r="H988"/>
      <c r="I988"/>
      <c r="J988"/>
      <c r="K988"/>
      <c r="L988"/>
      <c r="M988"/>
    </row>
    <row r="989" spans="1:13" x14ac:dyDescent="0.2">
      <c r="A989" t="s">
        <v>1129</v>
      </c>
      <c r="B989"/>
      <c r="C989"/>
      <c r="D989"/>
      <c r="E989"/>
      <c r="F989"/>
      <c r="G989"/>
      <c r="H989"/>
      <c r="I989"/>
      <c r="J989"/>
      <c r="K989"/>
      <c r="L989"/>
      <c r="M989"/>
    </row>
    <row r="990" spans="1:13" x14ac:dyDescent="0.2">
      <c r="A990" t="s">
        <v>1130</v>
      </c>
      <c r="B990"/>
      <c r="C990"/>
      <c r="D990"/>
      <c r="E990"/>
      <c r="F990"/>
      <c r="G990"/>
      <c r="H990"/>
      <c r="I990"/>
      <c r="J990"/>
      <c r="K990"/>
      <c r="L990"/>
      <c r="M990"/>
    </row>
    <row r="991" spans="1:13" x14ac:dyDescent="0.2">
      <c r="A991" t="s">
        <v>1131</v>
      </c>
      <c r="B991"/>
      <c r="C991"/>
      <c r="D991"/>
      <c r="E991"/>
      <c r="F991"/>
      <c r="G991"/>
      <c r="H991"/>
      <c r="I991"/>
      <c r="J991"/>
      <c r="K991"/>
      <c r="L991"/>
      <c r="M991"/>
    </row>
    <row r="992" spans="1:13" x14ac:dyDescent="0.2">
      <c r="A992" t="s">
        <v>1132</v>
      </c>
      <c r="B992"/>
      <c r="C992"/>
      <c r="D992"/>
      <c r="E992"/>
      <c r="F992"/>
      <c r="G992"/>
      <c r="H992"/>
      <c r="I992"/>
      <c r="J992"/>
      <c r="K992"/>
      <c r="L992"/>
      <c r="M992"/>
    </row>
    <row r="993" spans="1:13" x14ac:dyDescent="0.2">
      <c r="A993" t="s">
        <v>1133</v>
      </c>
      <c r="B993"/>
      <c r="C993"/>
      <c r="D993"/>
      <c r="E993"/>
      <c r="F993"/>
      <c r="G993"/>
      <c r="H993"/>
      <c r="I993"/>
      <c r="J993"/>
      <c r="K993"/>
      <c r="L993"/>
      <c r="M993"/>
    </row>
    <row r="994" spans="1:13" x14ac:dyDescent="0.2">
      <c r="A994" t="s">
        <v>1134</v>
      </c>
      <c r="B994"/>
      <c r="C994"/>
      <c r="D994"/>
      <c r="E994"/>
      <c r="F994"/>
      <c r="G994"/>
      <c r="H994"/>
      <c r="I994"/>
      <c r="J994"/>
      <c r="K994"/>
      <c r="L994"/>
      <c r="M994"/>
    </row>
    <row r="995" spans="1:13" x14ac:dyDescent="0.2">
      <c r="A995" t="s">
        <v>1135</v>
      </c>
      <c r="B995"/>
      <c r="C995"/>
      <c r="D995"/>
      <c r="E995"/>
      <c r="F995"/>
      <c r="G995"/>
      <c r="H995"/>
      <c r="I995"/>
      <c r="J995"/>
      <c r="K995"/>
      <c r="L995"/>
      <c r="M995"/>
    </row>
    <row r="996" spans="1:13" x14ac:dyDescent="0.2">
      <c r="A996" t="s">
        <v>1136</v>
      </c>
      <c r="B996"/>
      <c r="C996"/>
      <c r="D996"/>
      <c r="E996"/>
      <c r="F996"/>
      <c r="G996"/>
      <c r="H996"/>
      <c r="I996"/>
      <c r="J996"/>
      <c r="K996"/>
      <c r="L996"/>
      <c r="M996"/>
    </row>
    <row r="997" spans="1:13" x14ac:dyDescent="0.2">
      <c r="A997" t="s">
        <v>1137</v>
      </c>
      <c r="B997"/>
      <c r="C997"/>
      <c r="D997"/>
      <c r="E997"/>
      <c r="F997"/>
      <c r="G997"/>
      <c r="H997"/>
      <c r="I997"/>
      <c r="J997"/>
      <c r="K997"/>
      <c r="L997"/>
      <c r="M997"/>
    </row>
    <row r="998" spans="1:13" x14ac:dyDescent="0.2">
      <c r="A998" t="s">
        <v>1138</v>
      </c>
      <c r="B998"/>
      <c r="C998"/>
      <c r="D998"/>
      <c r="E998"/>
      <c r="F998"/>
      <c r="G998"/>
      <c r="H998"/>
      <c r="I998"/>
      <c r="J998"/>
      <c r="K998"/>
      <c r="L998"/>
      <c r="M998"/>
    </row>
    <row r="999" spans="1:13" x14ac:dyDescent="0.2">
      <c r="A999" t="s">
        <v>1139</v>
      </c>
      <c r="B999"/>
      <c r="C999"/>
      <c r="D999"/>
      <c r="E999"/>
      <c r="F999"/>
      <c r="G999"/>
      <c r="H999"/>
      <c r="I999"/>
      <c r="J999"/>
      <c r="K999"/>
      <c r="L999"/>
      <c r="M999"/>
    </row>
    <row r="1000" spans="1:13" x14ac:dyDescent="0.2">
      <c r="A1000" t="s">
        <v>1140</v>
      </c>
      <c r="B1000"/>
      <c r="C1000"/>
      <c r="D1000"/>
      <c r="E1000"/>
      <c r="F1000"/>
      <c r="G1000"/>
      <c r="H1000"/>
      <c r="I1000"/>
      <c r="J1000"/>
      <c r="K1000"/>
      <c r="L1000"/>
      <c r="M1000"/>
    </row>
    <row r="1001" spans="1:13" x14ac:dyDescent="0.2">
      <c r="A1001" t="s">
        <v>1141</v>
      </c>
      <c r="B1001"/>
      <c r="C1001"/>
      <c r="D1001"/>
      <c r="E1001"/>
      <c r="F1001"/>
      <c r="G1001"/>
      <c r="H1001"/>
      <c r="I1001"/>
      <c r="J1001"/>
      <c r="K1001"/>
      <c r="L1001"/>
      <c r="M1001"/>
    </row>
    <row r="1002" spans="1:13" x14ac:dyDescent="0.2">
      <c r="A1002" t="s">
        <v>1142</v>
      </c>
      <c r="B1002"/>
      <c r="C1002"/>
      <c r="D1002"/>
      <c r="E1002"/>
      <c r="F1002"/>
      <c r="G1002"/>
      <c r="H1002"/>
      <c r="I1002"/>
      <c r="J1002"/>
      <c r="K1002"/>
      <c r="L1002"/>
      <c r="M1002"/>
    </row>
    <row r="1003" spans="1:13" x14ac:dyDescent="0.2">
      <c r="A1003" t="s">
        <v>1143</v>
      </c>
      <c r="B1003"/>
      <c r="C1003"/>
      <c r="D1003"/>
      <c r="E1003"/>
      <c r="F1003"/>
      <c r="G1003"/>
      <c r="H1003"/>
      <c r="I1003"/>
      <c r="J1003"/>
      <c r="K1003"/>
      <c r="L1003"/>
      <c r="M1003"/>
    </row>
    <row r="1004" spans="1:13" x14ac:dyDescent="0.2">
      <c r="A1004" t="s">
        <v>1144</v>
      </c>
      <c r="B1004"/>
      <c r="C1004"/>
      <c r="D1004"/>
      <c r="E1004"/>
      <c r="F1004"/>
      <c r="G1004"/>
      <c r="H1004"/>
      <c r="I1004"/>
      <c r="J1004"/>
      <c r="K1004"/>
      <c r="L1004"/>
      <c r="M1004"/>
    </row>
    <row r="1005" spans="1:13" x14ac:dyDescent="0.2">
      <c r="A1005" t="s">
        <v>1145</v>
      </c>
      <c r="B1005"/>
      <c r="C1005"/>
      <c r="D1005"/>
      <c r="E1005"/>
      <c r="F1005"/>
      <c r="G1005"/>
      <c r="H1005"/>
      <c r="I1005"/>
      <c r="J1005"/>
      <c r="K1005"/>
      <c r="L1005"/>
      <c r="M1005"/>
    </row>
    <row r="1006" spans="1:13" x14ac:dyDescent="0.2">
      <c r="A1006" t="s">
        <v>1146</v>
      </c>
      <c r="B1006"/>
      <c r="C1006"/>
      <c r="D1006"/>
      <c r="E1006"/>
      <c r="F1006"/>
      <c r="G1006"/>
      <c r="H1006"/>
      <c r="I1006"/>
      <c r="J1006"/>
      <c r="K1006"/>
      <c r="L1006"/>
      <c r="M1006"/>
    </row>
    <row r="1007" spans="1:13" x14ac:dyDescent="0.2">
      <c r="A1007" t="s">
        <v>1147</v>
      </c>
      <c r="B1007"/>
      <c r="C1007"/>
      <c r="D1007"/>
      <c r="E1007"/>
      <c r="F1007"/>
      <c r="G1007"/>
      <c r="H1007"/>
      <c r="I1007"/>
      <c r="J1007"/>
      <c r="K1007"/>
      <c r="L1007"/>
      <c r="M1007"/>
    </row>
    <row r="1008" spans="1:13" x14ac:dyDescent="0.2">
      <c r="A1008" t="s">
        <v>1148</v>
      </c>
      <c r="B1008"/>
      <c r="C1008"/>
      <c r="D1008"/>
      <c r="E1008"/>
      <c r="F1008"/>
      <c r="G1008"/>
      <c r="H1008"/>
      <c r="I1008"/>
      <c r="J1008"/>
      <c r="K1008"/>
      <c r="L1008"/>
      <c r="M1008"/>
    </row>
    <row r="1009" spans="1:13" x14ac:dyDescent="0.2">
      <c r="A1009" t="s">
        <v>1149</v>
      </c>
      <c r="B1009"/>
      <c r="C1009"/>
      <c r="D1009"/>
      <c r="E1009"/>
      <c r="F1009"/>
      <c r="G1009"/>
      <c r="H1009"/>
      <c r="I1009"/>
      <c r="J1009"/>
      <c r="K1009"/>
      <c r="L1009"/>
      <c r="M1009"/>
    </row>
    <row r="1010" spans="1:13" x14ac:dyDescent="0.2">
      <c r="A1010" t="s">
        <v>1150</v>
      </c>
      <c r="B1010"/>
      <c r="C1010"/>
      <c r="D1010"/>
      <c r="E1010"/>
      <c r="F1010"/>
      <c r="G1010"/>
      <c r="H1010"/>
      <c r="I1010"/>
      <c r="J1010"/>
      <c r="K1010"/>
      <c r="L1010"/>
      <c r="M1010"/>
    </row>
    <row r="1011" spans="1:13" x14ac:dyDescent="0.2">
      <c r="A1011" t="s">
        <v>1151</v>
      </c>
      <c r="B1011"/>
      <c r="C1011"/>
      <c r="D1011"/>
      <c r="E1011"/>
      <c r="F1011"/>
      <c r="G1011"/>
      <c r="H1011"/>
      <c r="I1011"/>
      <c r="J1011"/>
      <c r="K1011"/>
      <c r="L1011"/>
      <c r="M1011"/>
    </row>
    <row r="1012" spans="1:13" x14ac:dyDescent="0.2">
      <c r="A1012" t="s">
        <v>1152</v>
      </c>
      <c r="B1012"/>
      <c r="C1012"/>
      <c r="D1012"/>
      <c r="E1012"/>
      <c r="F1012"/>
      <c r="G1012"/>
      <c r="H1012"/>
      <c r="I1012"/>
      <c r="J1012"/>
      <c r="K1012"/>
      <c r="L1012"/>
      <c r="M1012"/>
    </row>
    <row r="1013" spans="1:13" x14ac:dyDescent="0.2">
      <c r="A1013" t="s">
        <v>1153</v>
      </c>
      <c r="B1013"/>
      <c r="C1013"/>
      <c r="D1013"/>
      <c r="E1013"/>
      <c r="F1013"/>
      <c r="G1013"/>
      <c r="H1013"/>
      <c r="I1013"/>
      <c r="J1013"/>
      <c r="K1013"/>
      <c r="L1013"/>
      <c r="M1013"/>
    </row>
    <row r="1014" spans="1:13" x14ac:dyDescent="0.2">
      <c r="A1014" t="s">
        <v>1154</v>
      </c>
      <c r="B1014"/>
      <c r="C1014"/>
      <c r="D1014"/>
      <c r="E1014"/>
      <c r="F1014"/>
      <c r="G1014"/>
      <c r="H1014"/>
      <c r="I1014"/>
      <c r="J1014"/>
      <c r="K1014"/>
      <c r="L1014"/>
      <c r="M1014"/>
    </row>
    <row r="1015" spans="1:13" x14ac:dyDescent="0.2">
      <c r="A1015" t="s">
        <v>1155</v>
      </c>
      <c r="B1015"/>
      <c r="C1015"/>
      <c r="D1015"/>
      <c r="E1015"/>
      <c r="F1015"/>
      <c r="G1015"/>
      <c r="H1015"/>
      <c r="I1015"/>
      <c r="J1015"/>
      <c r="K1015"/>
      <c r="L1015"/>
      <c r="M1015"/>
    </row>
    <row r="1016" spans="1:13" x14ac:dyDescent="0.2">
      <c r="A1016" t="s">
        <v>1156</v>
      </c>
      <c r="B1016"/>
      <c r="C1016"/>
      <c r="D1016"/>
      <c r="E1016"/>
      <c r="F1016"/>
      <c r="G1016"/>
      <c r="H1016"/>
      <c r="I1016"/>
      <c r="J1016"/>
      <c r="K1016"/>
      <c r="L1016"/>
      <c r="M1016"/>
    </row>
    <row r="1017" spans="1:13" x14ac:dyDescent="0.2">
      <c r="A1017" t="s">
        <v>1157</v>
      </c>
      <c r="B1017"/>
      <c r="C1017"/>
      <c r="D1017"/>
      <c r="E1017"/>
      <c r="F1017"/>
      <c r="G1017"/>
      <c r="H1017"/>
      <c r="I1017"/>
      <c r="J1017"/>
      <c r="K1017"/>
      <c r="L1017"/>
      <c r="M1017"/>
    </row>
    <row r="1018" spans="1:13" x14ac:dyDescent="0.2">
      <c r="A1018" t="s">
        <v>1158</v>
      </c>
      <c r="B1018"/>
      <c r="C1018"/>
      <c r="D1018"/>
      <c r="E1018"/>
      <c r="F1018"/>
      <c r="G1018"/>
      <c r="H1018"/>
      <c r="I1018"/>
      <c r="J1018"/>
      <c r="K1018"/>
      <c r="L1018"/>
      <c r="M1018"/>
    </row>
    <row r="1019" spans="1:13" x14ac:dyDescent="0.2">
      <c r="A1019" t="s">
        <v>1159</v>
      </c>
      <c r="B1019"/>
      <c r="C1019"/>
      <c r="D1019"/>
      <c r="E1019"/>
      <c r="F1019"/>
      <c r="G1019"/>
      <c r="H1019"/>
      <c r="I1019"/>
      <c r="J1019"/>
      <c r="K1019"/>
      <c r="L1019"/>
      <c r="M1019"/>
    </row>
    <row r="1020" spans="1:13" x14ac:dyDescent="0.2">
      <c r="A1020" t="s">
        <v>1160</v>
      </c>
      <c r="B1020"/>
      <c r="C1020"/>
      <c r="D1020"/>
      <c r="E1020"/>
      <c r="F1020"/>
      <c r="G1020"/>
      <c r="H1020"/>
      <c r="I1020"/>
      <c r="J1020"/>
      <c r="K1020"/>
      <c r="L1020"/>
      <c r="M1020"/>
    </row>
    <row r="1021" spans="1:13" x14ac:dyDescent="0.2">
      <c r="A1021" t="s">
        <v>1161</v>
      </c>
      <c r="B1021"/>
      <c r="C1021"/>
      <c r="D1021"/>
      <c r="E1021"/>
      <c r="F1021"/>
      <c r="G1021"/>
      <c r="H1021"/>
      <c r="I1021"/>
      <c r="J1021"/>
      <c r="K1021"/>
      <c r="L1021"/>
      <c r="M1021"/>
    </row>
    <row r="1022" spans="1:13" x14ac:dyDescent="0.2">
      <c r="A1022" t="s">
        <v>1162</v>
      </c>
      <c r="B1022"/>
      <c r="C1022"/>
      <c r="D1022"/>
      <c r="E1022"/>
      <c r="F1022"/>
      <c r="G1022"/>
      <c r="H1022"/>
      <c r="I1022"/>
      <c r="J1022"/>
      <c r="K1022"/>
      <c r="L1022"/>
      <c r="M1022"/>
    </row>
    <row r="1023" spans="1:13" x14ac:dyDescent="0.2">
      <c r="A1023" t="s">
        <v>1163</v>
      </c>
      <c r="B1023"/>
      <c r="C1023"/>
      <c r="D1023"/>
      <c r="E1023"/>
      <c r="F1023"/>
      <c r="G1023"/>
      <c r="H1023"/>
      <c r="I1023"/>
      <c r="J1023"/>
      <c r="K1023"/>
      <c r="L1023"/>
      <c r="M1023"/>
    </row>
    <row r="1024" spans="1:13" x14ac:dyDescent="0.2">
      <c r="A1024" t="s">
        <v>1164</v>
      </c>
      <c r="B1024"/>
      <c r="C1024"/>
      <c r="D1024"/>
      <c r="E1024"/>
      <c r="F1024"/>
      <c r="G1024"/>
      <c r="H1024"/>
      <c r="I1024"/>
      <c r="J1024"/>
      <c r="K1024"/>
      <c r="L1024"/>
      <c r="M1024"/>
    </row>
    <row r="1025" spans="1:13" x14ac:dyDescent="0.2">
      <c r="A1025" t="s">
        <v>1165</v>
      </c>
      <c r="B1025"/>
      <c r="C1025"/>
      <c r="D1025"/>
      <c r="E1025"/>
      <c r="F1025"/>
      <c r="G1025"/>
      <c r="H1025"/>
      <c r="I1025"/>
      <c r="J1025"/>
      <c r="K1025"/>
      <c r="L1025"/>
      <c r="M1025"/>
    </row>
    <row r="1026" spans="1:13" x14ac:dyDescent="0.2">
      <c r="A1026" t="s">
        <v>1166</v>
      </c>
      <c r="B1026"/>
      <c r="C1026"/>
      <c r="D1026"/>
      <c r="E1026"/>
      <c r="F1026"/>
      <c r="G1026"/>
      <c r="H1026"/>
      <c r="I1026"/>
      <c r="J1026"/>
      <c r="K1026"/>
      <c r="L1026"/>
      <c r="M1026"/>
    </row>
    <row r="1027" spans="1:13" x14ac:dyDescent="0.2">
      <c r="A1027" t="s">
        <v>1167</v>
      </c>
      <c r="B1027"/>
      <c r="C1027"/>
      <c r="D1027"/>
      <c r="E1027"/>
      <c r="F1027"/>
      <c r="G1027"/>
      <c r="H1027"/>
      <c r="I1027"/>
      <c r="J1027"/>
      <c r="K1027"/>
      <c r="L1027"/>
      <c r="M1027"/>
    </row>
    <row r="1028" spans="1:13" x14ac:dyDescent="0.2">
      <c r="A1028" t="s">
        <v>1168</v>
      </c>
      <c r="B1028"/>
      <c r="C1028"/>
      <c r="D1028"/>
      <c r="E1028"/>
      <c r="F1028"/>
      <c r="G1028"/>
      <c r="H1028"/>
      <c r="I1028"/>
      <c r="J1028"/>
      <c r="K1028"/>
      <c r="L1028"/>
      <c r="M1028"/>
    </row>
    <row r="1029" spans="1:13" x14ac:dyDescent="0.2">
      <c r="A1029" t="s">
        <v>1169</v>
      </c>
      <c r="B1029"/>
      <c r="C1029"/>
      <c r="D1029"/>
      <c r="E1029"/>
      <c r="F1029"/>
      <c r="G1029"/>
      <c r="H1029"/>
      <c r="I1029"/>
      <c r="J1029"/>
      <c r="K1029"/>
      <c r="L1029"/>
      <c r="M1029"/>
    </row>
    <row r="1030" spans="1:13" x14ac:dyDescent="0.2">
      <c r="A1030" t="s">
        <v>1170</v>
      </c>
      <c r="B1030"/>
      <c r="C1030"/>
      <c r="D1030"/>
      <c r="E1030"/>
      <c r="F1030"/>
      <c r="G1030"/>
      <c r="H1030"/>
      <c r="I1030"/>
      <c r="J1030"/>
      <c r="K1030"/>
      <c r="L1030"/>
      <c r="M1030"/>
    </row>
    <row r="1031" spans="1:13" x14ac:dyDescent="0.2">
      <c r="A1031" t="s">
        <v>1171</v>
      </c>
      <c r="B1031"/>
      <c r="C1031"/>
      <c r="D1031"/>
      <c r="E1031"/>
      <c r="F1031"/>
      <c r="G1031"/>
      <c r="H1031"/>
      <c r="I1031"/>
      <c r="J1031"/>
      <c r="K1031"/>
      <c r="L1031"/>
      <c r="M1031"/>
    </row>
    <row r="1032" spans="1:13" x14ac:dyDescent="0.2">
      <c r="A1032" t="s">
        <v>1172</v>
      </c>
      <c r="B1032"/>
      <c r="C1032"/>
      <c r="D1032"/>
      <c r="E1032"/>
      <c r="F1032"/>
      <c r="G1032"/>
      <c r="H1032"/>
      <c r="I1032"/>
      <c r="J1032"/>
      <c r="K1032"/>
      <c r="L1032"/>
      <c r="M1032"/>
    </row>
    <row r="1033" spans="1:13" x14ac:dyDescent="0.2">
      <c r="A1033" t="s">
        <v>1173</v>
      </c>
      <c r="B1033"/>
      <c r="C1033"/>
      <c r="D1033"/>
      <c r="E1033"/>
      <c r="F1033"/>
      <c r="G1033"/>
      <c r="H1033"/>
      <c r="I1033"/>
      <c r="J1033"/>
      <c r="K1033"/>
      <c r="L1033"/>
      <c r="M1033"/>
    </row>
    <row r="1034" spans="1:13" x14ac:dyDescent="0.2">
      <c r="A1034" t="s">
        <v>1174</v>
      </c>
      <c r="B1034"/>
      <c r="C1034"/>
      <c r="D1034"/>
      <c r="E1034"/>
      <c r="F1034"/>
      <c r="G1034"/>
      <c r="H1034"/>
      <c r="I1034"/>
      <c r="J1034"/>
      <c r="K1034"/>
      <c r="L1034"/>
      <c r="M1034"/>
    </row>
    <row r="1035" spans="1:13" x14ac:dyDescent="0.2">
      <c r="A1035" t="s">
        <v>1175</v>
      </c>
      <c r="B1035"/>
      <c r="C1035"/>
      <c r="D1035"/>
      <c r="E1035"/>
      <c r="F1035"/>
      <c r="G1035"/>
      <c r="H1035"/>
      <c r="I1035"/>
      <c r="J1035"/>
      <c r="K1035"/>
      <c r="L1035"/>
      <c r="M1035"/>
    </row>
    <row r="1036" spans="1:13" x14ac:dyDescent="0.2">
      <c r="A1036" t="s">
        <v>1176</v>
      </c>
      <c r="B1036"/>
      <c r="C1036"/>
      <c r="D1036"/>
      <c r="E1036"/>
      <c r="F1036"/>
      <c r="G1036"/>
      <c r="H1036"/>
      <c r="I1036"/>
      <c r="J1036"/>
      <c r="K1036"/>
      <c r="L1036"/>
      <c r="M1036"/>
    </row>
    <row r="1037" spans="1:13" x14ac:dyDescent="0.2">
      <c r="A1037" t="s">
        <v>1177</v>
      </c>
      <c r="B1037"/>
      <c r="C1037"/>
      <c r="D1037"/>
      <c r="E1037"/>
      <c r="F1037"/>
      <c r="G1037"/>
      <c r="H1037"/>
      <c r="I1037"/>
      <c r="J1037"/>
      <c r="K1037"/>
      <c r="L1037"/>
      <c r="M1037"/>
    </row>
    <row r="1038" spans="1:13" x14ac:dyDescent="0.2">
      <c r="A1038" t="s">
        <v>1178</v>
      </c>
      <c r="B1038"/>
      <c r="C1038"/>
      <c r="D1038"/>
      <c r="E1038"/>
      <c r="F1038"/>
      <c r="G1038"/>
      <c r="H1038"/>
      <c r="I1038"/>
      <c r="J1038"/>
      <c r="K1038"/>
      <c r="L1038"/>
      <c r="M1038"/>
    </row>
    <row r="1039" spans="1:13" x14ac:dyDescent="0.2">
      <c r="A1039" t="s">
        <v>1179</v>
      </c>
      <c r="B1039"/>
      <c r="C1039"/>
      <c r="D1039"/>
      <c r="E1039"/>
      <c r="F1039"/>
      <c r="G1039"/>
      <c r="H1039"/>
      <c r="I1039"/>
      <c r="J1039"/>
      <c r="K1039"/>
      <c r="L1039"/>
      <c r="M1039"/>
    </row>
    <row r="1040" spans="1:13" x14ac:dyDescent="0.2">
      <c r="A1040" t="s">
        <v>1180</v>
      </c>
      <c r="B1040"/>
      <c r="C1040"/>
      <c r="D1040"/>
      <c r="E1040"/>
      <c r="F1040"/>
      <c r="G1040"/>
      <c r="H1040"/>
      <c r="I1040"/>
      <c r="J1040"/>
      <c r="K1040"/>
      <c r="L1040"/>
      <c r="M1040"/>
    </row>
    <row r="1041" spans="1:13" x14ac:dyDescent="0.2">
      <c r="A1041" t="s">
        <v>1181</v>
      </c>
      <c r="B1041"/>
      <c r="C1041"/>
      <c r="D1041"/>
      <c r="E1041"/>
      <c r="F1041"/>
      <c r="G1041"/>
      <c r="H1041"/>
      <c r="I1041"/>
      <c r="J1041"/>
      <c r="K1041"/>
      <c r="L1041"/>
      <c r="M1041"/>
    </row>
    <row r="1042" spans="1:13" x14ac:dyDescent="0.2">
      <c r="A1042" t="s">
        <v>1182</v>
      </c>
      <c r="B1042"/>
      <c r="C1042"/>
      <c r="D1042"/>
      <c r="E1042"/>
      <c r="F1042"/>
      <c r="G1042"/>
      <c r="H1042"/>
      <c r="I1042"/>
      <c r="J1042"/>
      <c r="K1042"/>
      <c r="L1042"/>
      <c r="M1042"/>
    </row>
    <row r="1043" spans="1:13" x14ac:dyDescent="0.2">
      <c r="A1043" t="s">
        <v>1183</v>
      </c>
      <c r="B1043"/>
      <c r="C1043"/>
      <c r="D1043"/>
      <c r="E1043"/>
      <c r="F1043"/>
      <c r="G1043"/>
      <c r="H1043"/>
      <c r="I1043"/>
      <c r="J1043"/>
      <c r="K1043"/>
      <c r="L1043"/>
      <c r="M1043"/>
    </row>
    <row r="1044" spans="1:13" x14ac:dyDescent="0.2">
      <c r="A1044" t="s">
        <v>1184</v>
      </c>
      <c r="B1044"/>
      <c r="C1044"/>
      <c r="D1044"/>
      <c r="E1044"/>
      <c r="F1044"/>
      <c r="G1044"/>
      <c r="H1044"/>
      <c r="I1044"/>
      <c r="J1044"/>
      <c r="K1044"/>
      <c r="L1044"/>
      <c r="M1044"/>
    </row>
    <row r="1045" spans="1:13" x14ac:dyDescent="0.2">
      <c r="A1045" t="s">
        <v>1185</v>
      </c>
      <c r="B1045"/>
      <c r="C1045"/>
      <c r="D1045"/>
      <c r="E1045"/>
      <c r="F1045"/>
      <c r="G1045"/>
      <c r="H1045"/>
      <c r="I1045"/>
      <c r="J1045"/>
      <c r="K1045"/>
      <c r="L1045"/>
      <c r="M1045"/>
    </row>
    <row r="1046" spans="1:13" x14ac:dyDescent="0.2">
      <c r="A1046" t="s">
        <v>1186</v>
      </c>
      <c r="B1046"/>
      <c r="C1046"/>
      <c r="D1046"/>
      <c r="E1046"/>
      <c r="F1046"/>
      <c r="G1046"/>
      <c r="H1046"/>
      <c r="I1046"/>
      <c r="J1046"/>
      <c r="K1046"/>
      <c r="L1046"/>
      <c r="M1046"/>
    </row>
    <row r="1047" spans="1:13" x14ac:dyDescent="0.2">
      <c r="A1047" t="s">
        <v>1187</v>
      </c>
      <c r="B1047"/>
      <c r="C1047"/>
      <c r="D1047"/>
      <c r="E1047"/>
      <c r="F1047"/>
      <c r="G1047"/>
      <c r="H1047"/>
      <c r="I1047"/>
      <c r="J1047"/>
      <c r="K1047"/>
      <c r="L1047"/>
      <c r="M1047"/>
    </row>
    <row r="1048" spans="1:13" x14ac:dyDescent="0.2">
      <c r="A1048" t="s">
        <v>1188</v>
      </c>
      <c r="B1048"/>
      <c r="C1048"/>
      <c r="D1048"/>
      <c r="E1048"/>
      <c r="F1048"/>
      <c r="G1048"/>
      <c r="H1048"/>
      <c r="I1048"/>
      <c r="J1048"/>
      <c r="K1048"/>
      <c r="L1048"/>
      <c r="M1048"/>
    </row>
    <row r="1049" spans="1:13" x14ac:dyDescent="0.2">
      <c r="A1049" t="s">
        <v>1189</v>
      </c>
      <c r="B1049"/>
      <c r="C1049"/>
      <c r="D1049"/>
      <c r="E1049"/>
      <c r="F1049"/>
      <c r="G1049"/>
      <c r="H1049"/>
      <c r="I1049"/>
      <c r="J1049"/>
      <c r="K1049"/>
      <c r="L1049"/>
      <c r="M1049"/>
    </row>
    <row r="1050" spans="1:13" x14ac:dyDescent="0.2">
      <c r="A1050" t="s">
        <v>1190</v>
      </c>
      <c r="B1050"/>
      <c r="C1050"/>
      <c r="D1050"/>
      <c r="E1050"/>
      <c r="F1050"/>
      <c r="G1050"/>
      <c r="H1050"/>
      <c r="I1050"/>
      <c r="J1050"/>
      <c r="K1050"/>
      <c r="L1050"/>
      <c r="M1050"/>
    </row>
    <row r="1051" spans="1:13" x14ac:dyDescent="0.2">
      <c r="A1051" t="s">
        <v>1191</v>
      </c>
      <c r="B1051"/>
      <c r="C1051"/>
      <c r="D1051"/>
      <c r="E1051"/>
      <c r="F1051"/>
      <c r="G1051"/>
      <c r="H1051"/>
      <c r="I1051"/>
      <c r="J1051"/>
      <c r="K1051"/>
      <c r="L1051"/>
      <c r="M1051"/>
    </row>
    <row r="1052" spans="1:13" x14ac:dyDescent="0.2">
      <c r="A1052" t="s">
        <v>1192</v>
      </c>
      <c r="B1052"/>
      <c r="C1052"/>
      <c r="D1052"/>
      <c r="E1052"/>
      <c r="F1052"/>
      <c r="G1052"/>
      <c r="H1052"/>
      <c r="I1052"/>
      <c r="J1052"/>
      <c r="K1052"/>
      <c r="L1052"/>
      <c r="M1052"/>
    </row>
    <row r="1053" spans="1:13" x14ac:dyDescent="0.2">
      <c r="A1053" t="s">
        <v>1193</v>
      </c>
      <c r="B1053"/>
      <c r="C1053"/>
      <c r="D1053"/>
      <c r="E1053"/>
      <c r="F1053"/>
      <c r="G1053"/>
      <c r="H1053"/>
      <c r="I1053"/>
      <c r="J1053"/>
      <c r="K1053"/>
      <c r="L1053"/>
      <c r="M1053"/>
    </row>
    <row r="1054" spans="1:13" x14ac:dyDescent="0.2">
      <c r="A1054" t="s">
        <v>1194</v>
      </c>
      <c r="B1054"/>
      <c r="C1054"/>
      <c r="D1054"/>
      <c r="E1054"/>
      <c r="F1054"/>
      <c r="G1054"/>
      <c r="H1054"/>
      <c r="I1054"/>
      <c r="J1054"/>
      <c r="K1054"/>
      <c r="L1054"/>
      <c r="M1054"/>
    </row>
    <row r="1055" spans="1:13" x14ac:dyDescent="0.2">
      <c r="A1055" t="s">
        <v>1195</v>
      </c>
      <c r="B1055"/>
      <c r="C1055"/>
      <c r="D1055"/>
      <c r="E1055"/>
      <c r="F1055"/>
      <c r="G1055"/>
      <c r="H1055"/>
      <c r="I1055"/>
      <c r="J1055"/>
      <c r="K1055"/>
      <c r="L1055"/>
      <c r="M1055"/>
    </row>
    <row r="1056" spans="1:13" x14ac:dyDescent="0.2">
      <c r="A1056" t="s">
        <v>1196</v>
      </c>
      <c r="B1056"/>
      <c r="C1056"/>
      <c r="D1056"/>
      <c r="E1056"/>
      <c r="F1056"/>
      <c r="G1056"/>
      <c r="H1056"/>
      <c r="I1056"/>
      <c r="J1056"/>
      <c r="K1056"/>
      <c r="L1056"/>
      <c r="M1056"/>
    </row>
    <row r="1057" spans="1:13" x14ac:dyDescent="0.2">
      <c r="A1057" t="s">
        <v>1197</v>
      </c>
      <c r="B1057"/>
      <c r="C1057"/>
      <c r="D1057"/>
      <c r="E1057"/>
      <c r="F1057"/>
      <c r="G1057"/>
      <c r="H1057"/>
      <c r="I1057"/>
      <c r="J1057"/>
      <c r="K1057"/>
      <c r="L1057"/>
      <c r="M1057"/>
    </row>
    <row r="1058" spans="1:13" x14ac:dyDescent="0.2">
      <c r="A1058" t="s">
        <v>1198</v>
      </c>
      <c r="B1058"/>
      <c r="C1058"/>
      <c r="D1058"/>
      <c r="E1058"/>
      <c r="F1058"/>
      <c r="G1058"/>
      <c r="H1058"/>
      <c r="I1058"/>
      <c r="J1058"/>
      <c r="K1058"/>
      <c r="L1058"/>
      <c r="M1058"/>
    </row>
    <row r="1059" spans="1:13" x14ac:dyDescent="0.2">
      <c r="A1059" t="s">
        <v>1199</v>
      </c>
      <c r="B1059"/>
      <c r="C1059"/>
      <c r="D1059"/>
      <c r="E1059"/>
      <c r="F1059"/>
      <c r="G1059"/>
      <c r="H1059"/>
      <c r="I1059"/>
      <c r="J1059"/>
      <c r="K1059"/>
      <c r="L1059"/>
      <c r="M1059"/>
    </row>
    <row r="1060" spans="1:13" x14ac:dyDescent="0.2">
      <c r="A1060" t="s">
        <v>1200</v>
      </c>
      <c r="B1060"/>
      <c r="C1060"/>
      <c r="D1060"/>
      <c r="E1060"/>
      <c r="F1060"/>
      <c r="G1060"/>
      <c r="H1060"/>
      <c r="I1060"/>
      <c r="J1060"/>
      <c r="K1060"/>
      <c r="L1060"/>
      <c r="M1060"/>
    </row>
    <row r="1061" spans="1:13" x14ac:dyDescent="0.2">
      <c r="A1061" t="s">
        <v>1201</v>
      </c>
      <c r="B1061"/>
      <c r="C1061"/>
      <c r="D1061"/>
      <c r="E1061"/>
      <c r="F1061"/>
      <c r="G1061"/>
      <c r="H1061"/>
      <c r="I1061"/>
      <c r="J1061"/>
      <c r="K1061"/>
      <c r="L1061"/>
      <c r="M1061"/>
    </row>
    <row r="1062" spans="1:13" x14ac:dyDescent="0.2">
      <c r="A1062" t="s">
        <v>1202</v>
      </c>
      <c r="B1062"/>
      <c r="C1062"/>
      <c r="D1062"/>
      <c r="E1062"/>
      <c r="F1062"/>
      <c r="G1062"/>
      <c r="H1062"/>
      <c r="I1062"/>
      <c r="J1062"/>
      <c r="K1062"/>
      <c r="L1062"/>
      <c r="M1062"/>
    </row>
    <row r="1063" spans="1:13" x14ac:dyDescent="0.2">
      <c r="A1063" t="s">
        <v>1203</v>
      </c>
      <c r="B1063"/>
      <c r="C1063"/>
      <c r="D1063"/>
      <c r="E1063"/>
      <c r="F1063"/>
      <c r="G1063"/>
      <c r="H1063"/>
      <c r="I1063"/>
      <c r="J1063"/>
      <c r="K1063"/>
      <c r="L1063"/>
      <c r="M1063"/>
    </row>
    <row r="1064" spans="1:13" x14ac:dyDescent="0.2">
      <c r="A1064" t="s">
        <v>1204</v>
      </c>
      <c r="B1064"/>
      <c r="C1064"/>
      <c r="D1064"/>
      <c r="E1064"/>
      <c r="F1064"/>
      <c r="G1064"/>
      <c r="H1064"/>
      <c r="I1064"/>
      <c r="J1064"/>
      <c r="K1064"/>
      <c r="L1064"/>
      <c r="M1064"/>
    </row>
    <row r="1065" spans="1:13" x14ac:dyDescent="0.2">
      <c r="A1065" t="s">
        <v>1205</v>
      </c>
      <c r="B1065"/>
      <c r="C1065"/>
      <c r="D1065"/>
      <c r="E1065"/>
      <c r="F1065"/>
      <c r="G1065"/>
      <c r="H1065"/>
      <c r="I1065"/>
      <c r="J1065"/>
      <c r="K1065"/>
      <c r="L1065"/>
      <c r="M1065"/>
    </row>
    <row r="1066" spans="1:13" x14ac:dyDescent="0.2">
      <c r="A1066" t="s">
        <v>1206</v>
      </c>
      <c r="B1066"/>
      <c r="C1066"/>
      <c r="D1066"/>
      <c r="E1066"/>
      <c r="F1066"/>
      <c r="G1066"/>
      <c r="H1066"/>
      <c r="I1066"/>
      <c r="J1066"/>
      <c r="K1066"/>
      <c r="L1066"/>
      <c r="M1066"/>
    </row>
    <row r="1067" spans="1:13" x14ac:dyDescent="0.2">
      <c r="A1067" t="s">
        <v>1207</v>
      </c>
      <c r="B1067"/>
      <c r="C1067"/>
      <c r="D1067"/>
      <c r="E1067"/>
      <c r="F1067"/>
      <c r="G1067"/>
      <c r="H1067"/>
      <c r="I1067"/>
      <c r="J1067"/>
      <c r="K1067"/>
      <c r="L1067"/>
      <c r="M1067"/>
    </row>
    <row r="1068" spans="1:13" x14ac:dyDescent="0.2">
      <c r="A1068" t="s">
        <v>1208</v>
      </c>
      <c r="B1068"/>
      <c r="C1068"/>
      <c r="D1068"/>
      <c r="E1068"/>
      <c r="F1068"/>
      <c r="G1068"/>
      <c r="H1068"/>
      <c r="I1068"/>
      <c r="J1068"/>
      <c r="K1068"/>
      <c r="L1068"/>
      <c r="M1068"/>
    </row>
    <row r="1069" spans="1:13" x14ac:dyDescent="0.2">
      <c r="A1069" t="s">
        <v>1209</v>
      </c>
      <c r="B1069"/>
      <c r="C1069"/>
      <c r="D1069"/>
      <c r="E1069"/>
      <c r="F1069"/>
      <c r="G1069"/>
      <c r="H1069"/>
      <c r="I1069"/>
      <c r="J1069"/>
      <c r="K1069"/>
      <c r="L1069"/>
      <c r="M1069"/>
    </row>
    <row r="1070" spans="1:13" x14ac:dyDescent="0.2">
      <c r="A1070" t="s">
        <v>1210</v>
      </c>
      <c r="B1070"/>
      <c r="C1070"/>
      <c r="D1070"/>
      <c r="E1070"/>
      <c r="F1070"/>
      <c r="G1070"/>
      <c r="H1070"/>
      <c r="I1070"/>
      <c r="J1070"/>
      <c r="K1070"/>
      <c r="L1070"/>
      <c r="M1070"/>
    </row>
    <row r="1071" spans="1:13" x14ac:dyDescent="0.2">
      <c r="A1071" t="s">
        <v>1211</v>
      </c>
      <c r="B1071"/>
      <c r="C1071"/>
      <c r="D1071"/>
      <c r="E1071"/>
      <c r="F1071"/>
      <c r="G1071"/>
      <c r="H1071"/>
      <c r="I1071"/>
      <c r="J1071"/>
      <c r="K1071"/>
      <c r="L1071"/>
      <c r="M1071"/>
    </row>
    <row r="1072" spans="1:13" x14ac:dyDescent="0.2">
      <c r="A1072" t="s">
        <v>1212</v>
      </c>
      <c r="B1072"/>
      <c r="C1072"/>
      <c r="D1072"/>
      <c r="E1072"/>
      <c r="F1072"/>
      <c r="G1072"/>
      <c r="H1072"/>
      <c r="I1072"/>
      <c r="J1072"/>
      <c r="K1072"/>
      <c r="L1072"/>
      <c r="M1072"/>
    </row>
    <row r="1073" spans="1:13" x14ac:dyDescent="0.2">
      <c r="A1073" t="s">
        <v>1213</v>
      </c>
      <c r="B1073"/>
      <c r="C1073"/>
      <c r="D1073"/>
      <c r="E1073"/>
      <c r="F1073"/>
      <c r="G1073"/>
      <c r="H1073"/>
      <c r="I1073"/>
      <c r="J1073"/>
      <c r="K1073"/>
      <c r="L1073"/>
      <c r="M1073"/>
    </row>
    <row r="1074" spans="1:13" x14ac:dyDescent="0.2">
      <c r="A1074" t="s">
        <v>1214</v>
      </c>
      <c r="B1074"/>
      <c r="C1074"/>
      <c r="D1074"/>
      <c r="E1074"/>
      <c r="F1074"/>
      <c r="G1074"/>
      <c r="H1074"/>
      <c r="I1074"/>
      <c r="J1074"/>
      <c r="K1074"/>
      <c r="L1074"/>
      <c r="M1074"/>
    </row>
    <row r="1075" spans="1:13" x14ac:dyDescent="0.2">
      <c r="A1075" t="s">
        <v>1215</v>
      </c>
      <c r="B1075"/>
      <c r="C1075"/>
      <c r="D1075"/>
      <c r="E1075"/>
      <c r="F1075"/>
      <c r="G1075"/>
      <c r="H1075"/>
      <c r="I1075"/>
      <c r="J1075"/>
      <c r="K1075"/>
      <c r="L1075"/>
      <c r="M1075"/>
    </row>
    <row r="1076" spans="1:13" x14ac:dyDescent="0.2">
      <c r="A1076" t="s">
        <v>1216</v>
      </c>
      <c r="B1076"/>
      <c r="C1076"/>
      <c r="D1076"/>
      <c r="E1076"/>
      <c r="F1076"/>
      <c r="G1076"/>
      <c r="H1076"/>
      <c r="I1076"/>
      <c r="J1076"/>
      <c r="K1076"/>
      <c r="L1076"/>
      <c r="M1076"/>
    </row>
    <row r="1077" spans="1:13" x14ac:dyDescent="0.2">
      <c r="A1077" t="s">
        <v>1217</v>
      </c>
      <c r="B1077"/>
      <c r="C1077"/>
      <c r="D1077"/>
      <c r="E1077"/>
      <c r="F1077"/>
      <c r="G1077"/>
      <c r="H1077"/>
      <c r="I1077"/>
      <c r="J1077"/>
      <c r="K1077"/>
      <c r="L1077"/>
      <c r="M1077"/>
    </row>
    <row r="1078" spans="1:13" x14ac:dyDescent="0.2">
      <c r="A1078" t="s">
        <v>1218</v>
      </c>
      <c r="B1078"/>
      <c r="C1078"/>
      <c r="D1078"/>
      <c r="E1078"/>
      <c r="F1078"/>
      <c r="G1078"/>
      <c r="H1078"/>
      <c r="I1078"/>
      <c r="J1078"/>
      <c r="K1078"/>
      <c r="L1078"/>
      <c r="M1078"/>
    </row>
    <row r="1079" spans="1:13" x14ac:dyDescent="0.2">
      <c r="A1079" t="s">
        <v>1219</v>
      </c>
      <c r="B1079"/>
      <c r="C1079"/>
      <c r="D1079"/>
      <c r="E1079"/>
      <c r="F1079"/>
      <c r="G1079"/>
      <c r="H1079"/>
      <c r="I1079"/>
      <c r="J1079"/>
      <c r="K1079"/>
      <c r="L1079"/>
      <c r="M1079"/>
    </row>
    <row r="1080" spans="1:13" x14ac:dyDescent="0.2">
      <c r="A1080" t="s">
        <v>1220</v>
      </c>
      <c r="B1080"/>
      <c r="C1080"/>
      <c r="D1080"/>
      <c r="E1080"/>
      <c r="F1080"/>
      <c r="G1080"/>
      <c r="H1080"/>
      <c r="I1080"/>
      <c r="J1080"/>
      <c r="K1080"/>
      <c r="L1080"/>
      <c r="M1080"/>
    </row>
    <row r="1081" spans="1:13" x14ac:dyDescent="0.2">
      <c r="A1081" t="s">
        <v>1221</v>
      </c>
      <c r="B1081"/>
      <c r="C1081"/>
      <c r="D1081"/>
      <c r="E1081"/>
      <c r="F1081"/>
      <c r="G1081"/>
      <c r="H1081"/>
      <c r="I1081"/>
      <c r="J1081"/>
      <c r="K1081"/>
      <c r="L1081"/>
      <c r="M1081"/>
    </row>
    <row r="1082" spans="1:13" x14ac:dyDescent="0.2">
      <c r="A1082" t="s">
        <v>1222</v>
      </c>
      <c r="B1082"/>
      <c r="C1082"/>
      <c r="D1082"/>
      <c r="E1082"/>
      <c r="F1082"/>
      <c r="G1082"/>
      <c r="H1082"/>
      <c r="I1082"/>
      <c r="J1082"/>
      <c r="K1082"/>
      <c r="L1082"/>
      <c r="M1082"/>
    </row>
    <row r="1083" spans="1:13" x14ac:dyDescent="0.2">
      <c r="A1083" t="s">
        <v>1223</v>
      </c>
      <c r="B1083"/>
      <c r="C1083"/>
      <c r="D1083"/>
      <c r="E1083"/>
      <c r="F1083"/>
      <c r="G1083"/>
      <c r="H1083"/>
      <c r="I1083"/>
      <c r="J1083"/>
      <c r="K1083"/>
      <c r="L1083"/>
      <c r="M1083"/>
    </row>
    <row r="1084" spans="1:13" x14ac:dyDescent="0.2">
      <c r="A1084" t="s">
        <v>1224</v>
      </c>
      <c r="B1084"/>
      <c r="C1084"/>
      <c r="D1084"/>
      <c r="E1084"/>
      <c r="F1084"/>
      <c r="G1084"/>
      <c r="H1084"/>
      <c r="I1084"/>
      <c r="J1084"/>
      <c r="K1084"/>
      <c r="L1084"/>
      <c r="M1084"/>
    </row>
    <row r="1085" spans="1:13" x14ac:dyDescent="0.2">
      <c r="A1085" t="s">
        <v>1225</v>
      </c>
      <c r="B1085"/>
      <c r="C1085"/>
      <c r="D1085"/>
      <c r="E1085"/>
      <c r="F1085"/>
      <c r="G1085"/>
      <c r="H1085"/>
      <c r="I1085"/>
      <c r="J1085"/>
      <c r="K1085"/>
      <c r="L1085"/>
      <c r="M1085"/>
    </row>
    <row r="1086" spans="1:13" x14ac:dyDescent="0.2">
      <c r="A1086" t="s">
        <v>1226</v>
      </c>
      <c r="B1086"/>
      <c r="C1086"/>
      <c r="D1086"/>
      <c r="E1086"/>
      <c r="F1086"/>
      <c r="G1086"/>
      <c r="H1086"/>
      <c r="I1086"/>
      <c r="J1086"/>
      <c r="K1086"/>
      <c r="L1086"/>
      <c r="M1086"/>
    </row>
    <row r="1087" spans="1:13" x14ac:dyDescent="0.2">
      <c r="A1087" t="s">
        <v>1227</v>
      </c>
      <c r="B1087"/>
      <c r="C1087"/>
      <c r="D1087"/>
      <c r="E1087"/>
      <c r="F1087"/>
      <c r="G1087"/>
      <c r="H1087"/>
      <c r="I1087"/>
      <c r="J1087"/>
      <c r="K1087"/>
      <c r="L1087"/>
      <c r="M1087"/>
    </row>
    <row r="1088" spans="1:13" x14ac:dyDescent="0.2">
      <c r="A1088" t="s">
        <v>1228</v>
      </c>
      <c r="B1088"/>
      <c r="C1088"/>
      <c r="D1088"/>
      <c r="E1088"/>
      <c r="F1088"/>
      <c r="G1088"/>
      <c r="H1088"/>
      <c r="I1088"/>
      <c r="J1088"/>
      <c r="K1088"/>
      <c r="L1088"/>
      <c r="M1088"/>
    </row>
    <row r="1089" spans="1:13" x14ac:dyDescent="0.2">
      <c r="A1089" t="s">
        <v>1229</v>
      </c>
      <c r="B1089"/>
      <c r="C1089"/>
      <c r="D1089"/>
      <c r="E1089"/>
      <c r="F1089"/>
      <c r="G1089"/>
      <c r="H1089"/>
      <c r="I1089"/>
      <c r="J1089"/>
      <c r="K1089"/>
      <c r="L1089"/>
      <c r="M1089"/>
    </row>
    <row r="1090" spans="1:13" x14ac:dyDescent="0.2">
      <c r="A1090" t="s">
        <v>1230</v>
      </c>
      <c r="B1090"/>
      <c r="C1090"/>
      <c r="D1090"/>
      <c r="E1090"/>
      <c r="F1090"/>
      <c r="G1090"/>
      <c r="H1090"/>
      <c r="I1090"/>
      <c r="J1090"/>
      <c r="K1090"/>
      <c r="L1090"/>
      <c r="M1090"/>
    </row>
    <row r="1091" spans="1:13" x14ac:dyDescent="0.2">
      <c r="A1091" t="s">
        <v>1231</v>
      </c>
      <c r="B1091"/>
      <c r="C1091"/>
      <c r="D1091"/>
      <c r="E1091"/>
      <c r="F1091"/>
      <c r="G1091"/>
      <c r="H1091"/>
      <c r="I1091"/>
      <c r="J1091"/>
      <c r="K1091"/>
      <c r="L1091"/>
      <c r="M1091"/>
    </row>
    <row r="1092" spans="1:13" x14ac:dyDescent="0.2">
      <c r="A1092" t="s">
        <v>1232</v>
      </c>
      <c r="B1092"/>
      <c r="C1092"/>
      <c r="D1092"/>
      <c r="E1092"/>
      <c r="F1092"/>
      <c r="G1092"/>
      <c r="H1092"/>
      <c r="I1092"/>
      <c r="J1092"/>
      <c r="K1092"/>
      <c r="L1092"/>
      <c r="M1092"/>
    </row>
    <row r="1093" spans="1:13" x14ac:dyDescent="0.2">
      <c r="A1093" t="s">
        <v>1233</v>
      </c>
      <c r="B1093"/>
      <c r="C1093"/>
      <c r="D1093"/>
      <c r="E1093"/>
      <c r="F1093"/>
      <c r="G1093"/>
      <c r="H1093"/>
      <c r="I1093"/>
      <c r="J1093"/>
      <c r="K1093"/>
      <c r="L1093"/>
      <c r="M1093"/>
    </row>
    <row r="1094" spans="1:13" x14ac:dyDescent="0.2">
      <c r="A1094" t="s">
        <v>1234</v>
      </c>
      <c r="B1094"/>
      <c r="C1094"/>
      <c r="D1094"/>
      <c r="E1094"/>
      <c r="F1094"/>
      <c r="G1094"/>
      <c r="H1094"/>
      <c r="I1094"/>
      <c r="J1094"/>
      <c r="K1094"/>
      <c r="L1094"/>
      <c r="M1094"/>
    </row>
    <row r="1095" spans="1:13" x14ac:dyDescent="0.2">
      <c r="A1095" t="s">
        <v>1235</v>
      </c>
      <c r="B1095"/>
      <c r="C1095"/>
      <c r="D1095"/>
      <c r="E1095"/>
      <c r="F1095"/>
      <c r="G1095"/>
      <c r="H1095"/>
      <c r="I1095"/>
      <c r="J1095"/>
      <c r="K1095"/>
      <c r="L1095"/>
      <c r="M1095"/>
    </row>
    <row r="1096" spans="1:13" x14ac:dyDescent="0.2">
      <c r="A1096" t="s">
        <v>1236</v>
      </c>
      <c r="B1096"/>
      <c r="C1096"/>
      <c r="D1096"/>
      <c r="E1096"/>
      <c r="F1096"/>
      <c r="G1096"/>
      <c r="H1096"/>
      <c r="I1096"/>
      <c r="J1096"/>
      <c r="K1096"/>
      <c r="L1096"/>
      <c r="M1096"/>
    </row>
    <row r="1097" spans="1:13" x14ac:dyDescent="0.2">
      <c r="A1097" t="s">
        <v>1237</v>
      </c>
      <c r="B1097"/>
      <c r="C1097"/>
      <c r="D1097"/>
      <c r="E1097"/>
      <c r="F1097"/>
      <c r="G1097"/>
      <c r="H1097"/>
      <c r="I1097"/>
      <c r="J1097"/>
      <c r="K1097"/>
      <c r="L1097"/>
      <c r="M1097"/>
    </row>
    <row r="1098" spans="1:13" x14ac:dyDescent="0.2">
      <c r="A1098" t="s">
        <v>1238</v>
      </c>
      <c r="B1098"/>
      <c r="C1098"/>
      <c r="D1098"/>
      <c r="E1098"/>
      <c r="F1098"/>
      <c r="G1098"/>
      <c r="H1098"/>
      <c r="I1098"/>
      <c r="J1098"/>
      <c r="K1098"/>
      <c r="L1098"/>
      <c r="M1098"/>
    </row>
    <row r="1099" spans="1:13" x14ac:dyDescent="0.2">
      <c r="A1099" t="s">
        <v>1239</v>
      </c>
      <c r="B1099"/>
      <c r="C1099"/>
      <c r="D1099"/>
      <c r="E1099"/>
      <c r="F1099"/>
      <c r="G1099"/>
      <c r="H1099"/>
      <c r="I1099"/>
      <c r="J1099"/>
      <c r="K1099"/>
      <c r="L1099"/>
      <c r="M1099"/>
    </row>
    <row r="1100" spans="1:13" x14ac:dyDescent="0.2">
      <c r="A1100" t="s">
        <v>1240</v>
      </c>
      <c r="B1100"/>
      <c r="C1100"/>
      <c r="D1100"/>
      <c r="E1100"/>
      <c r="F1100"/>
      <c r="G1100"/>
      <c r="H1100"/>
      <c r="I1100"/>
      <c r="J1100"/>
      <c r="K1100"/>
      <c r="L1100"/>
      <c r="M1100"/>
    </row>
    <row r="1101" spans="1:13" x14ac:dyDescent="0.2">
      <c r="A1101" t="s">
        <v>1241</v>
      </c>
      <c r="B1101"/>
      <c r="C1101"/>
      <c r="D1101"/>
      <c r="E1101"/>
      <c r="F1101"/>
      <c r="G1101"/>
      <c r="H1101"/>
      <c r="I1101"/>
      <c r="J1101"/>
      <c r="K1101"/>
      <c r="L1101"/>
      <c r="M1101"/>
    </row>
    <row r="1102" spans="1:13" x14ac:dyDescent="0.2">
      <c r="A1102" t="s">
        <v>1242</v>
      </c>
      <c r="B1102"/>
      <c r="C1102"/>
      <c r="D1102"/>
      <c r="E1102"/>
      <c r="F1102"/>
      <c r="G1102"/>
      <c r="H1102"/>
      <c r="I1102"/>
      <c r="J1102"/>
      <c r="K1102"/>
      <c r="L1102"/>
      <c r="M1102"/>
    </row>
    <row r="1103" spans="1:13" x14ac:dyDescent="0.2">
      <c r="A1103" t="s">
        <v>1243</v>
      </c>
      <c r="B1103"/>
      <c r="C1103"/>
      <c r="D1103"/>
      <c r="E1103"/>
      <c r="F1103"/>
      <c r="G1103"/>
      <c r="H1103"/>
      <c r="I1103"/>
      <c r="J1103"/>
      <c r="K1103"/>
      <c r="L1103"/>
      <c r="M1103"/>
    </row>
    <row r="1104" spans="1:13" x14ac:dyDescent="0.2">
      <c r="A1104" t="s">
        <v>1244</v>
      </c>
      <c r="B1104"/>
      <c r="C1104"/>
      <c r="D1104"/>
      <c r="E1104"/>
      <c r="F1104"/>
      <c r="G1104"/>
      <c r="H1104"/>
      <c r="I1104"/>
      <c r="J1104"/>
      <c r="K1104"/>
      <c r="L1104"/>
      <c r="M1104"/>
    </row>
    <row r="1105" spans="1:13" x14ac:dyDescent="0.2">
      <c r="A1105" t="s">
        <v>1245</v>
      </c>
      <c r="B1105"/>
      <c r="C1105"/>
      <c r="D1105"/>
      <c r="E1105"/>
      <c r="F1105"/>
      <c r="G1105"/>
      <c r="H1105"/>
      <c r="I1105"/>
      <c r="J1105"/>
      <c r="K1105"/>
      <c r="L1105"/>
      <c r="M1105"/>
    </row>
    <row r="1106" spans="1:13" x14ac:dyDescent="0.2">
      <c r="A1106" t="s">
        <v>1246</v>
      </c>
      <c r="B1106"/>
      <c r="C1106"/>
      <c r="D1106"/>
      <c r="E1106"/>
      <c r="F1106"/>
      <c r="G1106"/>
      <c r="H1106"/>
      <c r="I1106"/>
      <c r="J1106"/>
      <c r="K1106"/>
      <c r="L1106"/>
      <c r="M1106"/>
    </row>
    <row r="1107" spans="1:13" x14ac:dyDescent="0.2">
      <c r="A1107" t="s">
        <v>1247</v>
      </c>
      <c r="B1107"/>
      <c r="C1107"/>
      <c r="D1107"/>
      <c r="E1107"/>
      <c r="F1107"/>
      <c r="G1107"/>
      <c r="H1107"/>
      <c r="I1107"/>
      <c r="J1107"/>
      <c r="K1107"/>
      <c r="L1107"/>
      <c r="M1107"/>
    </row>
    <row r="1108" spans="1:13" x14ac:dyDescent="0.2">
      <c r="A1108" t="s">
        <v>1248</v>
      </c>
      <c r="B1108"/>
      <c r="C1108"/>
      <c r="D1108"/>
      <c r="E1108"/>
      <c r="F1108"/>
      <c r="G1108"/>
      <c r="H1108"/>
      <c r="I1108"/>
      <c r="J1108"/>
      <c r="K1108"/>
      <c r="L1108"/>
      <c r="M1108"/>
    </row>
    <row r="1109" spans="1:13" x14ac:dyDescent="0.2">
      <c r="A1109" t="s">
        <v>1249</v>
      </c>
      <c r="B1109"/>
      <c r="C1109"/>
      <c r="D1109"/>
      <c r="E1109"/>
      <c r="F1109"/>
      <c r="G1109"/>
      <c r="H1109"/>
      <c r="I1109"/>
      <c r="J1109"/>
      <c r="K1109"/>
      <c r="L1109"/>
      <c r="M1109"/>
    </row>
    <row r="1110" spans="1:13" x14ac:dyDescent="0.2">
      <c r="A1110" t="s">
        <v>1250</v>
      </c>
      <c r="B1110"/>
      <c r="C1110"/>
      <c r="D1110"/>
      <c r="E1110"/>
      <c r="F1110"/>
      <c r="G1110"/>
      <c r="H1110"/>
      <c r="I1110"/>
      <c r="J1110"/>
      <c r="K1110"/>
      <c r="L1110"/>
      <c r="M1110"/>
    </row>
    <row r="1111" spans="1:13" x14ac:dyDescent="0.2">
      <c r="A1111" t="s">
        <v>1251</v>
      </c>
      <c r="B1111"/>
      <c r="C1111"/>
      <c r="D1111"/>
      <c r="E1111"/>
      <c r="F1111"/>
      <c r="G1111"/>
      <c r="H1111"/>
      <c r="I1111"/>
      <c r="J1111"/>
      <c r="K1111"/>
      <c r="L1111"/>
      <c r="M1111"/>
    </row>
    <row r="1112" spans="1:13" x14ac:dyDescent="0.2">
      <c r="A1112" t="s">
        <v>1252</v>
      </c>
      <c r="B1112"/>
      <c r="C1112"/>
      <c r="D1112"/>
      <c r="E1112"/>
      <c r="F1112"/>
      <c r="G1112"/>
      <c r="H1112"/>
      <c r="I1112"/>
      <c r="J1112"/>
      <c r="K1112"/>
      <c r="L1112"/>
      <c r="M1112"/>
    </row>
    <row r="1113" spans="1:13" x14ac:dyDescent="0.2">
      <c r="A1113" t="s">
        <v>1253</v>
      </c>
      <c r="B1113"/>
      <c r="C1113"/>
      <c r="D1113"/>
      <c r="E1113"/>
      <c r="F1113"/>
      <c r="G1113"/>
      <c r="H1113"/>
      <c r="I1113"/>
      <c r="J1113"/>
      <c r="K1113"/>
      <c r="L1113"/>
      <c r="M1113"/>
    </row>
    <row r="1114" spans="1:13" x14ac:dyDescent="0.2">
      <c r="A1114" t="s">
        <v>1254</v>
      </c>
      <c r="B1114"/>
      <c r="C1114"/>
      <c r="D1114"/>
      <c r="E1114"/>
      <c r="F1114"/>
      <c r="G1114"/>
      <c r="H1114"/>
      <c r="I1114"/>
      <c r="J1114"/>
      <c r="K1114"/>
      <c r="L1114"/>
      <c r="M1114"/>
    </row>
    <row r="1115" spans="1:13" x14ac:dyDescent="0.2">
      <c r="A1115" t="s">
        <v>1255</v>
      </c>
      <c r="B1115"/>
      <c r="C1115"/>
      <c r="D1115"/>
      <c r="E1115"/>
      <c r="F1115"/>
      <c r="G1115"/>
      <c r="H1115"/>
      <c r="I1115"/>
      <c r="J1115"/>
      <c r="K1115"/>
      <c r="L1115"/>
      <c r="M1115"/>
    </row>
    <row r="1116" spans="1:13" x14ac:dyDescent="0.2">
      <c r="A1116" t="s">
        <v>1256</v>
      </c>
      <c r="B1116"/>
      <c r="C1116"/>
      <c r="D1116"/>
      <c r="E1116"/>
      <c r="F1116"/>
      <c r="G1116"/>
      <c r="H1116"/>
      <c r="I1116"/>
      <c r="J1116"/>
      <c r="K1116"/>
      <c r="L1116"/>
      <c r="M1116"/>
    </row>
    <row r="1117" spans="1:13" x14ac:dyDescent="0.2">
      <c r="A1117" t="s">
        <v>1257</v>
      </c>
      <c r="B1117"/>
      <c r="C1117"/>
      <c r="D1117"/>
      <c r="E1117"/>
      <c r="F1117"/>
      <c r="G1117"/>
      <c r="H1117"/>
      <c r="I1117"/>
      <c r="J1117"/>
      <c r="K1117"/>
      <c r="L1117"/>
      <c r="M1117"/>
    </row>
    <row r="1118" spans="1:13" x14ac:dyDescent="0.2">
      <c r="A1118" t="s">
        <v>1258</v>
      </c>
      <c r="B1118"/>
      <c r="C1118"/>
      <c r="D1118"/>
      <c r="E1118"/>
      <c r="F1118"/>
      <c r="G1118"/>
      <c r="H1118"/>
      <c r="I1118"/>
      <c r="J1118"/>
      <c r="K1118"/>
      <c r="L1118"/>
      <c r="M1118"/>
    </row>
    <row r="1119" spans="1:13" x14ac:dyDescent="0.2">
      <c r="A1119" t="s">
        <v>1259</v>
      </c>
      <c r="B1119"/>
      <c r="C1119"/>
      <c r="D1119"/>
      <c r="E1119"/>
      <c r="F1119"/>
      <c r="G1119"/>
      <c r="H1119"/>
      <c r="I1119"/>
      <c r="J1119"/>
      <c r="K1119"/>
      <c r="L1119"/>
      <c r="M1119"/>
    </row>
    <row r="1120" spans="1:13" x14ac:dyDescent="0.2">
      <c r="A1120" t="s">
        <v>1260</v>
      </c>
      <c r="B1120"/>
      <c r="C1120"/>
      <c r="D1120"/>
      <c r="E1120"/>
      <c r="F1120"/>
      <c r="G1120"/>
      <c r="H1120"/>
      <c r="I1120"/>
      <c r="J1120"/>
      <c r="K1120"/>
      <c r="L1120"/>
      <c r="M1120"/>
    </row>
    <row r="1121" spans="1:13" x14ac:dyDescent="0.2">
      <c r="A1121" t="s">
        <v>1261</v>
      </c>
      <c r="B1121"/>
      <c r="C1121"/>
      <c r="D1121"/>
      <c r="E1121"/>
      <c r="F1121"/>
      <c r="G1121"/>
      <c r="H1121"/>
      <c r="I1121"/>
      <c r="J1121"/>
      <c r="K1121"/>
      <c r="L1121"/>
      <c r="M1121"/>
    </row>
    <row r="1122" spans="1:13" x14ac:dyDescent="0.2">
      <c r="A1122" t="s">
        <v>1262</v>
      </c>
      <c r="B1122"/>
      <c r="C1122"/>
      <c r="D1122"/>
      <c r="E1122"/>
      <c r="F1122"/>
      <c r="G1122"/>
      <c r="H1122"/>
      <c r="I1122"/>
      <c r="J1122"/>
      <c r="K1122"/>
      <c r="L1122"/>
      <c r="M1122"/>
    </row>
    <row r="1123" spans="1:13" x14ac:dyDescent="0.2">
      <c r="A1123" t="s">
        <v>1263</v>
      </c>
      <c r="B1123"/>
      <c r="C1123"/>
      <c r="D1123"/>
      <c r="E1123"/>
      <c r="F1123"/>
      <c r="G1123"/>
      <c r="H1123"/>
      <c r="I1123"/>
      <c r="J1123"/>
      <c r="K1123"/>
      <c r="L1123"/>
      <c r="M1123"/>
    </row>
    <row r="1124" spans="1:13" x14ac:dyDescent="0.2">
      <c r="A1124" t="s">
        <v>1264</v>
      </c>
      <c r="B1124"/>
      <c r="C1124"/>
      <c r="D1124"/>
      <c r="E1124"/>
      <c r="F1124"/>
      <c r="G1124"/>
      <c r="H1124"/>
      <c r="I1124"/>
      <c r="J1124"/>
      <c r="K1124"/>
      <c r="L1124"/>
      <c r="M1124"/>
    </row>
    <row r="1125" spans="1:13" x14ac:dyDescent="0.2">
      <c r="A1125" t="s">
        <v>1265</v>
      </c>
      <c r="B1125"/>
      <c r="C1125"/>
      <c r="D1125"/>
      <c r="E1125"/>
      <c r="F1125"/>
      <c r="G1125"/>
      <c r="H1125"/>
      <c r="I1125"/>
      <c r="J1125"/>
      <c r="K1125"/>
      <c r="L1125"/>
      <c r="M1125"/>
    </row>
    <row r="1126" spans="1:13" x14ac:dyDescent="0.2">
      <c r="A1126" t="s">
        <v>1266</v>
      </c>
      <c r="B1126"/>
      <c r="C1126"/>
      <c r="D1126"/>
      <c r="E1126"/>
      <c r="F1126"/>
      <c r="G1126"/>
      <c r="H1126"/>
      <c r="I1126"/>
      <c r="J1126"/>
      <c r="K1126"/>
      <c r="L1126"/>
      <c r="M1126"/>
    </row>
    <row r="1127" spans="1:13" x14ac:dyDescent="0.2">
      <c r="A1127" t="s">
        <v>1267</v>
      </c>
      <c r="B1127"/>
      <c r="C1127"/>
      <c r="D1127"/>
      <c r="E1127"/>
      <c r="F1127"/>
      <c r="G1127"/>
      <c r="H1127"/>
      <c r="I1127"/>
      <c r="J1127"/>
      <c r="K1127"/>
      <c r="L1127"/>
      <c r="M1127"/>
    </row>
    <row r="1128" spans="1:13" x14ac:dyDescent="0.2">
      <c r="A1128" t="s">
        <v>1268</v>
      </c>
      <c r="B1128"/>
      <c r="C1128"/>
      <c r="D1128"/>
      <c r="E1128"/>
      <c r="F1128"/>
      <c r="G1128"/>
      <c r="H1128"/>
      <c r="I1128"/>
      <c r="J1128"/>
      <c r="K1128"/>
      <c r="L1128"/>
      <c r="M1128"/>
    </row>
    <row r="1129" spans="1:13" x14ac:dyDescent="0.2">
      <c r="A1129" t="s">
        <v>1269</v>
      </c>
      <c r="B1129"/>
      <c r="C1129"/>
      <c r="D1129"/>
      <c r="E1129"/>
      <c r="F1129"/>
      <c r="G1129"/>
      <c r="H1129"/>
      <c r="I1129"/>
      <c r="J1129"/>
      <c r="K1129"/>
      <c r="L1129"/>
      <c r="M1129"/>
    </row>
    <row r="1130" spans="1:13" x14ac:dyDescent="0.2">
      <c r="A1130" t="s">
        <v>1270</v>
      </c>
      <c r="B1130"/>
      <c r="C1130"/>
      <c r="D1130"/>
      <c r="E1130"/>
      <c r="F1130"/>
      <c r="G1130"/>
      <c r="H1130"/>
      <c r="I1130"/>
      <c r="J1130"/>
      <c r="K1130"/>
      <c r="L1130"/>
      <c r="M1130"/>
    </row>
    <row r="1131" spans="1:13" x14ac:dyDescent="0.2">
      <c r="A1131" t="s">
        <v>1271</v>
      </c>
      <c r="B1131"/>
      <c r="C1131"/>
      <c r="D1131"/>
      <c r="E1131"/>
      <c r="F1131"/>
      <c r="G1131"/>
      <c r="H1131"/>
      <c r="I1131"/>
      <c r="J1131"/>
      <c r="K1131"/>
      <c r="L1131"/>
      <c r="M1131"/>
    </row>
    <row r="1132" spans="1:13" x14ac:dyDescent="0.2">
      <c r="A1132" t="s">
        <v>1272</v>
      </c>
      <c r="B1132"/>
      <c r="C1132"/>
      <c r="D1132"/>
      <c r="E1132"/>
      <c r="F1132"/>
      <c r="G1132"/>
      <c r="H1132"/>
      <c r="I1132"/>
      <c r="J1132"/>
      <c r="K1132"/>
      <c r="L1132"/>
      <c r="M1132"/>
    </row>
    <row r="1133" spans="1:13" x14ac:dyDescent="0.2">
      <c r="A1133" t="s">
        <v>1273</v>
      </c>
      <c r="B1133"/>
      <c r="C1133"/>
      <c r="D1133"/>
      <c r="E1133"/>
      <c r="F1133"/>
      <c r="G1133"/>
      <c r="H1133"/>
      <c r="I1133"/>
      <c r="J1133"/>
      <c r="K1133"/>
      <c r="L1133"/>
      <c r="M1133"/>
    </row>
    <row r="1134" spans="1:13" x14ac:dyDescent="0.2">
      <c r="A1134" t="s">
        <v>1274</v>
      </c>
      <c r="B1134"/>
      <c r="C1134"/>
      <c r="D1134"/>
      <c r="E1134"/>
      <c r="F1134"/>
      <c r="G1134"/>
      <c r="H1134"/>
      <c r="I1134"/>
      <c r="J1134"/>
      <c r="K1134"/>
      <c r="L1134"/>
      <c r="M1134"/>
    </row>
    <row r="1135" spans="1:13" x14ac:dyDescent="0.2">
      <c r="A1135" t="s">
        <v>1275</v>
      </c>
      <c r="B1135"/>
      <c r="C1135"/>
      <c r="D1135"/>
      <c r="E1135"/>
      <c r="F1135"/>
      <c r="G1135"/>
      <c r="H1135"/>
      <c r="I1135"/>
      <c r="J1135"/>
      <c r="K1135"/>
      <c r="L1135"/>
      <c r="M1135"/>
    </row>
    <row r="1136" spans="1:13" x14ac:dyDescent="0.2">
      <c r="A1136" t="s">
        <v>1276</v>
      </c>
      <c r="B1136"/>
      <c r="C1136"/>
      <c r="D1136"/>
      <c r="E1136"/>
      <c r="F1136"/>
      <c r="G1136"/>
      <c r="H1136"/>
      <c r="I1136"/>
      <c r="J1136"/>
      <c r="K1136"/>
      <c r="L1136"/>
      <c r="M1136"/>
    </row>
    <row r="1137" spans="1:13" x14ac:dyDescent="0.2">
      <c r="A1137" t="s">
        <v>1277</v>
      </c>
      <c r="B1137"/>
      <c r="C1137"/>
      <c r="D1137"/>
      <c r="E1137"/>
      <c r="F1137"/>
      <c r="G1137"/>
      <c r="H1137"/>
      <c r="I1137"/>
      <c r="J1137"/>
      <c r="K1137"/>
      <c r="L1137"/>
      <c r="M1137"/>
    </row>
    <row r="1138" spans="1:13" x14ac:dyDescent="0.2">
      <c r="A1138" t="s">
        <v>1278</v>
      </c>
      <c r="B1138"/>
      <c r="C1138"/>
      <c r="D1138"/>
      <c r="E1138"/>
      <c r="F1138"/>
      <c r="G1138"/>
      <c r="H1138"/>
      <c r="I1138"/>
      <c r="J1138"/>
      <c r="K1138"/>
      <c r="L1138"/>
      <c r="M1138"/>
    </row>
    <row r="1139" spans="1:13" x14ac:dyDescent="0.2">
      <c r="A1139" t="s">
        <v>1279</v>
      </c>
      <c r="B1139"/>
      <c r="C1139"/>
      <c r="D1139"/>
      <c r="E1139"/>
      <c r="F1139"/>
      <c r="G1139"/>
      <c r="H1139"/>
      <c r="I1139"/>
      <c r="J1139"/>
      <c r="K1139"/>
      <c r="L1139"/>
      <c r="M1139"/>
    </row>
    <row r="1140" spans="1:13" x14ac:dyDescent="0.2">
      <c r="A1140" t="s">
        <v>1280</v>
      </c>
      <c r="B1140"/>
      <c r="C1140"/>
      <c r="D1140"/>
      <c r="E1140"/>
      <c r="F1140"/>
      <c r="G1140"/>
      <c r="H1140"/>
      <c r="I1140"/>
      <c r="J1140"/>
      <c r="K1140"/>
      <c r="L1140"/>
      <c r="M1140"/>
    </row>
    <row r="1141" spans="1:13" x14ac:dyDescent="0.2">
      <c r="A1141" t="s">
        <v>1281</v>
      </c>
      <c r="B1141"/>
      <c r="C1141"/>
      <c r="D1141"/>
      <c r="E1141"/>
      <c r="F1141"/>
      <c r="G1141"/>
      <c r="H1141"/>
      <c r="I1141"/>
      <c r="J1141"/>
      <c r="K1141"/>
      <c r="L1141"/>
      <c r="M1141"/>
    </row>
    <row r="1142" spans="1:13" x14ac:dyDescent="0.2">
      <c r="A1142" t="s">
        <v>1282</v>
      </c>
      <c r="B1142"/>
      <c r="C1142"/>
      <c r="D1142"/>
      <c r="E1142"/>
      <c r="F1142"/>
      <c r="G1142"/>
      <c r="H1142"/>
      <c r="I1142"/>
      <c r="J1142"/>
      <c r="K1142"/>
      <c r="L1142"/>
      <c r="M1142"/>
    </row>
    <row r="1143" spans="1:13" x14ac:dyDescent="0.2">
      <c r="A1143" t="s">
        <v>1283</v>
      </c>
      <c r="B1143"/>
      <c r="C1143"/>
      <c r="D1143"/>
      <c r="E1143"/>
      <c r="F1143"/>
      <c r="G1143"/>
      <c r="H1143"/>
      <c r="I1143"/>
      <c r="J1143"/>
      <c r="K1143"/>
      <c r="L1143"/>
      <c r="M1143"/>
    </row>
    <row r="1144" spans="1:13" x14ac:dyDescent="0.2">
      <c r="A1144" t="s">
        <v>1284</v>
      </c>
      <c r="B1144"/>
      <c r="C1144"/>
      <c r="D1144"/>
      <c r="E1144"/>
      <c r="F1144"/>
      <c r="G1144"/>
      <c r="H1144"/>
      <c r="I1144"/>
      <c r="J1144"/>
      <c r="K1144"/>
      <c r="L1144"/>
      <c r="M1144"/>
    </row>
    <row r="1145" spans="1:13" x14ac:dyDescent="0.2">
      <c r="A1145" t="s">
        <v>1285</v>
      </c>
      <c r="B1145"/>
      <c r="C1145"/>
      <c r="D1145"/>
      <c r="E1145"/>
      <c r="F1145"/>
      <c r="G1145"/>
      <c r="H1145"/>
      <c r="I1145"/>
      <c r="J1145"/>
      <c r="K1145"/>
      <c r="L1145"/>
      <c r="M1145"/>
    </row>
    <row r="1146" spans="1:13" x14ac:dyDescent="0.2">
      <c r="A1146" t="s">
        <v>1286</v>
      </c>
      <c r="B1146"/>
      <c r="C1146"/>
      <c r="D1146"/>
      <c r="E1146"/>
      <c r="F1146"/>
      <c r="G1146"/>
      <c r="H1146"/>
      <c r="I1146"/>
      <c r="J1146"/>
      <c r="K1146"/>
      <c r="L1146"/>
      <c r="M1146"/>
    </row>
    <row r="1147" spans="1:13" x14ac:dyDescent="0.2">
      <c r="A1147" t="s">
        <v>1287</v>
      </c>
      <c r="B1147"/>
      <c r="C1147"/>
      <c r="D1147"/>
      <c r="E1147"/>
      <c r="F1147"/>
      <c r="G1147"/>
      <c r="H1147"/>
      <c r="I1147"/>
      <c r="J1147"/>
      <c r="K1147"/>
      <c r="L1147"/>
      <c r="M1147"/>
    </row>
    <row r="1148" spans="1:13" x14ac:dyDescent="0.2">
      <c r="A1148" t="s">
        <v>1288</v>
      </c>
      <c r="B1148"/>
      <c r="C1148"/>
      <c r="D1148"/>
      <c r="E1148"/>
      <c r="F1148"/>
      <c r="G1148"/>
      <c r="H1148"/>
      <c r="I1148"/>
      <c r="J1148"/>
      <c r="K1148"/>
      <c r="L1148"/>
      <c r="M1148"/>
    </row>
    <row r="1149" spans="1:13" x14ac:dyDescent="0.2">
      <c r="A1149" t="s">
        <v>1289</v>
      </c>
      <c r="B1149"/>
      <c r="C1149"/>
      <c r="D1149"/>
      <c r="E1149"/>
      <c r="F1149"/>
      <c r="G1149"/>
      <c r="H1149"/>
      <c r="I1149"/>
      <c r="J1149"/>
      <c r="K1149"/>
      <c r="L1149"/>
      <c r="M1149"/>
    </row>
    <row r="1150" spans="1:13" x14ac:dyDescent="0.2">
      <c r="A1150" t="s">
        <v>1290</v>
      </c>
      <c r="B1150"/>
      <c r="C1150"/>
      <c r="D1150"/>
      <c r="E1150"/>
      <c r="F1150"/>
      <c r="G1150"/>
      <c r="H1150"/>
      <c r="I1150"/>
      <c r="J1150"/>
      <c r="K1150"/>
      <c r="L1150"/>
      <c r="M1150"/>
    </row>
    <row r="1151" spans="1:13" x14ac:dyDescent="0.2">
      <c r="A1151" t="s">
        <v>1291</v>
      </c>
      <c r="B1151"/>
      <c r="C1151"/>
      <c r="D1151"/>
      <c r="E1151"/>
      <c r="F1151"/>
      <c r="G1151"/>
      <c r="H1151"/>
      <c r="I1151"/>
      <c r="J1151"/>
      <c r="K1151"/>
      <c r="L1151"/>
      <c r="M1151"/>
    </row>
    <row r="1152" spans="1:13" x14ac:dyDescent="0.2">
      <c r="A1152" t="s">
        <v>1292</v>
      </c>
      <c r="B1152"/>
      <c r="C1152"/>
      <c r="D1152"/>
      <c r="E1152"/>
      <c r="F1152"/>
      <c r="G1152"/>
      <c r="H1152"/>
      <c r="I1152"/>
      <c r="J1152"/>
      <c r="K1152"/>
      <c r="L1152"/>
      <c r="M1152"/>
    </row>
    <row r="1153" spans="1:13" x14ac:dyDescent="0.2">
      <c r="A1153" t="s">
        <v>1293</v>
      </c>
      <c r="B1153"/>
      <c r="C1153"/>
      <c r="D1153"/>
      <c r="E1153"/>
      <c r="F1153"/>
      <c r="G1153"/>
      <c r="H1153"/>
      <c r="I1153"/>
      <c r="J1153"/>
      <c r="K1153"/>
      <c r="L1153"/>
      <c r="M1153"/>
    </row>
    <row r="1154" spans="1:13" x14ac:dyDescent="0.2">
      <c r="A1154" t="s">
        <v>1294</v>
      </c>
      <c r="B1154"/>
      <c r="C1154"/>
      <c r="D1154"/>
      <c r="E1154"/>
      <c r="F1154"/>
      <c r="G1154"/>
      <c r="H1154"/>
      <c r="I1154"/>
      <c r="J1154"/>
      <c r="K1154"/>
      <c r="L1154"/>
      <c r="M1154"/>
    </row>
    <row r="1155" spans="1:13" x14ac:dyDescent="0.2">
      <c r="A1155" t="s">
        <v>1295</v>
      </c>
      <c r="B1155"/>
      <c r="C1155"/>
      <c r="D1155"/>
      <c r="E1155"/>
      <c r="F1155"/>
      <c r="G1155"/>
      <c r="H1155"/>
      <c r="I1155"/>
      <c r="J1155"/>
      <c r="K1155"/>
      <c r="L1155"/>
      <c r="M1155"/>
    </row>
    <row r="1156" spans="1:13" x14ac:dyDescent="0.2">
      <c r="A1156" t="s">
        <v>1296</v>
      </c>
      <c r="B1156"/>
      <c r="C1156"/>
      <c r="D1156"/>
      <c r="E1156"/>
      <c r="F1156"/>
      <c r="G1156"/>
      <c r="H1156"/>
      <c r="I1156"/>
      <c r="J1156"/>
      <c r="K1156"/>
      <c r="L1156"/>
      <c r="M1156"/>
    </row>
    <row r="1157" spans="1:13" x14ac:dyDescent="0.2">
      <c r="A1157" t="s">
        <v>1297</v>
      </c>
      <c r="B1157"/>
      <c r="C1157"/>
      <c r="D1157"/>
      <c r="E1157"/>
      <c r="F1157"/>
      <c r="G1157"/>
      <c r="H1157"/>
      <c r="I1157"/>
      <c r="J1157"/>
      <c r="K1157"/>
      <c r="L1157"/>
      <c r="M1157"/>
    </row>
    <row r="1158" spans="1:13" x14ac:dyDescent="0.2">
      <c r="A1158" t="s">
        <v>1298</v>
      </c>
      <c r="B1158"/>
      <c r="C1158"/>
      <c r="D1158"/>
      <c r="E1158"/>
      <c r="F1158"/>
      <c r="G1158"/>
      <c r="H1158"/>
      <c r="I1158"/>
      <c r="J1158"/>
      <c r="K1158"/>
      <c r="L1158"/>
      <c r="M1158"/>
    </row>
    <row r="1159" spans="1:13" x14ac:dyDescent="0.2">
      <c r="A1159" t="s">
        <v>1299</v>
      </c>
      <c r="B1159"/>
      <c r="C1159"/>
      <c r="D1159"/>
      <c r="E1159"/>
      <c r="F1159"/>
      <c r="G1159"/>
      <c r="H1159"/>
      <c r="I1159"/>
      <c r="J1159"/>
      <c r="K1159"/>
      <c r="L1159"/>
      <c r="M1159"/>
    </row>
    <row r="1160" spans="1:13" x14ac:dyDescent="0.2">
      <c r="A1160" t="s">
        <v>1300</v>
      </c>
      <c r="B1160"/>
      <c r="C1160"/>
      <c r="D1160"/>
      <c r="E1160"/>
      <c r="F1160"/>
      <c r="G1160"/>
      <c r="H1160"/>
      <c r="I1160"/>
      <c r="J1160"/>
      <c r="K1160"/>
      <c r="L1160"/>
      <c r="M1160"/>
    </row>
    <row r="1161" spans="1:13" x14ac:dyDescent="0.2">
      <c r="A1161" t="s">
        <v>1301</v>
      </c>
      <c r="B1161"/>
      <c r="C1161"/>
      <c r="D1161"/>
      <c r="E1161"/>
      <c r="F1161"/>
      <c r="G1161"/>
      <c r="H1161"/>
      <c r="I1161"/>
      <c r="J1161"/>
      <c r="K1161"/>
      <c r="L1161"/>
      <c r="M1161"/>
    </row>
    <row r="1162" spans="1:13" x14ac:dyDescent="0.2">
      <c r="A1162" t="s">
        <v>1302</v>
      </c>
      <c r="B1162"/>
      <c r="C1162"/>
      <c r="D1162"/>
      <c r="E1162"/>
      <c r="F1162"/>
      <c r="G1162"/>
      <c r="H1162"/>
      <c r="I1162"/>
      <c r="J1162"/>
      <c r="K1162"/>
      <c r="L1162"/>
      <c r="M1162"/>
    </row>
    <row r="1163" spans="1:13" x14ac:dyDescent="0.2">
      <c r="A1163" t="s">
        <v>1303</v>
      </c>
      <c r="B1163"/>
      <c r="C1163"/>
      <c r="D1163"/>
      <c r="E1163"/>
      <c r="F1163"/>
      <c r="G1163"/>
      <c r="H1163"/>
      <c r="I1163"/>
      <c r="J1163"/>
      <c r="K1163"/>
      <c r="L1163"/>
      <c r="M1163"/>
    </row>
    <row r="1164" spans="1:13" x14ac:dyDescent="0.2">
      <c r="A1164" t="s">
        <v>1304</v>
      </c>
      <c r="B1164"/>
      <c r="C1164"/>
      <c r="D1164"/>
      <c r="E1164"/>
      <c r="F1164"/>
      <c r="G1164"/>
      <c r="H1164"/>
      <c r="I1164"/>
      <c r="J1164"/>
      <c r="K1164"/>
      <c r="L1164"/>
      <c r="M1164"/>
    </row>
    <row r="1165" spans="1:13" x14ac:dyDescent="0.2">
      <c r="A1165" t="s">
        <v>1305</v>
      </c>
      <c r="B1165"/>
      <c r="C1165"/>
      <c r="D1165"/>
      <c r="E1165"/>
      <c r="F1165"/>
      <c r="G1165"/>
      <c r="H1165"/>
      <c r="I1165"/>
      <c r="J1165"/>
      <c r="K1165"/>
      <c r="L1165"/>
      <c r="M1165"/>
    </row>
    <row r="1166" spans="1:13" x14ac:dyDescent="0.2">
      <c r="A1166" t="s">
        <v>1306</v>
      </c>
      <c r="B1166"/>
      <c r="C1166"/>
      <c r="D1166"/>
      <c r="E1166"/>
      <c r="F1166"/>
      <c r="G1166"/>
      <c r="H1166"/>
      <c r="I1166"/>
      <c r="J1166"/>
      <c r="K1166"/>
      <c r="L1166"/>
      <c r="M1166"/>
    </row>
    <row r="1167" spans="1:13" x14ac:dyDescent="0.2">
      <c r="A1167" t="s">
        <v>1307</v>
      </c>
      <c r="B1167"/>
      <c r="C1167"/>
      <c r="D1167"/>
      <c r="E1167"/>
      <c r="F1167"/>
      <c r="G1167"/>
      <c r="H1167"/>
      <c r="I1167"/>
      <c r="J1167"/>
      <c r="K1167"/>
      <c r="L1167"/>
      <c r="M1167"/>
    </row>
    <row r="1168" spans="1:13" x14ac:dyDescent="0.2">
      <c r="A1168" t="s">
        <v>1308</v>
      </c>
      <c r="B1168"/>
      <c r="C1168"/>
      <c r="D1168"/>
      <c r="E1168"/>
      <c r="F1168"/>
      <c r="G1168"/>
      <c r="H1168"/>
      <c r="I1168"/>
      <c r="J1168"/>
      <c r="K1168"/>
      <c r="L1168"/>
      <c r="M1168"/>
    </row>
    <row r="1169" spans="1:13" x14ac:dyDescent="0.2">
      <c r="A1169" t="s">
        <v>1309</v>
      </c>
      <c r="B1169"/>
      <c r="C1169"/>
      <c r="D1169"/>
      <c r="E1169"/>
      <c r="F1169"/>
      <c r="G1169"/>
      <c r="H1169"/>
      <c r="I1169"/>
      <c r="J1169"/>
      <c r="K1169"/>
      <c r="L1169"/>
      <c r="M1169"/>
    </row>
    <row r="1170" spans="1:13" x14ac:dyDescent="0.2">
      <c r="A1170" t="s">
        <v>1310</v>
      </c>
      <c r="B1170"/>
      <c r="C1170"/>
      <c r="D1170"/>
      <c r="E1170"/>
      <c r="F1170"/>
      <c r="G1170"/>
      <c r="H1170"/>
      <c r="I1170"/>
      <c r="J1170"/>
      <c r="K1170"/>
      <c r="L1170"/>
      <c r="M1170"/>
    </row>
    <row r="1171" spans="1:13" x14ac:dyDescent="0.2">
      <c r="A1171" t="s">
        <v>1311</v>
      </c>
      <c r="B1171"/>
      <c r="C1171"/>
      <c r="D1171"/>
      <c r="E1171"/>
      <c r="F1171"/>
      <c r="G1171"/>
      <c r="H1171"/>
      <c r="I1171"/>
      <c r="J1171"/>
      <c r="K1171"/>
      <c r="L1171"/>
      <c r="M1171"/>
    </row>
    <row r="1172" spans="1:13" x14ac:dyDescent="0.2">
      <c r="A1172" t="s">
        <v>1312</v>
      </c>
      <c r="B1172"/>
      <c r="C1172"/>
      <c r="D1172"/>
      <c r="E1172"/>
      <c r="F1172"/>
      <c r="G1172"/>
      <c r="H1172"/>
      <c r="I1172"/>
      <c r="J1172"/>
      <c r="K1172"/>
      <c r="L1172"/>
      <c r="M1172"/>
    </row>
    <row r="1173" spans="1:13" x14ac:dyDescent="0.2">
      <c r="A1173" t="s">
        <v>1313</v>
      </c>
      <c r="B1173"/>
      <c r="C1173"/>
      <c r="D1173"/>
      <c r="E1173"/>
      <c r="F1173"/>
      <c r="G1173"/>
      <c r="H1173"/>
      <c r="I1173"/>
      <c r="J1173"/>
      <c r="K1173"/>
      <c r="L1173"/>
      <c r="M1173"/>
    </row>
    <row r="1174" spans="1:13" x14ac:dyDescent="0.2">
      <c r="A1174" t="s">
        <v>1314</v>
      </c>
      <c r="B1174"/>
      <c r="C1174"/>
      <c r="D1174"/>
      <c r="E1174"/>
      <c r="F1174"/>
      <c r="G1174"/>
      <c r="H1174"/>
      <c r="I1174"/>
      <c r="J1174"/>
      <c r="K1174"/>
      <c r="L1174"/>
      <c r="M1174"/>
    </row>
    <row r="1175" spans="1:13" x14ac:dyDescent="0.2">
      <c r="A1175" t="s">
        <v>1315</v>
      </c>
      <c r="B1175"/>
      <c r="C1175"/>
      <c r="D1175"/>
      <c r="E1175"/>
      <c r="F1175"/>
      <c r="G1175"/>
      <c r="H1175"/>
      <c r="I1175"/>
      <c r="J1175"/>
      <c r="K1175"/>
      <c r="L1175"/>
      <c r="M1175"/>
    </row>
    <row r="1176" spans="1:13" x14ac:dyDescent="0.2">
      <c r="A1176" t="s">
        <v>1316</v>
      </c>
      <c r="B1176"/>
      <c r="C1176"/>
      <c r="D1176"/>
      <c r="E1176"/>
      <c r="F1176"/>
      <c r="G1176"/>
      <c r="H1176"/>
      <c r="I1176"/>
      <c r="J1176"/>
      <c r="K1176"/>
      <c r="L1176"/>
      <c r="M1176"/>
    </row>
    <row r="1177" spans="1:13" x14ac:dyDescent="0.2">
      <c r="A1177" t="s">
        <v>1317</v>
      </c>
      <c r="B1177"/>
      <c r="C1177"/>
      <c r="D1177"/>
      <c r="E1177"/>
      <c r="F1177"/>
      <c r="G1177"/>
      <c r="H1177"/>
      <c r="I1177"/>
      <c r="J1177"/>
      <c r="K1177"/>
      <c r="L1177"/>
      <c r="M1177"/>
    </row>
    <row r="1178" spans="1:13" x14ac:dyDescent="0.2">
      <c r="A1178" t="s">
        <v>1318</v>
      </c>
      <c r="B1178"/>
      <c r="C1178"/>
      <c r="D1178"/>
      <c r="E1178"/>
      <c r="F1178"/>
      <c r="G1178"/>
      <c r="H1178"/>
      <c r="I1178"/>
      <c r="J1178"/>
      <c r="K1178"/>
      <c r="L1178"/>
      <c r="M1178"/>
    </row>
    <row r="1179" spans="1:13" x14ac:dyDescent="0.2">
      <c r="A1179" t="s">
        <v>1319</v>
      </c>
      <c r="B1179"/>
      <c r="C1179"/>
      <c r="D1179"/>
      <c r="E1179"/>
      <c r="F1179"/>
      <c r="G1179"/>
      <c r="H1179"/>
      <c r="I1179"/>
      <c r="J1179"/>
      <c r="K1179"/>
      <c r="L1179"/>
      <c r="M1179"/>
    </row>
    <row r="1180" spans="1:13" x14ac:dyDescent="0.2">
      <c r="A1180" t="s">
        <v>1320</v>
      </c>
      <c r="B1180"/>
      <c r="C1180"/>
      <c r="D1180"/>
      <c r="E1180"/>
      <c r="F1180"/>
      <c r="G1180"/>
      <c r="H1180"/>
      <c r="I1180"/>
      <c r="J1180"/>
      <c r="K1180"/>
      <c r="L1180"/>
      <c r="M1180"/>
    </row>
    <row r="1181" spans="1:13" x14ac:dyDescent="0.2">
      <c r="A1181" t="s">
        <v>1321</v>
      </c>
      <c r="B1181"/>
      <c r="C1181"/>
      <c r="D1181"/>
      <c r="E1181"/>
      <c r="F1181"/>
      <c r="G1181"/>
      <c r="H1181"/>
      <c r="I1181"/>
      <c r="J1181"/>
      <c r="K1181"/>
      <c r="L1181"/>
      <c r="M1181"/>
    </row>
    <row r="1182" spans="1:13" x14ac:dyDescent="0.2">
      <c r="A1182" t="s">
        <v>1322</v>
      </c>
      <c r="B1182"/>
      <c r="C1182"/>
      <c r="D1182"/>
      <c r="E1182"/>
      <c r="F1182"/>
      <c r="G1182"/>
      <c r="H1182"/>
      <c r="I1182"/>
      <c r="J1182"/>
      <c r="K1182"/>
      <c r="L1182"/>
      <c r="M1182"/>
    </row>
    <row r="1183" spans="1:13" x14ac:dyDescent="0.2">
      <c r="A1183" t="s">
        <v>1323</v>
      </c>
      <c r="B1183"/>
      <c r="C1183"/>
      <c r="D1183"/>
      <c r="E1183"/>
      <c r="F1183"/>
      <c r="G1183"/>
      <c r="H1183"/>
      <c r="I1183"/>
      <c r="J1183"/>
      <c r="K1183"/>
      <c r="L1183"/>
      <c r="M1183"/>
    </row>
    <row r="1184" spans="1:13" x14ac:dyDescent="0.2">
      <c r="A1184" t="s">
        <v>1324</v>
      </c>
      <c r="B1184"/>
      <c r="C1184"/>
      <c r="D1184"/>
      <c r="E1184"/>
      <c r="F1184"/>
      <c r="G1184"/>
      <c r="H1184"/>
      <c r="I1184"/>
      <c r="J1184"/>
      <c r="K1184"/>
      <c r="L1184"/>
      <c r="M1184"/>
    </row>
    <row r="1185" spans="1:13" x14ac:dyDescent="0.2">
      <c r="A1185" t="s">
        <v>1325</v>
      </c>
      <c r="B1185"/>
      <c r="C1185"/>
      <c r="D1185"/>
      <c r="E1185"/>
      <c r="F1185"/>
      <c r="G1185"/>
      <c r="H1185"/>
      <c r="I1185"/>
      <c r="J1185"/>
      <c r="K1185"/>
      <c r="L1185"/>
      <c r="M1185"/>
    </row>
    <row r="1186" spans="1:13" x14ac:dyDescent="0.2">
      <c r="A1186" t="s">
        <v>1326</v>
      </c>
      <c r="B1186"/>
      <c r="C1186"/>
      <c r="D1186"/>
      <c r="E1186"/>
      <c r="F1186"/>
      <c r="G1186"/>
      <c r="H1186"/>
      <c r="I1186"/>
      <c r="J1186"/>
      <c r="K1186"/>
      <c r="L1186"/>
      <c r="M1186"/>
    </row>
    <row r="1187" spans="1:13" x14ac:dyDescent="0.2">
      <c r="A1187" t="s">
        <v>1327</v>
      </c>
      <c r="B1187"/>
      <c r="C1187"/>
      <c r="D1187"/>
      <c r="E1187"/>
      <c r="F1187"/>
      <c r="G1187"/>
      <c r="H1187"/>
      <c r="I1187"/>
      <c r="J1187"/>
      <c r="K1187"/>
      <c r="L1187"/>
      <c r="M1187"/>
    </row>
    <row r="1188" spans="1:13" x14ac:dyDescent="0.2">
      <c r="A1188" t="s">
        <v>1328</v>
      </c>
      <c r="B1188"/>
      <c r="C1188"/>
      <c r="D1188"/>
      <c r="E1188"/>
      <c r="F1188"/>
      <c r="G1188"/>
      <c r="H1188"/>
      <c r="I1188"/>
      <c r="J1188"/>
      <c r="K1188"/>
      <c r="L1188"/>
      <c r="M1188"/>
    </row>
    <row r="1189" spans="1:13" x14ac:dyDescent="0.2">
      <c r="A1189" t="s">
        <v>1329</v>
      </c>
      <c r="B1189"/>
      <c r="C1189"/>
      <c r="D1189"/>
      <c r="E1189"/>
      <c r="F1189"/>
      <c r="G1189"/>
      <c r="H1189"/>
      <c r="I1189"/>
      <c r="J1189"/>
      <c r="K1189"/>
      <c r="L1189"/>
      <c r="M1189"/>
    </row>
    <row r="1190" spans="1:13" x14ac:dyDescent="0.2">
      <c r="A1190" t="s">
        <v>1330</v>
      </c>
      <c r="B1190"/>
      <c r="C1190"/>
      <c r="D1190"/>
      <c r="E1190"/>
      <c r="F1190"/>
      <c r="G1190"/>
      <c r="H1190"/>
      <c r="I1190"/>
      <c r="J1190"/>
      <c r="K1190"/>
      <c r="L1190"/>
      <c r="M1190"/>
    </row>
    <row r="1191" spans="1:13" x14ac:dyDescent="0.2">
      <c r="A1191" t="s">
        <v>1331</v>
      </c>
      <c r="B1191"/>
      <c r="C1191"/>
      <c r="D1191"/>
      <c r="E1191"/>
      <c r="F1191"/>
      <c r="G1191"/>
      <c r="H1191"/>
      <c r="I1191"/>
      <c r="J1191"/>
      <c r="K1191"/>
      <c r="L1191"/>
      <c r="M1191"/>
    </row>
    <row r="1192" spans="1:13" x14ac:dyDescent="0.2">
      <c r="A1192" t="s">
        <v>1332</v>
      </c>
      <c r="B1192"/>
      <c r="C1192"/>
      <c r="D1192"/>
      <c r="E1192"/>
      <c r="F1192"/>
      <c r="G1192"/>
      <c r="H1192"/>
      <c r="I1192"/>
      <c r="J1192"/>
      <c r="K1192"/>
      <c r="L1192"/>
      <c r="M1192"/>
    </row>
    <row r="1193" spans="1:13" x14ac:dyDescent="0.2">
      <c r="A1193" t="s">
        <v>1333</v>
      </c>
      <c r="B1193"/>
      <c r="C1193"/>
      <c r="D1193"/>
      <c r="E1193"/>
      <c r="F1193"/>
      <c r="G1193"/>
      <c r="H1193"/>
      <c r="I1193"/>
      <c r="J1193"/>
      <c r="K1193"/>
      <c r="L1193"/>
      <c r="M1193"/>
    </row>
    <row r="1194" spans="1:13" x14ac:dyDescent="0.2">
      <c r="A1194" t="s">
        <v>1334</v>
      </c>
      <c r="B1194"/>
      <c r="C1194"/>
      <c r="D1194"/>
      <c r="E1194"/>
      <c r="F1194"/>
      <c r="G1194"/>
      <c r="H1194"/>
      <c r="I1194"/>
      <c r="J1194"/>
      <c r="K1194"/>
      <c r="L1194"/>
      <c r="M1194"/>
    </row>
    <row r="1195" spans="1:13" x14ac:dyDescent="0.2">
      <c r="A1195" t="s">
        <v>1335</v>
      </c>
      <c r="B1195"/>
      <c r="C1195"/>
      <c r="D1195"/>
      <c r="E1195"/>
      <c r="F1195"/>
      <c r="G1195"/>
      <c r="H1195"/>
      <c r="I1195"/>
      <c r="J1195"/>
      <c r="K1195"/>
      <c r="L1195"/>
      <c r="M1195"/>
    </row>
    <row r="1196" spans="1:13" x14ac:dyDescent="0.2">
      <c r="A1196" t="s">
        <v>1336</v>
      </c>
      <c r="B1196"/>
      <c r="C1196"/>
      <c r="D1196"/>
      <c r="E1196"/>
      <c r="F1196"/>
      <c r="G1196"/>
      <c r="H1196"/>
      <c r="I1196"/>
      <c r="J1196"/>
      <c r="K1196"/>
      <c r="L1196"/>
      <c r="M1196"/>
    </row>
    <row r="1197" spans="1:13" x14ac:dyDescent="0.2">
      <c r="A1197" t="s">
        <v>1337</v>
      </c>
      <c r="B1197"/>
      <c r="C1197"/>
      <c r="D1197"/>
      <c r="E1197"/>
      <c r="F1197"/>
      <c r="G1197"/>
      <c r="H1197"/>
      <c r="I1197"/>
      <c r="J1197"/>
      <c r="K1197"/>
      <c r="L1197"/>
      <c r="M1197"/>
    </row>
    <row r="1198" spans="1:13" x14ac:dyDescent="0.2">
      <c r="A1198" t="s">
        <v>1338</v>
      </c>
      <c r="B1198"/>
      <c r="C1198"/>
      <c r="D1198"/>
      <c r="E1198"/>
      <c r="F1198"/>
      <c r="G1198"/>
      <c r="H1198"/>
      <c r="I1198"/>
      <c r="J1198"/>
      <c r="K1198"/>
      <c r="L1198"/>
      <c r="M1198"/>
    </row>
    <row r="1199" spans="1:13" x14ac:dyDescent="0.2">
      <c r="A1199" t="s">
        <v>1339</v>
      </c>
      <c r="B1199"/>
      <c r="C1199"/>
      <c r="D1199"/>
      <c r="E1199"/>
      <c r="F1199"/>
      <c r="G1199"/>
      <c r="H1199"/>
      <c r="I1199"/>
      <c r="J1199"/>
      <c r="K1199"/>
      <c r="L1199"/>
      <c r="M1199"/>
    </row>
    <row r="1200" spans="1:13" x14ac:dyDescent="0.2">
      <c r="A1200" t="s">
        <v>1340</v>
      </c>
      <c r="B1200"/>
      <c r="C1200"/>
      <c r="D1200"/>
      <c r="E1200"/>
      <c r="F1200"/>
      <c r="G1200"/>
      <c r="H1200"/>
      <c r="I1200"/>
      <c r="J1200"/>
      <c r="K1200"/>
      <c r="L1200"/>
      <c r="M1200"/>
    </row>
    <row r="1201" spans="1:13" x14ac:dyDescent="0.2">
      <c r="A1201" t="s">
        <v>1341</v>
      </c>
      <c r="B1201"/>
      <c r="C1201"/>
      <c r="D1201"/>
      <c r="E1201"/>
      <c r="F1201"/>
      <c r="G1201"/>
      <c r="H1201"/>
      <c r="I1201"/>
      <c r="J1201"/>
      <c r="K1201"/>
      <c r="L1201"/>
      <c r="M1201"/>
    </row>
    <row r="1202" spans="1:13" x14ac:dyDescent="0.2">
      <c r="A1202" t="s">
        <v>1342</v>
      </c>
      <c r="B1202"/>
      <c r="C1202"/>
      <c r="D1202"/>
      <c r="E1202"/>
      <c r="F1202"/>
      <c r="G1202"/>
      <c r="H1202"/>
      <c r="I1202"/>
      <c r="J1202"/>
      <c r="K1202"/>
      <c r="L1202"/>
      <c r="M1202"/>
    </row>
    <row r="1203" spans="1:13" x14ac:dyDescent="0.2">
      <c r="A1203" t="s">
        <v>1343</v>
      </c>
      <c r="B1203"/>
      <c r="C1203"/>
      <c r="D1203"/>
      <c r="E1203"/>
      <c r="F1203"/>
      <c r="G1203"/>
      <c r="H1203"/>
      <c r="I1203"/>
      <c r="J1203"/>
      <c r="K1203"/>
      <c r="L1203"/>
      <c r="M1203"/>
    </row>
    <row r="1204" spans="1:13" x14ac:dyDescent="0.2">
      <c r="A1204" t="s">
        <v>1344</v>
      </c>
      <c r="B1204"/>
      <c r="C1204"/>
      <c r="D1204"/>
      <c r="E1204"/>
      <c r="F1204"/>
      <c r="G1204"/>
      <c r="H1204"/>
      <c r="I1204"/>
      <c r="J1204"/>
      <c r="K1204"/>
      <c r="L1204"/>
      <c r="M1204"/>
    </row>
    <row r="1205" spans="1:13" x14ac:dyDescent="0.2">
      <c r="A1205" t="s">
        <v>1345</v>
      </c>
      <c r="B1205"/>
      <c r="C1205"/>
      <c r="D1205"/>
      <c r="E1205"/>
      <c r="F1205"/>
      <c r="G1205"/>
      <c r="H1205"/>
      <c r="I1205"/>
      <c r="J1205"/>
      <c r="K1205"/>
      <c r="L1205"/>
      <c r="M1205"/>
    </row>
    <row r="1206" spans="1:13" x14ac:dyDescent="0.2">
      <c r="A1206" t="s">
        <v>1346</v>
      </c>
      <c r="B1206"/>
      <c r="C1206"/>
      <c r="D1206"/>
      <c r="E1206"/>
      <c r="F1206"/>
      <c r="G1206"/>
      <c r="H1206"/>
      <c r="I1206"/>
      <c r="J1206"/>
      <c r="K1206"/>
      <c r="L1206"/>
      <c r="M1206"/>
    </row>
    <row r="1207" spans="1:13" x14ac:dyDescent="0.2">
      <c r="A1207" t="s">
        <v>1347</v>
      </c>
      <c r="B1207"/>
      <c r="C1207"/>
      <c r="D1207"/>
      <c r="E1207"/>
      <c r="F1207"/>
      <c r="G1207"/>
      <c r="H1207"/>
      <c r="I1207"/>
      <c r="J1207"/>
      <c r="K1207"/>
      <c r="L1207"/>
      <c r="M1207"/>
    </row>
    <row r="1208" spans="1:13" x14ac:dyDescent="0.2">
      <c r="A1208" t="s">
        <v>1348</v>
      </c>
      <c r="B1208"/>
      <c r="C1208"/>
      <c r="D1208"/>
      <c r="E1208"/>
      <c r="F1208"/>
      <c r="G1208"/>
      <c r="H1208"/>
      <c r="I1208"/>
      <c r="J1208"/>
      <c r="K1208"/>
      <c r="L1208"/>
      <c r="M1208"/>
    </row>
    <row r="1209" spans="1:13" x14ac:dyDescent="0.2">
      <c r="A1209" t="s">
        <v>1349</v>
      </c>
      <c r="B1209"/>
      <c r="C1209"/>
      <c r="D1209"/>
      <c r="E1209"/>
      <c r="F1209"/>
      <c r="G1209"/>
      <c r="H1209"/>
      <c r="I1209"/>
      <c r="J1209"/>
      <c r="K1209"/>
      <c r="L1209"/>
      <c r="M1209"/>
    </row>
    <row r="1210" spans="1:13" x14ac:dyDescent="0.2">
      <c r="A1210" t="s">
        <v>1350</v>
      </c>
      <c r="B1210"/>
      <c r="C1210"/>
      <c r="D1210"/>
      <c r="E1210"/>
      <c r="F1210"/>
      <c r="G1210"/>
      <c r="H1210"/>
      <c r="I1210"/>
      <c r="J1210"/>
      <c r="K1210"/>
      <c r="L1210"/>
      <c r="M1210"/>
    </row>
    <row r="1211" spans="1:13" x14ac:dyDescent="0.2">
      <c r="A1211" t="s">
        <v>1351</v>
      </c>
      <c r="B1211"/>
      <c r="C1211"/>
      <c r="D1211"/>
      <c r="E1211"/>
      <c r="F1211"/>
      <c r="G1211"/>
      <c r="H1211"/>
      <c r="I1211"/>
      <c r="J1211"/>
      <c r="K1211"/>
      <c r="L1211"/>
      <c r="M1211"/>
    </row>
    <row r="1212" spans="1:13" x14ac:dyDescent="0.2">
      <c r="A1212" t="s">
        <v>1352</v>
      </c>
      <c r="B1212"/>
      <c r="C1212"/>
      <c r="D1212"/>
      <c r="E1212"/>
      <c r="F1212"/>
      <c r="G1212"/>
      <c r="H1212"/>
      <c r="I1212"/>
      <c r="J1212"/>
      <c r="K1212"/>
      <c r="L1212"/>
      <c r="M1212"/>
    </row>
    <row r="1213" spans="1:13" x14ac:dyDescent="0.2">
      <c r="A1213" t="s">
        <v>1353</v>
      </c>
      <c r="B1213"/>
      <c r="C1213"/>
      <c r="D1213"/>
      <c r="E1213"/>
      <c r="F1213"/>
      <c r="G1213"/>
      <c r="H1213"/>
      <c r="I1213"/>
      <c r="J1213"/>
      <c r="K1213"/>
      <c r="L1213"/>
      <c r="M1213"/>
    </row>
    <row r="1214" spans="1:13" x14ac:dyDescent="0.2">
      <c r="A1214" t="s">
        <v>1354</v>
      </c>
      <c r="B1214"/>
      <c r="C1214"/>
      <c r="D1214"/>
      <c r="E1214"/>
      <c r="F1214"/>
      <c r="G1214"/>
      <c r="H1214"/>
      <c r="I1214"/>
      <c r="J1214"/>
      <c r="K1214"/>
      <c r="L1214"/>
      <c r="M1214"/>
    </row>
    <row r="1215" spans="1:13" x14ac:dyDescent="0.2">
      <c r="A1215" t="s">
        <v>1355</v>
      </c>
      <c r="B1215"/>
      <c r="C1215"/>
      <c r="D1215"/>
      <c r="E1215"/>
      <c r="F1215"/>
      <c r="G1215"/>
      <c r="H1215"/>
      <c r="I1215"/>
      <c r="J1215"/>
      <c r="K1215"/>
      <c r="L1215"/>
      <c r="M1215"/>
    </row>
    <row r="1216" spans="1:13" x14ac:dyDescent="0.2">
      <c r="A1216" t="s">
        <v>1356</v>
      </c>
      <c r="B1216"/>
      <c r="C1216"/>
      <c r="D1216"/>
      <c r="E1216"/>
      <c r="F1216"/>
      <c r="G1216"/>
      <c r="H1216"/>
      <c r="I1216"/>
      <c r="J1216"/>
      <c r="K1216"/>
      <c r="L1216"/>
      <c r="M1216"/>
    </row>
    <row r="1217" spans="1:13" x14ac:dyDescent="0.2">
      <c r="A1217" t="s">
        <v>1357</v>
      </c>
      <c r="B1217"/>
      <c r="C1217"/>
      <c r="D1217"/>
      <c r="E1217"/>
      <c r="F1217"/>
      <c r="G1217"/>
      <c r="H1217"/>
      <c r="I1217"/>
      <c r="J1217"/>
      <c r="K1217"/>
      <c r="L1217"/>
      <c r="M1217"/>
    </row>
    <row r="1218" spans="1:13" x14ac:dyDescent="0.2">
      <c r="A1218" t="s">
        <v>1358</v>
      </c>
      <c r="B1218"/>
      <c r="C1218"/>
      <c r="D1218"/>
      <c r="E1218"/>
      <c r="F1218"/>
      <c r="G1218"/>
      <c r="H1218"/>
      <c r="I1218"/>
      <c r="J1218"/>
      <c r="K1218"/>
      <c r="L1218"/>
      <c r="M1218"/>
    </row>
    <row r="1219" spans="1:13" x14ac:dyDescent="0.2">
      <c r="A1219" t="s">
        <v>1359</v>
      </c>
      <c r="B1219"/>
      <c r="C1219"/>
      <c r="D1219"/>
      <c r="E1219"/>
      <c r="F1219"/>
      <c r="G1219"/>
      <c r="H1219"/>
      <c r="I1219"/>
      <c r="J1219"/>
      <c r="K1219"/>
      <c r="L1219"/>
      <c r="M1219"/>
    </row>
    <row r="1220" spans="1:13" x14ac:dyDescent="0.2">
      <c r="A1220" t="s">
        <v>1360</v>
      </c>
      <c r="B1220"/>
      <c r="C1220"/>
      <c r="D1220"/>
      <c r="E1220"/>
      <c r="F1220"/>
      <c r="G1220"/>
      <c r="H1220"/>
      <c r="I1220"/>
      <c r="J1220"/>
      <c r="K1220"/>
      <c r="L1220"/>
      <c r="M1220"/>
    </row>
    <row r="1221" spans="1:13" x14ac:dyDescent="0.2">
      <c r="A1221" t="s">
        <v>1361</v>
      </c>
      <c r="B1221"/>
      <c r="C1221"/>
      <c r="D1221"/>
      <c r="E1221"/>
      <c r="F1221"/>
      <c r="G1221"/>
      <c r="H1221"/>
      <c r="I1221"/>
      <c r="J1221"/>
      <c r="K1221"/>
      <c r="L1221"/>
      <c r="M1221"/>
    </row>
    <row r="1222" spans="1:13" x14ac:dyDescent="0.2">
      <c r="A1222" t="s">
        <v>1362</v>
      </c>
      <c r="B1222"/>
      <c r="C1222"/>
      <c r="D1222"/>
      <c r="E1222"/>
      <c r="F1222"/>
      <c r="G1222"/>
      <c r="H1222"/>
      <c r="I1222"/>
      <c r="J1222"/>
      <c r="K1222"/>
      <c r="L1222"/>
      <c r="M1222"/>
    </row>
    <row r="1223" spans="1:13" x14ac:dyDescent="0.2">
      <c r="A1223" t="s">
        <v>1363</v>
      </c>
      <c r="B1223"/>
      <c r="C1223"/>
      <c r="D1223"/>
      <c r="E1223"/>
      <c r="F1223"/>
      <c r="G1223"/>
      <c r="H1223"/>
      <c r="I1223"/>
      <c r="J1223"/>
      <c r="K1223"/>
      <c r="L1223"/>
      <c r="M1223"/>
    </row>
    <row r="1224" spans="1:13" x14ac:dyDescent="0.2">
      <c r="A1224" t="s">
        <v>1364</v>
      </c>
      <c r="B1224"/>
      <c r="C1224"/>
      <c r="D1224"/>
      <c r="E1224"/>
      <c r="F1224"/>
      <c r="G1224"/>
      <c r="H1224"/>
      <c r="I1224"/>
      <c r="J1224"/>
      <c r="K1224"/>
      <c r="L1224"/>
      <c r="M1224"/>
    </row>
    <row r="1225" spans="1:13" x14ac:dyDescent="0.2">
      <c r="A1225" t="s">
        <v>1365</v>
      </c>
      <c r="B1225"/>
      <c r="C1225"/>
      <c r="D1225"/>
      <c r="E1225"/>
      <c r="F1225"/>
      <c r="G1225"/>
      <c r="H1225"/>
      <c r="I1225"/>
      <c r="J1225"/>
      <c r="K1225"/>
      <c r="L1225"/>
      <c r="M1225"/>
    </row>
    <row r="1226" spans="1:13" x14ac:dyDescent="0.2">
      <c r="A1226" t="s">
        <v>1366</v>
      </c>
      <c r="B1226"/>
      <c r="C1226"/>
      <c r="D1226"/>
      <c r="E1226"/>
      <c r="F1226"/>
      <c r="G1226"/>
      <c r="H1226"/>
      <c r="I1226"/>
      <c r="J1226"/>
      <c r="K1226"/>
      <c r="L1226"/>
      <c r="M1226"/>
    </row>
    <row r="1227" spans="1:13" x14ac:dyDescent="0.2">
      <c r="A1227" t="s">
        <v>1367</v>
      </c>
      <c r="B1227"/>
      <c r="C1227"/>
      <c r="D1227"/>
      <c r="E1227"/>
      <c r="F1227"/>
      <c r="G1227"/>
      <c r="H1227"/>
      <c r="I1227"/>
      <c r="J1227"/>
      <c r="K1227"/>
      <c r="L1227"/>
      <c r="M1227"/>
    </row>
    <row r="1228" spans="1:13" x14ac:dyDescent="0.2">
      <c r="A1228" t="s">
        <v>1368</v>
      </c>
      <c r="B1228"/>
      <c r="C1228"/>
      <c r="D1228"/>
      <c r="E1228"/>
      <c r="F1228"/>
      <c r="G1228"/>
      <c r="H1228"/>
      <c r="I1228"/>
      <c r="J1228"/>
      <c r="K1228"/>
      <c r="L1228"/>
      <c r="M1228"/>
    </row>
    <row r="1229" spans="1:13" x14ac:dyDescent="0.2">
      <c r="A1229" t="s">
        <v>1369</v>
      </c>
      <c r="B1229"/>
      <c r="C1229"/>
      <c r="D1229"/>
      <c r="E1229"/>
      <c r="F1229"/>
      <c r="G1229"/>
      <c r="H1229"/>
      <c r="I1229"/>
      <c r="J1229"/>
      <c r="K1229"/>
      <c r="L1229"/>
      <c r="M1229"/>
    </row>
    <row r="1230" spans="1:13" x14ac:dyDescent="0.2">
      <c r="A1230" t="s">
        <v>1370</v>
      </c>
      <c r="B1230"/>
      <c r="C1230"/>
      <c r="D1230"/>
      <c r="E1230"/>
      <c r="F1230"/>
      <c r="G1230"/>
      <c r="H1230"/>
      <c r="I1230"/>
      <c r="J1230"/>
      <c r="K1230"/>
      <c r="L1230"/>
      <c r="M1230"/>
    </row>
    <row r="1231" spans="1:13" x14ac:dyDescent="0.2">
      <c r="A1231" t="s">
        <v>1371</v>
      </c>
      <c r="B1231"/>
      <c r="C1231"/>
      <c r="D1231"/>
      <c r="E1231"/>
      <c r="F1231"/>
      <c r="G1231"/>
      <c r="H1231"/>
      <c r="I1231"/>
      <c r="J1231"/>
      <c r="K1231"/>
      <c r="L1231"/>
      <c r="M1231"/>
    </row>
    <row r="1232" spans="1:13" x14ac:dyDescent="0.2">
      <c r="A1232" t="s">
        <v>1372</v>
      </c>
      <c r="B1232"/>
      <c r="C1232"/>
      <c r="D1232"/>
      <c r="E1232"/>
      <c r="F1232"/>
      <c r="G1232"/>
      <c r="H1232"/>
      <c r="I1232"/>
      <c r="J1232"/>
      <c r="K1232"/>
      <c r="L1232"/>
      <c r="M1232"/>
    </row>
    <row r="1233" spans="1:13" x14ac:dyDescent="0.2">
      <c r="A1233" t="s">
        <v>1373</v>
      </c>
      <c r="B1233"/>
      <c r="C1233"/>
      <c r="D1233"/>
      <c r="E1233"/>
      <c r="F1233"/>
      <c r="G1233"/>
      <c r="H1233"/>
      <c r="I1233"/>
      <c r="J1233"/>
      <c r="K1233"/>
      <c r="L1233"/>
      <c r="M1233"/>
    </row>
    <row r="1234" spans="1:13" x14ac:dyDescent="0.2">
      <c r="A1234" t="s">
        <v>1374</v>
      </c>
      <c r="B1234"/>
      <c r="C1234"/>
      <c r="D1234"/>
      <c r="E1234"/>
      <c r="F1234"/>
      <c r="G1234"/>
      <c r="H1234"/>
      <c r="I1234"/>
      <c r="J1234"/>
      <c r="K1234"/>
      <c r="L1234"/>
      <c r="M1234"/>
    </row>
    <row r="1235" spans="1:13" x14ac:dyDescent="0.2">
      <c r="A1235" t="s">
        <v>1375</v>
      </c>
      <c r="B1235"/>
      <c r="C1235"/>
      <c r="D1235"/>
      <c r="E1235"/>
      <c r="F1235"/>
      <c r="G1235"/>
      <c r="H1235"/>
      <c r="I1235"/>
      <c r="J1235"/>
      <c r="K1235"/>
      <c r="L1235"/>
      <c r="M1235"/>
    </row>
    <row r="1236" spans="1:13" x14ac:dyDescent="0.2">
      <c r="A1236" t="s">
        <v>1376</v>
      </c>
      <c r="B1236"/>
      <c r="C1236"/>
      <c r="D1236"/>
      <c r="E1236"/>
      <c r="F1236"/>
      <c r="G1236"/>
      <c r="H1236"/>
      <c r="I1236"/>
      <c r="J1236"/>
      <c r="K1236"/>
      <c r="L1236"/>
      <c r="M1236"/>
    </row>
    <row r="1237" spans="1:13" x14ac:dyDescent="0.2">
      <c r="A1237" t="s">
        <v>1377</v>
      </c>
      <c r="B1237"/>
      <c r="C1237"/>
      <c r="D1237"/>
      <c r="E1237"/>
      <c r="F1237"/>
      <c r="G1237"/>
      <c r="H1237"/>
      <c r="I1237"/>
      <c r="J1237"/>
      <c r="K1237"/>
      <c r="L1237"/>
      <c r="M1237"/>
    </row>
    <row r="1238" spans="1:13" x14ac:dyDescent="0.2">
      <c r="A1238" t="s">
        <v>1378</v>
      </c>
      <c r="B1238"/>
      <c r="C1238"/>
      <c r="D1238"/>
      <c r="E1238"/>
      <c r="F1238"/>
      <c r="G1238"/>
      <c r="H1238"/>
      <c r="I1238"/>
      <c r="J1238"/>
      <c r="K1238"/>
      <c r="L1238"/>
      <c r="M1238"/>
    </row>
    <row r="1239" spans="1:13" x14ac:dyDescent="0.2">
      <c r="A1239" t="s">
        <v>1379</v>
      </c>
      <c r="B1239"/>
      <c r="C1239"/>
      <c r="D1239"/>
      <c r="E1239"/>
      <c r="F1239"/>
      <c r="G1239"/>
      <c r="H1239"/>
      <c r="I1239"/>
      <c r="J1239"/>
      <c r="K1239"/>
      <c r="L1239"/>
      <c r="M1239"/>
    </row>
    <row r="1240" spans="1:13" x14ac:dyDescent="0.2">
      <c r="A1240" t="s">
        <v>1380</v>
      </c>
      <c r="B1240"/>
      <c r="C1240"/>
      <c r="D1240"/>
      <c r="E1240"/>
      <c r="F1240"/>
      <c r="G1240"/>
      <c r="H1240"/>
      <c r="I1240"/>
      <c r="J1240"/>
      <c r="K1240"/>
      <c r="L1240"/>
      <c r="M1240"/>
    </row>
    <row r="1241" spans="1:13" x14ac:dyDescent="0.2">
      <c r="A1241" t="s">
        <v>1381</v>
      </c>
      <c r="B1241"/>
      <c r="C1241"/>
      <c r="D1241"/>
      <c r="E1241"/>
      <c r="F1241"/>
      <c r="G1241"/>
      <c r="H1241"/>
      <c r="I1241"/>
      <c r="J1241"/>
      <c r="K1241"/>
      <c r="L1241"/>
      <c r="M1241"/>
    </row>
    <row r="1242" spans="1:13" x14ac:dyDescent="0.2">
      <c r="A1242" t="s">
        <v>1382</v>
      </c>
      <c r="B1242"/>
      <c r="C1242"/>
      <c r="D1242"/>
      <c r="E1242"/>
      <c r="F1242"/>
      <c r="G1242"/>
      <c r="H1242"/>
      <c r="I1242"/>
      <c r="J1242"/>
      <c r="K1242"/>
      <c r="L1242"/>
      <c r="M1242"/>
    </row>
    <row r="1243" spans="1:13" x14ac:dyDescent="0.2">
      <c r="A1243" t="s">
        <v>1383</v>
      </c>
      <c r="B1243"/>
      <c r="C1243"/>
      <c r="D1243"/>
      <c r="E1243"/>
      <c r="F1243"/>
      <c r="G1243"/>
      <c r="H1243"/>
      <c r="I1243"/>
      <c r="J1243"/>
      <c r="K1243"/>
      <c r="L1243"/>
      <c r="M1243"/>
    </row>
    <row r="1244" spans="1:13" x14ac:dyDescent="0.2">
      <c r="A1244" t="s">
        <v>1384</v>
      </c>
      <c r="B1244"/>
      <c r="C1244"/>
      <c r="D1244"/>
      <c r="E1244"/>
      <c r="F1244"/>
      <c r="G1244"/>
      <c r="H1244"/>
      <c r="I1244"/>
      <c r="J1244"/>
      <c r="K1244"/>
      <c r="L1244"/>
      <c r="M1244"/>
    </row>
    <row r="1245" spans="1:13" x14ac:dyDescent="0.2">
      <c r="A1245" t="s">
        <v>1385</v>
      </c>
      <c r="B1245"/>
      <c r="C1245"/>
      <c r="D1245"/>
      <c r="E1245"/>
      <c r="F1245"/>
      <c r="G1245"/>
      <c r="H1245"/>
      <c r="I1245"/>
      <c r="J1245"/>
      <c r="K1245"/>
      <c r="L1245"/>
      <c r="M1245"/>
    </row>
    <row r="1246" spans="1:13" x14ac:dyDescent="0.2">
      <c r="A1246" t="s">
        <v>1386</v>
      </c>
      <c r="B1246"/>
      <c r="C1246"/>
      <c r="D1246"/>
      <c r="E1246"/>
      <c r="F1246"/>
      <c r="G1246"/>
      <c r="H1246"/>
      <c r="I1246"/>
      <c r="J1246"/>
      <c r="K1246"/>
      <c r="L1246"/>
      <c r="M1246"/>
    </row>
    <row r="1247" spans="1:13" x14ac:dyDescent="0.2">
      <c r="A1247" t="s">
        <v>1387</v>
      </c>
      <c r="B1247"/>
      <c r="C1247"/>
      <c r="D1247"/>
      <c r="E1247"/>
      <c r="F1247"/>
      <c r="G1247"/>
      <c r="H1247"/>
      <c r="I1247"/>
      <c r="J1247"/>
      <c r="K1247"/>
      <c r="L1247"/>
      <c r="M1247"/>
    </row>
    <row r="1248" spans="1:13" x14ac:dyDescent="0.2">
      <c r="A1248" t="s">
        <v>1388</v>
      </c>
      <c r="B1248"/>
      <c r="C1248"/>
      <c r="D1248"/>
      <c r="E1248"/>
      <c r="F1248"/>
      <c r="G1248"/>
      <c r="H1248"/>
      <c r="I1248"/>
      <c r="J1248"/>
      <c r="K1248"/>
      <c r="L1248"/>
      <c r="M1248"/>
    </row>
    <row r="1249" spans="1:13" x14ac:dyDescent="0.2">
      <c r="A1249" t="s">
        <v>1389</v>
      </c>
      <c r="B1249"/>
      <c r="C1249"/>
      <c r="D1249"/>
      <c r="E1249"/>
      <c r="F1249"/>
      <c r="G1249"/>
      <c r="H1249"/>
      <c r="I1249"/>
      <c r="J1249"/>
      <c r="K1249"/>
      <c r="L1249"/>
      <c r="M1249"/>
    </row>
    <row r="1250" spans="1:13" x14ac:dyDescent="0.2">
      <c r="A1250" t="s">
        <v>1390</v>
      </c>
      <c r="B1250"/>
      <c r="C1250"/>
      <c r="D1250"/>
      <c r="E1250"/>
      <c r="F1250"/>
      <c r="G1250"/>
      <c r="H1250"/>
      <c r="I1250"/>
      <c r="J1250"/>
      <c r="K1250"/>
      <c r="L1250"/>
      <c r="M1250"/>
    </row>
    <row r="1251" spans="1:13" x14ac:dyDescent="0.2">
      <c r="A1251" t="s">
        <v>1391</v>
      </c>
      <c r="B1251"/>
      <c r="C1251"/>
      <c r="D1251"/>
      <c r="E1251"/>
      <c r="F1251"/>
      <c r="G1251"/>
      <c r="H1251"/>
      <c r="I1251"/>
      <c r="J1251"/>
      <c r="K1251"/>
      <c r="L1251"/>
      <c r="M1251"/>
    </row>
    <row r="1252" spans="1:13" x14ac:dyDescent="0.2">
      <c r="A1252" t="s">
        <v>1392</v>
      </c>
      <c r="B1252"/>
      <c r="C1252"/>
      <c r="D1252"/>
      <c r="E1252"/>
      <c r="F1252"/>
      <c r="G1252"/>
      <c r="H1252"/>
      <c r="I1252"/>
      <c r="J1252"/>
      <c r="K1252"/>
      <c r="L1252"/>
      <c r="M1252"/>
    </row>
    <row r="1253" spans="1:13" x14ac:dyDescent="0.2">
      <c r="A1253" t="s">
        <v>1393</v>
      </c>
      <c r="B1253"/>
      <c r="C1253"/>
      <c r="D1253"/>
      <c r="E1253"/>
      <c r="F1253"/>
      <c r="G1253"/>
      <c r="H1253"/>
      <c r="I1253"/>
      <c r="J1253"/>
      <c r="K1253"/>
      <c r="L1253"/>
      <c r="M1253"/>
    </row>
    <row r="1254" spans="1:13" x14ac:dyDescent="0.2">
      <c r="A1254" t="s">
        <v>1394</v>
      </c>
      <c r="B1254"/>
      <c r="C1254"/>
      <c r="D1254"/>
      <c r="E1254"/>
      <c r="F1254"/>
      <c r="G1254"/>
      <c r="H1254"/>
      <c r="I1254"/>
      <c r="J1254"/>
      <c r="K1254"/>
      <c r="L1254"/>
      <c r="M1254"/>
    </row>
    <row r="1255" spans="1:13" x14ac:dyDescent="0.2">
      <c r="A1255" t="s">
        <v>1395</v>
      </c>
      <c r="B1255"/>
      <c r="C1255"/>
      <c r="D1255"/>
      <c r="E1255"/>
      <c r="F1255"/>
      <c r="G1255"/>
      <c r="H1255"/>
      <c r="I1255"/>
      <c r="J1255"/>
      <c r="K1255"/>
      <c r="L1255"/>
      <c r="M1255"/>
    </row>
    <row r="1256" spans="1:13" x14ac:dyDescent="0.2">
      <c r="A1256" t="s">
        <v>1396</v>
      </c>
      <c r="B1256"/>
      <c r="C1256"/>
      <c r="D1256"/>
      <c r="E1256"/>
      <c r="F1256"/>
      <c r="G1256"/>
      <c r="H1256"/>
      <c r="I1256"/>
      <c r="J1256"/>
      <c r="K1256"/>
      <c r="L1256"/>
      <c r="M1256"/>
    </row>
    <row r="1257" spans="1:13" x14ac:dyDescent="0.2">
      <c r="A1257" t="s">
        <v>1397</v>
      </c>
      <c r="B1257"/>
      <c r="C1257"/>
      <c r="D1257"/>
      <c r="E1257"/>
      <c r="F1257"/>
      <c r="G1257"/>
      <c r="H1257"/>
      <c r="I1257"/>
      <c r="J1257"/>
      <c r="K1257"/>
      <c r="L1257"/>
      <c r="M1257"/>
    </row>
    <row r="1258" spans="1:13" x14ac:dyDescent="0.2">
      <c r="A1258" t="s">
        <v>1398</v>
      </c>
      <c r="B1258"/>
      <c r="C1258"/>
      <c r="D1258"/>
      <c r="E1258"/>
      <c r="F1258"/>
      <c r="G1258"/>
      <c r="H1258"/>
      <c r="I1258"/>
      <c r="J1258"/>
      <c r="K1258"/>
      <c r="L1258"/>
      <c r="M1258"/>
    </row>
    <row r="1259" spans="1:13" x14ac:dyDescent="0.2">
      <c r="A1259" t="s">
        <v>1399</v>
      </c>
      <c r="B1259"/>
      <c r="C1259"/>
      <c r="D1259"/>
      <c r="E1259"/>
      <c r="F1259"/>
      <c r="G1259"/>
      <c r="H1259"/>
      <c r="I1259"/>
      <c r="J1259"/>
      <c r="K1259"/>
      <c r="L1259"/>
      <c r="M1259"/>
    </row>
    <row r="1260" spans="1:13" x14ac:dyDescent="0.2">
      <c r="A1260" t="s">
        <v>1400</v>
      </c>
      <c r="B1260"/>
      <c r="C1260"/>
      <c r="D1260"/>
      <c r="E1260"/>
      <c r="F1260"/>
      <c r="G1260"/>
      <c r="H1260"/>
      <c r="I1260"/>
      <c r="J1260"/>
      <c r="K1260"/>
      <c r="L1260"/>
      <c r="M1260"/>
    </row>
    <row r="1261" spans="1:13" x14ac:dyDescent="0.2">
      <c r="A1261" t="s">
        <v>1401</v>
      </c>
      <c r="B1261"/>
      <c r="C1261"/>
      <c r="D1261"/>
      <c r="E1261"/>
      <c r="F1261"/>
      <c r="G1261"/>
      <c r="H1261"/>
      <c r="I1261"/>
      <c r="J1261"/>
      <c r="K1261"/>
      <c r="L1261"/>
      <c r="M1261"/>
    </row>
    <row r="1262" spans="1:13" x14ac:dyDescent="0.2">
      <c r="A1262" t="s">
        <v>1402</v>
      </c>
      <c r="B1262"/>
      <c r="C1262"/>
      <c r="D1262"/>
      <c r="E1262"/>
      <c r="F1262"/>
      <c r="G1262"/>
      <c r="H1262"/>
      <c r="I1262"/>
      <c r="J1262"/>
      <c r="K1262"/>
      <c r="L1262"/>
      <c r="M1262"/>
    </row>
    <row r="1263" spans="1:13" x14ac:dyDescent="0.2">
      <c r="A1263" t="s">
        <v>1403</v>
      </c>
      <c r="B1263"/>
      <c r="C1263"/>
      <c r="D1263"/>
      <c r="E1263"/>
      <c r="F1263"/>
      <c r="G1263"/>
      <c r="H1263"/>
      <c r="I1263"/>
      <c r="J1263"/>
      <c r="K1263"/>
      <c r="L1263"/>
      <c r="M1263"/>
    </row>
    <row r="1264" spans="1:13" x14ac:dyDescent="0.2">
      <c r="A1264" t="s">
        <v>1404</v>
      </c>
      <c r="B1264"/>
      <c r="C1264"/>
      <c r="D1264"/>
      <c r="E1264"/>
      <c r="F1264"/>
      <c r="G1264"/>
      <c r="H1264"/>
      <c r="I1264"/>
      <c r="J1264"/>
      <c r="K1264"/>
      <c r="L1264"/>
      <c r="M1264"/>
    </row>
    <row r="1265" spans="1:13" x14ac:dyDescent="0.2">
      <c r="A1265" t="s">
        <v>1405</v>
      </c>
      <c r="B1265"/>
      <c r="C1265"/>
      <c r="D1265"/>
      <c r="E1265"/>
      <c r="F1265"/>
      <c r="G1265"/>
      <c r="H1265"/>
      <c r="I1265"/>
      <c r="J1265"/>
      <c r="K1265"/>
      <c r="L1265"/>
      <c r="M1265"/>
    </row>
    <row r="1266" spans="1:13" x14ac:dyDescent="0.2">
      <c r="A1266" t="s">
        <v>1406</v>
      </c>
      <c r="B1266"/>
      <c r="C1266"/>
      <c r="D1266"/>
      <c r="E1266"/>
      <c r="F1266"/>
      <c r="G1266"/>
      <c r="H1266"/>
      <c r="I1266"/>
      <c r="J1266"/>
      <c r="K1266"/>
      <c r="L1266"/>
      <c r="M1266"/>
    </row>
    <row r="1267" spans="1:13" x14ac:dyDescent="0.2">
      <c r="A1267" t="s">
        <v>1407</v>
      </c>
      <c r="B1267"/>
      <c r="C1267"/>
      <c r="D1267"/>
      <c r="E1267"/>
      <c r="F1267"/>
      <c r="G1267"/>
      <c r="H1267"/>
      <c r="I1267"/>
      <c r="J1267"/>
      <c r="K1267"/>
      <c r="L1267"/>
      <c r="M1267"/>
    </row>
    <row r="1268" spans="1:13" x14ac:dyDescent="0.2">
      <c r="A1268" t="s">
        <v>1408</v>
      </c>
      <c r="B1268"/>
      <c r="C1268"/>
      <c r="D1268"/>
      <c r="E1268"/>
      <c r="F1268"/>
      <c r="G1268"/>
      <c r="H1268"/>
      <c r="I1268"/>
      <c r="J1268"/>
      <c r="K1268"/>
      <c r="L1268"/>
      <c r="M1268"/>
    </row>
    <row r="1269" spans="1:13" x14ac:dyDescent="0.2">
      <c r="A1269" t="s">
        <v>1409</v>
      </c>
      <c r="B1269"/>
      <c r="C1269"/>
      <c r="D1269"/>
      <c r="E1269"/>
      <c r="F1269"/>
      <c r="G1269"/>
      <c r="H1269"/>
      <c r="I1269"/>
      <c r="J1269"/>
      <c r="K1269"/>
      <c r="L1269"/>
      <c r="M1269"/>
    </row>
    <row r="1270" spans="1:13" x14ac:dyDescent="0.2">
      <c r="A1270" t="s">
        <v>1410</v>
      </c>
      <c r="B1270"/>
      <c r="C1270"/>
      <c r="D1270"/>
      <c r="E1270"/>
      <c r="F1270"/>
      <c r="G1270"/>
      <c r="H1270"/>
      <c r="I1270"/>
      <c r="J1270"/>
      <c r="K1270"/>
      <c r="L1270"/>
      <c r="M1270"/>
    </row>
    <row r="1271" spans="1:13" x14ac:dyDescent="0.2">
      <c r="A1271" t="s">
        <v>1411</v>
      </c>
      <c r="B1271"/>
      <c r="C1271"/>
      <c r="D1271"/>
      <c r="E1271"/>
      <c r="F1271"/>
      <c r="G1271"/>
      <c r="H1271"/>
      <c r="I1271"/>
      <c r="J1271"/>
      <c r="K1271"/>
      <c r="L1271"/>
      <c r="M1271"/>
    </row>
    <row r="1272" spans="1:13" x14ac:dyDescent="0.2">
      <c r="A1272" t="s">
        <v>1412</v>
      </c>
      <c r="B1272"/>
      <c r="C1272"/>
      <c r="D1272"/>
      <c r="E1272"/>
      <c r="F1272"/>
      <c r="G1272"/>
      <c r="H1272"/>
      <c r="I1272"/>
      <c r="J1272"/>
      <c r="K1272"/>
      <c r="L1272"/>
      <c r="M1272"/>
    </row>
    <row r="1273" spans="1:13" x14ac:dyDescent="0.2">
      <c r="A1273" t="s">
        <v>1413</v>
      </c>
      <c r="B1273"/>
      <c r="C1273"/>
      <c r="D1273"/>
      <c r="E1273"/>
      <c r="F1273"/>
      <c r="G1273"/>
      <c r="H1273"/>
      <c r="I1273"/>
      <c r="J1273"/>
      <c r="K1273"/>
      <c r="L1273"/>
      <c r="M1273"/>
    </row>
    <row r="1274" spans="1:13" x14ac:dyDescent="0.2">
      <c r="A1274" t="s">
        <v>1414</v>
      </c>
      <c r="B1274"/>
      <c r="C1274"/>
      <c r="D1274"/>
      <c r="E1274"/>
      <c r="F1274"/>
      <c r="G1274"/>
      <c r="H1274"/>
      <c r="I1274"/>
      <c r="J1274"/>
      <c r="K1274"/>
      <c r="L1274"/>
      <c r="M1274"/>
    </row>
    <row r="1275" spans="1:13" x14ac:dyDescent="0.2">
      <c r="A1275" t="s">
        <v>1415</v>
      </c>
      <c r="B1275"/>
      <c r="C1275"/>
      <c r="D1275"/>
      <c r="E1275"/>
      <c r="F1275"/>
      <c r="G1275"/>
      <c r="H1275"/>
      <c r="I1275"/>
      <c r="J1275"/>
      <c r="K1275"/>
      <c r="L1275"/>
      <c r="M1275"/>
    </row>
    <row r="1276" spans="1:13" x14ac:dyDescent="0.2">
      <c r="A1276" t="s">
        <v>1416</v>
      </c>
      <c r="B1276"/>
      <c r="C1276"/>
      <c r="D1276"/>
      <c r="E1276"/>
      <c r="F1276"/>
      <c r="G1276"/>
      <c r="H1276"/>
      <c r="I1276"/>
      <c r="J1276"/>
      <c r="K1276"/>
      <c r="L1276"/>
      <c r="M1276"/>
    </row>
    <row r="1277" spans="1:13" x14ac:dyDescent="0.2">
      <c r="A1277" t="s">
        <v>1417</v>
      </c>
      <c r="B1277"/>
      <c r="C1277"/>
      <c r="D1277"/>
      <c r="E1277"/>
      <c r="F1277"/>
      <c r="G1277"/>
      <c r="H1277"/>
      <c r="I1277"/>
      <c r="J1277"/>
      <c r="K1277"/>
      <c r="L1277"/>
      <c r="M1277"/>
    </row>
    <row r="1278" spans="1:13" x14ac:dyDescent="0.2">
      <c r="A1278" t="s">
        <v>1418</v>
      </c>
      <c r="B1278"/>
      <c r="C1278"/>
      <c r="D1278"/>
      <c r="E1278"/>
      <c r="F1278"/>
      <c r="G1278"/>
      <c r="H1278"/>
      <c r="I1278"/>
      <c r="J1278"/>
      <c r="K1278"/>
      <c r="L1278"/>
      <c r="M1278"/>
    </row>
    <row r="1279" spans="1:13" x14ac:dyDescent="0.2">
      <c r="A1279" t="s">
        <v>1419</v>
      </c>
      <c r="B1279"/>
      <c r="C1279"/>
      <c r="D1279"/>
      <c r="E1279"/>
      <c r="F1279"/>
      <c r="G1279"/>
      <c r="H1279"/>
      <c r="I1279"/>
      <c r="J1279"/>
      <c r="K1279"/>
      <c r="L1279"/>
      <c r="M1279"/>
    </row>
    <row r="1280" spans="1:13" x14ac:dyDescent="0.2">
      <c r="A1280" t="s">
        <v>1420</v>
      </c>
      <c r="B1280"/>
      <c r="C1280"/>
      <c r="D1280"/>
      <c r="E1280"/>
      <c r="F1280"/>
      <c r="G1280"/>
      <c r="H1280"/>
      <c r="I1280"/>
      <c r="J1280"/>
      <c r="K1280"/>
      <c r="L1280"/>
      <c r="M1280"/>
    </row>
    <row r="1281" spans="1:13" x14ac:dyDescent="0.2">
      <c r="A1281" t="s">
        <v>1421</v>
      </c>
      <c r="B1281"/>
      <c r="C1281"/>
      <c r="D1281"/>
      <c r="E1281"/>
      <c r="F1281"/>
      <c r="G1281"/>
      <c r="H1281"/>
      <c r="I1281"/>
      <c r="J1281"/>
      <c r="K1281"/>
      <c r="L1281"/>
      <c r="M1281"/>
    </row>
    <row r="1282" spans="1:13" x14ac:dyDescent="0.2">
      <c r="A1282" t="s">
        <v>1422</v>
      </c>
      <c r="B1282"/>
      <c r="C1282"/>
      <c r="D1282"/>
      <c r="E1282"/>
      <c r="F1282"/>
      <c r="G1282"/>
      <c r="H1282"/>
      <c r="I1282"/>
      <c r="J1282"/>
      <c r="K1282"/>
      <c r="L1282"/>
      <c r="M1282"/>
    </row>
    <row r="1283" spans="1:13" x14ac:dyDescent="0.2">
      <c r="A1283" t="s">
        <v>1423</v>
      </c>
      <c r="B1283"/>
      <c r="C1283"/>
      <c r="D1283"/>
      <c r="E1283"/>
      <c r="F1283"/>
      <c r="G1283"/>
      <c r="H1283"/>
      <c r="I1283"/>
      <c r="J1283"/>
      <c r="K1283"/>
      <c r="L1283"/>
      <c r="M1283"/>
    </row>
    <row r="1284" spans="1:13" x14ac:dyDescent="0.2">
      <c r="A1284" t="s">
        <v>1424</v>
      </c>
      <c r="B1284"/>
      <c r="C1284"/>
      <c r="D1284"/>
      <c r="E1284"/>
      <c r="F1284"/>
      <c r="G1284"/>
      <c r="H1284"/>
      <c r="I1284"/>
      <c r="J1284"/>
      <c r="K1284"/>
      <c r="L1284"/>
      <c r="M1284"/>
    </row>
    <row r="1285" spans="1:13" x14ac:dyDescent="0.2">
      <c r="A1285" t="s">
        <v>1425</v>
      </c>
      <c r="B1285"/>
      <c r="C1285"/>
      <c r="D1285"/>
      <c r="E1285"/>
      <c r="F1285"/>
      <c r="G1285"/>
      <c r="H1285"/>
      <c r="I1285"/>
      <c r="J1285"/>
      <c r="K1285"/>
      <c r="L1285"/>
      <c r="M1285"/>
    </row>
    <row r="1286" spans="1:13" x14ac:dyDescent="0.2">
      <c r="A1286" t="s">
        <v>1426</v>
      </c>
      <c r="B1286"/>
      <c r="C1286"/>
      <c r="D1286"/>
      <c r="E1286"/>
      <c r="F1286"/>
      <c r="G1286"/>
      <c r="H1286"/>
      <c r="I1286"/>
      <c r="J1286"/>
      <c r="K1286"/>
      <c r="L1286"/>
      <c r="M1286"/>
    </row>
    <row r="1287" spans="1:13" x14ac:dyDescent="0.2">
      <c r="A1287" t="s">
        <v>1427</v>
      </c>
      <c r="B1287"/>
      <c r="C1287"/>
      <c r="D1287"/>
      <c r="E1287"/>
      <c r="F1287"/>
      <c r="G1287"/>
      <c r="H1287"/>
      <c r="I1287"/>
      <c r="J1287"/>
      <c r="K1287"/>
      <c r="L1287"/>
      <c r="M1287"/>
    </row>
    <row r="1288" spans="1:13" x14ac:dyDescent="0.2">
      <c r="A1288" t="s">
        <v>1428</v>
      </c>
      <c r="B1288"/>
      <c r="C1288"/>
      <c r="D1288"/>
      <c r="E1288"/>
      <c r="F1288"/>
      <c r="G1288"/>
      <c r="H1288"/>
      <c r="I1288"/>
      <c r="J1288"/>
      <c r="K1288"/>
      <c r="L1288"/>
      <c r="M1288"/>
    </row>
    <row r="1289" spans="1:13" x14ac:dyDescent="0.2">
      <c r="A1289" t="s">
        <v>1429</v>
      </c>
      <c r="B1289"/>
      <c r="C1289"/>
      <c r="D1289"/>
      <c r="E1289"/>
      <c r="F1289"/>
      <c r="G1289"/>
      <c r="H1289"/>
      <c r="I1289"/>
      <c r="J1289"/>
      <c r="K1289"/>
      <c r="L1289"/>
      <c r="M1289"/>
    </row>
    <row r="1290" spans="1:13" x14ac:dyDescent="0.2">
      <c r="A1290" t="s">
        <v>1430</v>
      </c>
      <c r="B1290"/>
      <c r="C1290"/>
      <c r="D1290"/>
      <c r="E1290"/>
      <c r="F1290"/>
      <c r="G1290"/>
      <c r="H1290"/>
      <c r="I1290"/>
      <c r="J1290"/>
      <c r="K1290"/>
      <c r="L1290"/>
      <c r="M1290"/>
    </row>
    <row r="1291" spans="1:13" x14ac:dyDescent="0.2">
      <c r="A1291" t="s">
        <v>1431</v>
      </c>
      <c r="B1291"/>
      <c r="C1291"/>
      <c r="D1291"/>
      <c r="E1291"/>
      <c r="F1291"/>
      <c r="G1291"/>
      <c r="H1291"/>
      <c r="I1291"/>
      <c r="J1291"/>
      <c r="K1291"/>
      <c r="L1291"/>
      <c r="M1291"/>
    </row>
    <row r="1292" spans="1:13" x14ac:dyDescent="0.2">
      <c r="A1292" t="s">
        <v>1432</v>
      </c>
      <c r="B1292"/>
      <c r="C1292"/>
      <c r="D1292"/>
      <c r="E1292"/>
      <c r="F1292"/>
      <c r="G1292"/>
      <c r="H1292"/>
      <c r="I1292"/>
      <c r="J1292"/>
      <c r="K1292"/>
      <c r="L1292"/>
      <c r="M1292"/>
    </row>
    <row r="1293" spans="1:13" x14ac:dyDescent="0.2">
      <c r="A1293" t="s">
        <v>1433</v>
      </c>
      <c r="B1293"/>
      <c r="C1293"/>
      <c r="D1293"/>
      <c r="E1293"/>
      <c r="F1293"/>
      <c r="G1293"/>
      <c r="H1293"/>
      <c r="I1293"/>
      <c r="J1293"/>
      <c r="K1293"/>
      <c r="L1293"/>
      <c r="M1293"/>
    </row>
    <row r="1294" spans="1:13" x14ac:dyDescent="0.2">
      <c r="A1294" t="s">
        <v>1434</v>
      </c>
      <c r="B1294"/>
      <c r="C1294"/>
      <c r="D1294"/>
      <c r="E1294"/>
      <c r="F1294"/>
      <c r="G1294"/>
      <c r="H1294"/>
      <c r="I1294"/>
      <c r="J1294"/>
      <c r="K1294"/>
      <c r="L1294"/>
      <c r="M1294"/>
    </row>
    <row r="1295" spans="1:13" x14ac:dyDescent="0.2">
      <c r="A1295" t="s">
        <v>1435</v>
      </c>
      <c r="B1295"/>
      <c r="C1295"/>
      <c r="D1295"/>
      <c r="E1295"/>
      <c r="F1295"/>
      <c r="G1295"/>
      <c r="H1295"/>
      <c r="I1295"/>
      <c r="J1295"/>
      <c r="K1295"/>
      <c r="L1295"/>
      <c r="M1295"/>
    </row>
    <row r="1296" spans="1:13" x14ac:dyDescent="0.2">
      <c r="A1296" t="s">
        <v>1436</v>
      </c>
      <c r="B1296"/>
      <c r="C1296"/>
      <c r="D1296"/>
      <c r="E1296"/>
      <c r="F1296"/>
      <c r="G1296"/>
      <c r="H1296"/>
      <c r="I1296"/>
      <c r="J1296"/>
      <c r="K1296"/>
      <c r="L1296"/>
      <c r="M1296"/>
    </row>
    <row r="1297" spans="1:13" x14ac:dyDescent="0.2">
      <c r="A1297" t="s">
        <v>1437</v>
      </c>
      <c r="B1297"/>
      <c r="C1297"/>
      <c r="D1297"/>
      <c r="E1297"/>
      <c r="F1297"/>
      <c r="G1297"/>
      <c r="H1297"/>
      <c r="I1297"/>
      <c r="J1297"/>
      <c r="K1297"/>
      <c r="L1297"/>
      <c r="M1297"/>
    </row>
    <row r="1298" spans="1:13" x14ac:dyDescent="0.2">
      <c r="A1298" t="s">
        <v>1438</v>
      </c>
      <c r="B1298"/>
      <c r="C1298"/>
      <c r="D1298"/>
      <c r="E1298"/>
      <c r="F1298"/>
      <c r="G1298"/>
      <c r="H1298"/>
      <c r="I1298"/>
      <c r="J1298"/>
      <c r="K1298"/>
      <c r="L1298"/>
      <c r="M1298"/>
    </row>
    <row r="1299" spans="1:13" x14ac:dyDescent="0.2">
      <c r="A1299" t="s">
        <v>1439</v>
      </c>
      <c r="B1299"/>
      <c r="C1299"/>
      <c r="D1299"/>
      <c r="E1299"/>
      <c r="F1299"/>
      <c r="G1299"/>
      <c r="H1299"/>
      <c r="I1299"/>
      <c r="J1299"/>
      <c r="K1299"/>
      <c r="L1299"/>
      <c r="M1299"/>
    </row>
    <row r="1300" spans="1:13" x14ac:dyDescent="0.2">
      <c r="A1300" t="s">
        <v>1440</v>
      </c>
      <c r="B1300"/>
      <c r="C1300"/>
      <c r="D1300"/>
      <c r="E1300"/>
      <c r="F1300"/>
      <c r="G1300"/>
      <c r="H1300"/>
      <c r="I1300"/>
      <c r="J1300"/>
      <c r="K1300"/>
      <c r="L1300"/>
      <c r="M1300"/>
    </row>
    <row r="1301" spans="1:13" x14ac:dyDescent="0.2">
      <c r="A1301" t="s">
        <v>1441</v>
      </c>
      <c r="B1301"/>
      <c r="C1301"/>
      <c r="D1301"/>
      <c r="E1301"/>
      <c r="F1301"/>
      <c r="G1301"/>
      <c r="H1301"/>
      <c r="I1301"/>
      <c r="J1301"/>
      <c r="K1301"/>
      <c r="L1301"/>
      <c r="M1301"/>
    </row>
    <row r="1302" spans="1:13" x14ac:dyDescent="0.2">
      <c r="A1302" t="s">
        <v>1442</v>
      </c>
      <c r="B1302"/>
      <c r="C1302"/>
      <c r="D1302"/>
      <c r="E1302"/>
      <c r="F1302"/>
      <c r="G1302"/>
      <c r="H1302"/>
      <c r="I1302"/>
      <c r="J1302"/>
      <c r="K1302"/>
      <c r="L1302"/>
      <c r="M1302"/>
    </row>
    <row r="1303" spans="1:13" x14ac:dyDescent="0.2">
      <c r="A1303" t="s">
        <v>1443</v>
      </c>
      <c r="B1303"/>
      <c r="C1303"/>
      <c r="D1303"/>
      <c r="E1303"/>
      <c r="F1303"/>
      <c r="G1303"/>
      <c r="H1303"/>
      <c r="I1303"/>
      <c r="J1303"/>
      <c r="K1303"/>
      <c r="L1303"/>
      <c r="M1303"/>
    </row>
    <row r="1304" spans="1:13" x14ac:dyDescent="0.2">
      <c r="A1304" t="s">
        <v>1444</v>
      </c>
      <c r="B1304"/>
      <c r="C1304"/>
      <c r="D1304"/>
      <c r="E1304"/>
      <c r="F1304"/>
      <c r="G1304"/>
      <c r="H1304"/>
      <c r="I1304"/>
      <c r="J1304"/>
      <c r="K1304"/>
      <c r="L1304"/>
      <c r="M1304"/>
    </row>
    <row r="1305" spans="1:13" x14ac:dyDescent="0.2">
      <c r="A1305" t="s">
        <v>1445</v>
      </c>
      <c r="B1305"/>
      <c r="C1305"/>
      <c r="D1305"/>
      <c r="E1305"/>
      <c r="F1305"/>
      <c r="G1305"/>
      <c r="H1305"/>
      <c r="I1305"/>
      <c r="J1305"/>
      <c r="K1305"/>
      <c r="L1305"/>
      <c r="M1305"/>
    </row>
    <row r="1306" spans="1:13" x14ac:dyDescent="0.2">
      <c r="A1306" t="s">
        <v>1446</v>
      </c>
      <c r="B1306"/>
      <c r="C1306"/>
      <c r="D1306"/>
      <c r="E1306"/>
      <c r="F1306"/>
      <c r="G1306"/>
      <c r="H1306"/>
      <c r="I1306"/>
      <c r="J1306"/>
      <c r="K1306"/>
      <c r="L1306"/>
      <c r="M1306"/>
    </row>
    <row r="1307" spans="1:13" x14ac:dyDescent="0.2">
      <c r="A1307" t="s">
        <v>1447</v>
      </c>
      <c r="B1307"/>
      <c r="C1307"/>
      <c r="D1307"/>
      <c r="E1307"/>
      <c r="F1307"/>
      <c r="G1307"/>
      <c r="H1307"/>
      <c r="I1307"/>
      <c r="J1307"/>
      <c r="K1307"/>
      <c r="L1307"/>
      <c r="M1307"/>
    </row>
    <row r="1308" spans="1:13" x14ac:dyDescent="0.2">
      <c r="A1308" t="s">
        <v>1448</v>
      </c>
      <c r="B1308"/>
      <c r="C1308"/>
      <c r="D1308"/>
      <c r="E1308"/>
      <c r="F1308"/>
      <c r="G1308"/>
      <c r="H1308"/>
      <c r="I1308"/>
      <c r="J1308"/>
      <c r="K1308"/>
      <c r="L1308"/>
      <c r="M1308"/>
    </row>
    <row r="1309" spans="1:13" x14ac:dyDescent="0.2">
      <c r="A1309" t="s">
        <v>1449</v>
      </c>
      <c r="B1309"/>
      <c r="C1309"/>
      <c r="D1309"/>
      <c r="E1309"/>
      <c r="F1309"/>
      <c r="G1309"/>
      <c r="H1309"/>
      <c r="I1309"/>
      <c r="J1309"/>
      <c r="K1309"/>
      <c r="L1309"/>
      <c r="M1309"/>
    </row>
    <row r="1310" spans="1:13" x14ac:dyDescent="0.2">
      <c r="A1310" t="s">
        <v>1450</v>
      </c>
      <c r="B1310"/>
      <c r="C1310"/>
      <c r="D1310"/>
      <c r="E1310"/>
      <c r="F1310"/>
      <c r="G1310"/>
      <c r="H1310"/>
      <c r="I1310"/>
      <c r="J1310"/>
      <c r="K1310"/>
      <c r="L1310"/>
      <c r="M1310"/>
    </row>
    <row r="1311" spans="1:13" x14ac:dyDescent="0.2">
      <c r="A1311" t="s">
        <v>1451</v>
      </c>
      <c r="B1311"/>
      <c r="C1311"/>
      <c r="D1311"/>
      <c r="E1311"/>
      <c r="F1311"/>
      <c r="G1311"/>
      <c r="H1311"/>
      <c r="I1311"/>
      <c r="J1311"/>
      <c r="K1311"/>
      <c r="L1311"/>
      <c r="M1311"/>
    </row>
    <row r="1312" spans="1:13" x14ac:dyDescent="0.2">
      <c r="A1312" t="s">
        <v>1452</v>
      </c>
      <c r="B1312"/>
      <c r="C1312"/>
      <c r="D1312"/>
      <c r="E1312"/>
      <c r="F1312"/>
      <c r="G1312"/>
      <c r="H1312"/>
      <c r="I1312"/>
      <c r="J1312"/>
      <c r="K1312"/>
      <c r="L1312"/>
      <c r="M1312"/>
    </row>
    <row r="1313" spans="1:13" x14ac:dyDescent="0.2">
      <c r="A1313" t="s">
        <v>1453</v>
      </c>
      <c r="B1313"/>
      <c r="C1313"/>
      <c r="D1313"/>
      <c r="E1313"/>
      <c r="F1313"/>
      <c r="G1313"/>
      <c r="H1313"/>
      <c r="I1313"/>
      <c r="J1313"/>
      <c r="K1313"/>
      <c r="L1313"/>
      <c r="M1313"/>
    </row>
    <row r="1314" spans="1:13" x14ac:dyDescent="0.2">
      <c r="A1314" t="s">
        <v>1454</v>
      </c>
      <c r="B1314"/>
      <c r="C1314"/>
      <c r="D1314"/>
      <c r="E1314"/>
      <c r="F1314"/>
      <c r="G1314"/>
      <c r="H1314"/>
      <c r="I1314"/>
      <c r="J1314"/>
      <c r="K1314"/>
      <c r="L1314"/>
      <c r="M1314"/>
    </row>
    <row r="1315" spans="1:13" x14ac:dyDescent="0.2">
      <c r="A1315" t="s">
        <v>1455</v>
      </c>
      <c r="B1315"/>
      <c r="C1315"/>
      <c r="D1315"/>
      <c r="E1315"/>
      <c r="F1315"/>
      <c r="G1315"/>
      <c r="H1315"/>
      <c r="I1315"/>
      <c r="J1315"/>
      <c r="K1315"/>
      <c r="L1315"/>
      <c r="M1315"/>
    </row>
    <row r="1316" spans="1:13" x14ac:dyDescent="0.2">
      <c r="A1316" t="s">
        <v>1456</v>
      </c>
      <c r="B1316"/>
      <c r="C1316"/>
      <c r="D1316"/>
      <c r="E1316"/>
      <c r="F1316"/>
      <c r="G1316"/>
      <c r="H1316"/>
      <c r="I1316"/>
      <c r="J1316"/>
      <c r="K1316"/>
      <c r="L1316"/>
      <c r="M1316"/>
    </row>
    <row r="1317" spans="1:13" x14ac:dyDescent="0.2">
      <c r="A1317" t="s">
        <v>1457</v>
      </c>
      <c r="B1317"/>
      <c r="C1317"/>
      <c r="D1317"/>
      <c r="E1317"/>
      <c r="F1317"/>
      <c r="G1317"/>
      <c r="H1317"/>
      <c r="I1317"/>
      <c r="J1317"/>
      <c r="K1317"/>
      <c r="L1317"/>
      <c r="M1317"/>
    </row>
    <row r="1318" spans="1:13" x14ac:dyDescent="0.2">
      <c r="A1318" t="s">
        <v>1458</v>
      </c>
      <c r="B1318"/>
      <c r="C1318"/>
      <c r="D1318"/>
      <c r="E1318"/>
      <c r="F1318"/>
      <c r="G1318"/>
      <c r="H1318"/>
      <c r="I1318"/>
      <c r="J1318"/>
      <c r="K1318"/>
      <c r="L1318"/>
      <c r="M1318"/>
    </row>
    <row r="1319" spans="1:13" x14ac:dyDescent="0.2">
      <c r="A1319" t="s">
        <v>1459</v>
      </c>
      <c r="B1319"/>
      <c r="C1319"/>
      <c r="D1319"/>
      <c r="E1319"/>
      <c r="F1319"/>
      <c r="G1319"/>
      <c r="H1319"/>
      <c r="I1319"/>
      <c r="J1319"/>
      <c r="K1319"/>
      <c r="L1319"/>
      <c r="M1319"/>
    </row>
    <row r="1320" spans="1:13" x14ac:dyDescent="0.2">
      <c r="A1320" t="s">
        <v>1460</v>
      </c>
      <c r="B1320"/>
      <c r="C1320"/>
      <c r="D1320"/>
      <c r="E1320"/>
      <c r="F1320"/>
      <c r="G1320"/>
      <c r="H1320"/>
      <c r="I1320"/>
      <c r="J1320"/>
      <c r="K1320"/>
      <c r="L1320"/>
      <c r="M1320"/>
    </row>
    <row r="1321" spans="1:13" x14ac:dyDescent="0.2">
      <c r="A1321" t="s">
        <v>1461</v>
      </c>
      <c r="B1321"/>
      <c r="C1321"/>
      <c r="D1321"/>
      <c r="E1321"/>
      <c r="F1321"/>
      <c r="G1321"/>
      <c r="H1321"/>
      <c r="I1321"/>
      <c r="J1321"/>
      <c r="K1321"/>
      <c r="L1321"/>
      <c r="M1321"/>
    </row>
    <row r="1322" spans="1:13" x14ac:dyDescent="0.2">
      <c r="A1322" t="s">
        <v>1462</v>
      </c>
      <c r="B1322"/>
      <c r="C1322"/>
      <c r="D1322"/>
      <c r="E1322"/>
      <c r="F1322"/>
      <c r="G1322"/>
      <c r="H1322"/>
      <c r="I1322"/>
      <c r="J1322"/>
      <c r="K1322"/>
      <c r="L1322"/>
      <c r="M1322"/>
    </row>
    <row r="1323" spans="1:13" x14ac:dyDescent="0.2">
      <c r="A1323" t="s">
        <v>1463</v>
      </c>
      <c r="B1323"/>
      <c r="C1323"/>
      <c r="D1323"/>
      <c r="E1323"/>
      <c r="F1323"/>
      <c r="G1323"/>
      <c r="H1323"/>
      <c r="I1323"/>
      <c r="J1323"/>
      <c r="K1323"/>
      <c r="L1323"/>
      <c r="M1323"/>
    </row>
    <row r="1324" spans="1:13" x14ac:dyDescent="0.2">
      <c r="A1324" t="s">
        <v>1464</v>
      </c>
      <c r="B1324"/>
      <c r="C1324"/>
      <c r="D1324"/>
      <c r="E1324"/>
      <c r="F1324"/>
      <c r="G1324"/>
      <c r="H1324"/>
      <c r="I1324"/>
      <c r="J1324"/>
      <c r="K1324"/>
      <c r="L1324"/>
      <c r="M1324"/>
    </row>
    <row r="1325" spans="1:13" x14ac:dyDescent="0.2">
      <c r="A1325" t="s">
        <v>1465</v>
      </c>
      <c r="B1325"/>
      <c r="C1325"/>
      <c r="D1325"/>
      <c r="E1325"/>
      <c r="F1325"/>
      <c r="G1325"/>
      <c r="H1325"/>
      <c r="I1325"/>
      <c r="J1325"/>
      <c r="K1325"/>
      <c r="L1325"/>
      <c r="M1325"/>
    </row>
    <row r="1326" spans="1:13" x14ac:dyDescent="0.2">
      <c r="A1326" t="s">
        <v>1466</v>
      </c>
      <c r="B1326"/>
      <c r="C1326"/>
      <c r="D1326"/>
      <c r="E1326"/>
      <c r="F1326"/>
      <c r="G1326"/>
      <c r="H1326"/>
      <c r="I1326"/>
      <c r="J1326"/>
      <c r="K1326"/>
      <c r="L1326"/>
      <c r="M1326"/>
    </row>
    <row r="1327" spans="1:13" x14ac:dyDescent="0.2">
      <c r="A1327" t="s">
        <v>1467</v>
      </c>
      <c r="B1327"/>
      <c r="C1327"/>
      <c r="D1327"/>
      <c r="E1327"/>
      <c r="F1327"/>
      <c r="G1327"/>
      <c r="H1327"/>
      <c r="I1327"/>
      <c r="J1327"/>
      <c r="K1327"/>
      <c r="L1327"/>
      <c r="M1327"/>
    </row>
    <row r="1328" spans="1:13" x14ac:dyDescent="0.2">
      <c r="A1328" t="s">
        <v>1468</v>
      </c>
      <c r="B1328"/>
      <c r="C1328"/>
      <c r="D1328"/>
      <c r="E1328"/>
      <c r="F1328"/>
      <c r="G1328"/>
      <c r="H1328"/>
      <c r="I1328"/>
      <c r="J1328"/>
      <c r="K1328"/>
      <c r="L1328"/>
      <c r="M1328"/>
    </row>
    <row r="1329" spans="1:13" x14ac:dyDescent="0.2">
      <c r="A1329" t="s">
        <v>1469</v>
      </c>
      <c r="B1329"/>
      <c r="C1329"/>
      <c r="D1329"/>
      <c r="E1329"/>
      <c r="F1329"/>
      <c r="G1329"/>
      <c r="H1329"/>
      <c r="I1329"/>
      <c r="J1329"/>
      <c r="K1329"/>
      <c r="L1329"/>
      <c r="M1329"/>
    </row>
    <row r="1330" spans="1:13" x14ac:dyDescent="0.2">
      <c r="A1330" t="s">
        <v>1470</v>
      </c>
      <c r="B1330"/>
      <c r="C1330"/>
      <c r="D1330"/>
      <c r="E1330"/>
      <c r="F1330"/>
      <c r="G1330"/>
      <c r="H1330"/>
      <c r="I1330"/>
      <c r="J1330"/>
      <c r="K1330"/>
      <c r="L1330"/>
      <c r="M1330"/>
    </row>
    <row r="1331" spans="1:13" x14ac:dyDescent="0.2">
      <c r="A1331" t="s">
        <v>1471</v>
      </c>
      <c r="B1331"/>
      <c r="C1331"/>
      <c r="D1331"/>
      <c r="E1331"/>
      <c r="F1331"/>
      <c r="G1331"/>
      <c r="H1331"/>
      <c r="I1331"/>
      <c r="J1331"/>
      <c r="K1331"/>
      <c r="L1331"/>
      <c r="M1331"/>
    </row>
    <row r="1332" spans="1:13" x14ac:dyDescent="0.2">
      <c r="A1332" t="s">
        <v>1472</v>
      </c>
      <c r="B1332"/>
      <c r="C1332"/>
      <c r="D1332"/>
      <c r="E1332"/>
      <c r="F1332"/>
      <c r="G1332"/>
      <c r="H1332"/>
      <c r="I1332"/>
      <c r="J1332"/>
      <c r="K1332"/>
      <c r="L1332"/>
      <c r="M1332"/>
    </row>
    <row r="1333" spans="1:13" x14ac:dyDescent="0.2">
      <c r="A1333" t="s">
        <v>1473</v>
      </c>
      <c r="B1333"/>
      <c r="C1333"/>
      <c r="D1333"/>
      <c r="E1333"/>
      <c r="F1333"/>
      <c r="G1333"/>
      <c r="H1333"/>
      <c r="I1333"/>
      <c r="J1333"/>
      <c r="K1333"/>
      <c r="L1333"/>
      <c r="M1333"/>
    </row>
    <row r="1334" spans="1:13" x14ac:dyDescent="0.2">
      <c r="A1334" t="s">
        <v>1474</v>
      </c>
      <c r="B1334"/>
      <c r="C1334"/>
      <c r="D1334"/>
      <c r="E1334"/>
      <c r="F1334"/>
      <c r="G1334"/>
      <c r="H1334"/>
      <c r="I1334"/>
      <c r="J1334"/>
      <c r="K1334"/>
      <c r="L1334"/>
      <c r="M1334"/>
    </row>
    <row r="1335" spans="1:13" x14ac:dyDescent="0.2">
      <c r="A1335" t="s">
        <v>1475</v>
      </c>
      <c r="B1335"/>
      <c r="C1335"/>
      <c r="D1335"/>
      <c r="E1335"/>
      <c r="F1335"/>
      <c r="G1335"/>
      <c r="H1335"/>
      <c r="I1335"/>
      <c r="J1335"/>
      <c r="K1335"/>
      <c r="L1335"/>
      <c r="M1335"/>
    </row>
    <row r="1336" spans="1:13" x14ac:dyDescent="0.2">
      <c r="A1336" t="s">
        <v>1476</v>
      </c>
      <c r="B1336"/>
      <c r="C1336"/>
      <c r="D1336"/>
      <c r="E1336"/>
      <c r="F1336"/>
      <c r="G1336"/>
      <c r="H1336"/>
      <c r="I1336"/>
      <c r="J1336"/>
      <c r="K1336"/>
      <c r="L1336"/>
      <c r="M1336"/>
    </row>
    <row r="1337" spans="1:13" x14ac:dyDescent="0.2">
      <c r="A1337" t="s">
        <v>1477</v>
      </c>
      <c r="B1337"/>
      <c r="C1337"/>
      <c r="D1337"/>
      <c r="E1337"/>
      <c r="F1337"/>
      <c r="G1337"/>
      <c r="H1337"/>
      <c r="I1337"/>
      <c r="J1337"/>
      <c r="K1337"/>
      <c r="L1337"/>
      <c r="M1337"/>
    </row>
    <row r="1338" spans="1:13" x14ac:dyDescent="0.2">
      <c r="A1338" t="s">
        <v>1478</v>
      </c>
      <c r="B1338"/>
      <c r="C1338"/>
      <c r="D1338"/>
      <c r="E1338"/>
      <c r="F1338"/>
      <c r="G1338"/>
      <c r="H1338"/>
      <c r="I1338"/>
      <c r="J1338"/>
      <c r="K1338"/>
      <c r="L1338"/>
      <c r="M1338"/>
    </row>
    <row r="1339" spans="1:13" x14ac:dyDescent="0.2">
      <c r="A1339" t="s">
        <v>1479</v>
      </c>
      <c r="B1339"/>
      <c r="C1339"/>
      <c r="D1339"/>
      <c r="E1339"/>
      <c r="F1339"/>
      <c r="G1339"/>
      <c r="H1339"/>
      <c r="I1339"/>
      <c r="J1339"/>
      <c r="K1339"/>
      <c r="L1339"/>
      <c r="M1339"/>
    </row>
    <row r="1340" spans="1:13" x14ac:dyDescent="0.2">
      <c r="A1340" t="s">
        <v>1480</v>
      </c>
      <c r="B1340"/>
      <c r="C1340"/>
      <c r="D1340"/>
      <c r="E1340"/>
      <c r="F1340"/>
      <c r="G1340"/>
      <c r="H1340"/>
      <c r="I1340"/>
      <c r="J1340"/>
      <c r="K1340"/>
      <c r="L1340"/>
      <c r="M1340"/>
    </row>
    <row r="1341" spans="1:13" x14ac:dyDescent="0.2">
      <c r="A1341" t="s">
        <v>1481</v>
      </c>
      <c r="B1341"/>
      <c r="C1341"/>
      <c r="D1341"/>
      <c r="E1341"/>
      <c r="F1341"/>
      <c r="G1341"/>
      <c r="H1341"/>
      <c r="I1341"/>
      <c r="J1341"/>
      <c r="K1341"/>
      <c r="L1341"/>
      <c r="M1341"/>
    </row>
    <row r="1342" spans="1:13" x14ac:dyDescent="0.2">
      <c r="A1342" t="s">
        <v>1482</v>
      </c>
      <c r="B1342"/>
      <c r="C1342"/>
      <c r="D1342"/>
      <c r="E1342"/>
      <c r="F1342"/>
      <c r="G1342"/>
      <c r="H1342"/>
      <c r="I1342"/>
      <c r="J1342"/>
      <c r="K1342"/>
      <c r="L1342"/>
      <c r="M1342"/>
    </row>
    <row r="1343" spans="1:13" x14ac:dyDescent="0.2">
      <c r="A1343" t="s">
        <v>1483</v>
      </c>
      <c r="B1343"/>
      <c r="C1343"/>
      <c r="D1343"/>
      <c r="E1343"/>
      <c r="F1343"/>
      <c r="G1343"/>
      <c r="H1343"/>
      <c r="I1343"/>
      <c r="J1343"/>
      <c r="K1343"/>
      <c r="L1343"/>
      <c r="M1343"/>
    </row>
    <row r="1344" spans="1:13" x14ac:dyDescent="0.2">
      <c r="A1344" t="s">
        <v>1484</v>
      </c>
      <c r="B1344"/>
      <c r="C1344"/>
      <c r="D1344"/>
      <c r="E1344"/>
      <c r="F1344"/>
      <c r="G1344"/>
      <c r="H1344"/>
      <c r="I1344"/>
      <c r="J1344"/>
      <c r="K1344"/>
      <c r="L1344"/>
      <c r="M1344"/>
    </row>
    <row r="1345" spans="1:13" x14ac:dyDescent="0.2">
      <c r="A1345" t="s">
        <v>1485</v>
      </c>
      <c r="B1345"/>
      <c r="C1345"/>
      <c r="D1345"/>
      <c r="E1345"/>
      <c r="F1345"/>
      <c r="G1345"/>
      <c r="H1345"/>
      <c r="I1345"/>
      <c r="J1345"/>
      <c r="K1345"/>
      <c r="L1345"/>
      <c r="M1345"/>
    </row>
    <row r="1346" spans="1:13" x14ac:dyDescent="0.2">
      <c r="A1346" t="s">
        <v>1486</v>
      </c>
      <c r="B1346"/>
      <c r="C1346"/>
      <c r="D1346"/>
      <c r="E1346"/>
      <c r="F1346"/>
      <c r="G1346"/>
      <c r="H1346"/>
      <c r="I1346"/>
      <c r="J1346"/>
      <c r="K1346"/>
      <c r="L1346"/>
      <c r="M1346"/>
    </row>
    <row r="1347" spans="1:13" x14ac:dyDescent="0.2">
      <c r="A1347" t="s">
        <v>1487</v>
      </c>
      <c r="B1347"/>
      <c r="C1347"/>
      <c r="D1347"/>
      <c r="E1347"/>
      <c r="F1347"/>
      <c r="G1347"/>
      <c r="H1347"/>
      <c r="I1347"/>
      <c r="J1347"/>
      <c r="K1347"/>
      <c r="L1347"/>
      <c r="M1347"/>
    </row>
    <row r="1348" spans="1:13" x14ac:dyDescent="0.2">
      <c r="A1348" t="s">
        <v>1488</v>
      </c>
      <c r="B1348"/>
      <c r="C1348"/>
      <c r="D1348"/>
      <c r="E1348"/>
      <c r="F1348"/>
      <c r="G1348"/>
      <c r="H1348"/>
      <c r="I1348"/>
      <c r="J1348"/>
      <c r="K1348"/>
      <c r="L1348"/>
      <c r="M1348"/>
    </row>
    <row r="1349" spans="1:13" x14ac:dyDescent="0.2">
      <c r="A1349" t="s">
        <v>1489</v>
      </c>
      <c r="B1349"/>
      <c r="C1349"/>
      <c r="D1349"/>
      <c r="E1349"/>
      <c r="F1349"/>
      <c r="G1349"/>
      <c r="H1349"/>
      <c r="I1349"/>
      <c r="J1349"/>
      <c r="K1349"/>
      <c r="L1349"/>
      <c r="M1349"/>
    </row>
    <row r="1350" spans="1:13" x14ac:dyDescent="0.2">
      <c r="A1350" t="s">
        <v>1490</v>
      </c>
      <c r="B1350"/>
      <c r="C1350"/>
      <c r="D1350"/>
      <c r="E1350"/>
      <c r="F1350"/>
      <c r="G1350"/>
      <c r="H1350"/>
      <c r="I1350"/>
      <c r="J1350"/>
      <c r="K1350"/>
      <c r="L1350"/>
      <c r="M1350"/>
    </row>
    <row r="1351" spans="1:13" x14ac:dyDescent="0.2">
      <c r="A1351" t="s">
        <v>1491</v>
      </c>
      <c r="B1351"/>
      <c r="C1351"/>
      <c r="D1351"/>
      <c r="E1351"/>
      <c r="F1351"/>
      <c r="G1351"/>
      <c r="H1351"/>
      <c r="I1351"/>
      <c r="J1351"/>
      <c r="K1351"/>
      <c r="L1351"/>
      <c r="M1351"/>
    </row>
    <row r="1352" spans="1:13" x14ac:dyDescent="0.2">
      <c r="A1352" t="s">
        <v>1492</v>
      </c>
      <c r="B1352"/>
      <c r="C1352"/>
      <c r="D1352"/>
      <c r="E1352"/>
      <c r="F1352"/>
      <c r="G1352"/>
      <c r="H1352"/>
      <c r="I1352"/>
      <c r="J1352"/>
      <c r="K1352"/>
      <c r="L1352"/>
      <c r="M1352"/>
    </row>
    <row r="1353" spans="1:13" x14ac:dyDescent="0.2">
      <c r="A1353" t="s">
        <v>1493</v>
      </c>
      <c r="B1353"/>
      <c r="C1353"/>
      <c r="D1353"/>
      <c r="E1353"/>
      <c r="F1353"/>
      <c r="G1353"/>
      <c r="H1353"/>
      <c r="I1353"/>
      <c r="J1353"/>
      <c r="K1353"/>
      <c r="L1353"/>
      <c r="M1353"/>
    </row>
    <row r="1354" spans="1:13" x14ac:dyDescent="0.2">
      <c r="A1354" t="s">
        <v>1494</v>
      </c>
      <c r="B1354"/>
      <c r="C1354"/>
      <c r="D1354"/>
      <c r="E1354"/>
      <c r="F1354"/>
      <c r="G1354"/>
      <c r="H1354"/>
      <c r="I1354"/>
      <c r="J1354"/>
      <c r="K1354"/>
      <c r="L1354"/>
      <c r="M1354"/>
    </row>
    <row r="1355" spans="1:13" x14ac:dyDescent="0.2">
      <c r="A1355" t="s">
        <v>1495</v>
      </c>
      <c r="B1355"/>
      <c r="C1355"/>
      <c r="D1355"/>
      <c r="E1355"/>
      <c r="F1355"/>
      <c r="G1355"/>
      <c r="H1355"/>
      <c r="I1355"/>
      <c r="J1355"/>
      <c r="K1355"/>
      <c r="L1355"/>
      <c r="M1355"/>
    </row>
    <row r="1356" spans="1:13" x14ac:dyDescent="0.2">
      <c r="A1356" t="s">
        <v>1496</v>
      </c>
      <c r="B1356"/>
      <c r="C1356"/>
      <c r="D1356"/>
      <c r="E1356"/>
      <c r="F1356"/>
      <c r="G1356"/>
      <c r="H1356"/>
      <c r="I1356"/>
      <c r="J1356"/>
      <c r="K1356"/>
      <c r="L1356"/>
      <c r="M1356"/>
    </row>
    <row r="1357" spans="1:13" x14ac:dyDescent="0.2">
      <c r="A1357" t="s">
        <v>1497</v>
      </c>
      <c r="B1357"/>
      <c r="C1357"/>
      <c r="D1357"/>
      <c r="E1357"/>
      <c r="F1357"/>
      <c r="G1357"/>
      <c r="H1357"/>
      <c r="I1357"/>
      <c r="J1357"/>
      <c r="K1357"/>
      <c r="L1357"/>
      <c r="M1357"/>
    </row>
    <row r="1358" spans="1:13" x14ac:dyDescent="0.2">
      <c r="A1358" t="s">
        <v>1498</v>
      </c>
      <c r="B1358"/>
      <c r="C1358"/>
      <c r="D1358"/>
      <c r="E1358"/>
      <c r="F1358"/>
      <c r="G1358"/>
      <c r="H1358"/>
      <c r="I1358"/>
      <c r="J1358"/>
      <c r="K1358"/>
      <c r="L1358"/>
      <c r="M1358"/>
    </row>
    <row r="1359" spans="1:13" x14ac:dyDescent="0.2">
      <c r="A1359" t="s">
        <v>1499</v>
      </c>
      <c r="B1359"/>
      <c r="C1359"/>
      <c r="D1359"/>
      <c r="E1359"/>
      <c r="F1359"/>
      <c r="G1359"/>
      <c r="H1359"/>
      <c r="I1359"/>
      <c r="J1359"/>
      <c r="K1359"/>
      <c r="L1359"/>
      <c r="M1359"/>
    </row>
    <row r="1360" spans="1:13" x14ac:dyDescent="0.2">
      <c r="A1360" t="s">
        <v>1500</v>
      </c>
      <c r="B1360"/>
      <c r="C1360"/>
      <c r="D1360"/>
      <c r="E1360"/>
      <c r="F1360"/>
      <c r="G1360"/>
      <c r="H1360"/>
      <c r="I1360"/>
      <c r="J1360"/>
      <c r="K1360"/>
      <c r="L1360"/>
      <c r="M1360"/>
    </row>
    <row r="1361" spans="1:13" x14ac:dyDescent="0.2">
      <c r="A1361" t="s">
        <v>1501</v>
      </c>
      <c r="B1361"/>
      <c r="C1361"/>
      <c r="D1361"/>
      <c r="E1361"/>
      <c r="F1361"/>
      <c r="G1361"/>
      <c r="H1361"/>
      <c r="I1361"/>
      <c r="J1361"/>
      <c r="K1361"/>
      <c r="L1361"/>
      <c r="M1361"/>
    </row>
    <row r="1362" spans="1:13" x14ac:dyDescent="0.2">
      <c r="A1362" t="s">
        <v>1502</v>
      </c>
      <c r="B1362"/>
      <c r="C1362"/>
      <c r="D1362"/>
      <c r="E1362"/>
      <c r="F1362"/>
      <c r="G1362"/>
      <c r="H1362"/>
      <c r="I1362"/>
      <c r="J1362"/>
      <c r="K1362"/>
      <c r="L1362"/>
      <c r="M1362"/>
    </row>
    <row r="1363" spans="1:13" x14ac:dyDescent="0.2">
      <c r="A1363" t="s">
        <v>1503</v>
      </c>
      <c r="B1363"/>
      <c r="C1363"/>
      <c r="D1363"/>
      <c r="E1363"/>
      <c r="F1363"/>
      <c r="G1363"/>
      <c r="H1363"/>
      <c r="I1363"/>
      <c r="J1363"/>
      <c r="K1363"/>
      <c r="L1363"/>
      <c r="M1363"/>
    </row>
    <row r="1364" spans="1:13" x14ac:dyDescent="0.2">
      <c r="A1364" t="s">
        <v>1504</v>
      </c>
      <c r="B1364"/>
      <c r="C1364"/>
      <c r="D1364"/>
      <c r="E1364"/>
      <c r="F1364"/>
      <c r="G1364"/>
      <c r="H1364"/>
      <c r="I1364"/>
      <c r="J1364"/>
      <c r="K1364"/>
      <c r="L1364"/>
      <c r="M1364"/>
    </row>
    <row r="1365" spans="1:13" x14ac:dyDescent="0.2">
      <c r="A1365" t="s">
        <v>1505</v>
      </c>
      <c r="B1365"/>
      <c r="C1365"/>
      <c r="D1365"/>
      <c r="E1365"/>
      <c r="F1365"/>
      <c r="G1365"/>
      <c r="H1365"/>
      <c r="I1365"/>
      <c r="J1365"/>
      <c r="K1365"/>
      <c r="L1365"/>
      <c r="M1365"/>
    </row>
    <row r="1366" spans="1:13" x14ac:dyDescent="0.2">
      <c r="A1366" t="s">
        <v>1506</v>
      </c>
      <c r="B1366"/>
      <c r="C1366"/>
      <c r="D1366"/>
      <c r="E1366"/>
      <c r="F1366"/>
      <c r="G1366"/>
      <c r="H1366"/>
      <c r="I1366"/>
      <c r="J1366"/>
      <c r="K1366"/>
      <c r="L1366"/>
      <c r="M1366"/>
    </row>
    <row r="1367" spans="1:13" x14ac:dyDescent="0.2">
      <c r="A1367" t="s">
        <v>1507</v>
      </c>
      <c r="B1367"/>
      <c r="C1367"/>
      <c r="D1367"/>
      <c r="E1367"/>
      <c r="F1367"/>
      <c r="G1367"/>
      <c r="H1367"/>
      <c r="I1367"/>
      <c r="J1367"/>
      <c r="K1367"/>
      <c r="L1367"/>
      <c r="M1367"/>
    </row>
    <row r="1368" spans="1:13" x14ac:dyDescent="0.2">
      <c r="A1368" t="s">
        <v>1508</v>
      </c>
      <c r="B1368"/>
      <c r="C1368"/>
      <c r="D1368"/>
      <c r="E1368"/>
      <c r="F1368"/>
      <c r="G1368"/>
      <c r="H1368"/>
      <c r="I1368"/>
      <c r="J1368"/>
      <c r="K1368"/>
      <c r="L1368"/>
      <c r="M1368"/>
    </row>
    <row r="1369" spans="1:13" x14ac:dyDescent="0.2">
      <c r="A1369" t="s">
        <v>1509</v>
      </c>
      <c r="B1369"/>
      <c r="C1369"/>
      <c r="D1369"/>
      <c r="E1369"/>
      <c r="F1369"/>
      <c r="G1369"/>
      <c r="H1369"/>
      <c r="I1369"/>
      <c r="J1369"/>
      <c r="K1369"/>
      <c r="L1369"/>
      <c r="M1369"/>
    </row>
    <row r="1370" spans="1:13" x14ac:dyDescent="0.2">
      <c r="A1370" t="s">
        <v>1510</v>
      </c>
      <c r="B1370"/>
      <c r="C1370"/>
      <c r="D1370"/>
      <c r="E1370"/>
      <c r="F1370"/>
      <c r="G1370"/>
      <c r="H1370"/>
      <c r="I1370"/>
      <c r="J1370"/>
      <c r="K1370"/>
      <c r="L1370"/>
      <c r="M1370"/>
    </row>
    <row r="1371" spans="1:13" x14ac:dyDescent="0.2">
      <c r="A1371" t="s">
        <v>1511</v>
      </c>
      <c r="B1371"/>
      <c r="C1371"/>
      <c r="D1371"/>
      <c r="E1371"/>
      <c r="F1371"/>
      <c r="G1371"/>
      <c r="H1371"/>
      <c r="I1371"/>
      <c r="J1371"/>
      <c r="K1371"/>
      <c r="L1371"/>
      <c r="M1371"/>
    </row>
    <row r="1372" spans="1:13" x14ac:dyDescent="0.2">
      <c r="A1372" t="s">
        <v>1512</v>
      </c>
      <c r="B1372"/>
      <c r="C1372"/>
      <c r="D1372"/>
      <c r="E1372"/>
      <c r="F1372"/>
      <c r="G1372"/>
      <c r="H1372"/>
      <c r="I1372"/>
      <c r="J1372"/>
      <c r="K1372"/>
      <c r="L1372"/>
      <c r="M1372"/>
    </row>
    <row r="1373" spans="1:13" x14ac:dyDescent="0.2">
      <c r="A1373" t="s">
        <v>1513</v>
      </c>
      <c r="B1373"/>
      <c r="C1373"/>
      <c r="D1373"/>
      <c r="E1373"/>
      <c r="F1373"/>
      <c r="G1373"/>
      <c r="H1373"/>
      <c r="I1373"/>
      <c r="J1373"/>
      <c r="K1373"/>
      <c r="L1373"/>
      <c r="M1373"/>
    </row>
    <row r="1374" spans="1:13" x14ac:dyDescent="0.2">
      <c r="A1374" t="s">
        <v>1514</v>
      </c>
      <c r="B1374"/>
      <c r="C1374"/>
      <c r="D1374"/>
      <c r="E1374"/>
      <c r="F1374"/>
      <c r="G1374"/>
      <c r="H1374"/>
      <c r="I1374"/>
      <c r="J1374"/>
      <c r="K1374"/>
      <c r="L1374"/>
      <c r="M1374"/>
    </row>
    <row r="1375" spans="1:13" x14ac:dyDescent="0.2">
      <c r="A1375" t="s">
        <v>1515</v>
      </c>
      <c r="B1375"/>
      <c r="C1375"/>
      <c r="D1375"/>
      <c r="E1375"/>
      <c r="F1375"/>
      <c r="G1375"/>
      <c r="H1375"/>
      <c r="I1375"/>
      <c r="J1375"/>
      <c r="K1375"/>
      <c r="L1375"/>
      <c r="M1375"/>
    </row>
    <row r="1376" spans="1:13" x14ac:dyDescent="0.2">
      <c r="A1376" t="s">
        <v>1516</v>
      </c>
      <c r="B1376"/>
      <c r="C1376"/>
      <c r="D1376"/>
      <c r="E1376"/>
      <c r="F1376"/>
      <c r="G1376"/>
      <c r="H1376"/>
      <c r="I1376"/>
      <c r="J1376"/>
      <c r="K1376"/>
      <c r="L1376"/>
      <c r="M1376"/>
    </row>
    <row r="1377" spans="1:13" x14ac:dyDescent="0.2">
      <c r="A1377" t="s">
        <v>1517</v>
      </c>
      <c r="B1377"/>
      <c r="C1377"/>
      <c r="D1377"/>
      <c r="E1377"/>
      <c r="F1377"/>
      <c r="G1377"/>
      <c r="H1377"/>
      <c r="I1377"/>
      <c r="J1377"/>
      <c r="K1377"/>
      <c r="L1377"/>
      <c r="M1377"/>
    </row>
    <row r="1378" spans="1:13" x14ac:dyDescent="0.2">
      <c r="A1378" t="s">
        <v>1518</v>
      </c>
      <c r="B1378"/>
      <c r="C1378"/>
      <c r="D1378"/>
      <c r="E1378"/>
      <c r="F1378"/>
      <c r="G1378"/>
      <c r="H1378"/>
      <c r="I1378"/>
      <c r="J1378"/>
      <c r="K1378"/>
      <c r="L1378"/>
      <c r="M1378"/>
    </row>
    <row r="1379" spans="1:13" x14ac:dyDescent="0.2">
      <c r="A1379" t="s">
        <v>1519</v>
      </c>
      <c r="B1379"/>
      <c r="C1379"/>
      <c r="D1379"/>
      <c r="E1379"/>
      <c r="F1379"/>
      <c r="G1379"/>
      <c r="H1379"/>
      <c r="I1379"/>
      <c r="J1379"/>
      <c r="K1379"/>
      <c r="L1379"/>
      <c r="M1379"/>
    </row>
    <row r="1380" spans="1:13" x14ac:dyDescent="0.2">
      <c r="A1380" t="s">
        <v>1520</v>
      </c>
      <c r="B1380"/>
      <c r="C1380"/>
      <c r="D1380"/>
      <c r="E1380"/>
      <c r="F1380"/>
      <c r="G1380"/>
      <c r="H1380"/>
      <c r="I1380"/>
      <c r="J1380"/>
      <c r="K1380"/>
      <c r="L1380"/>
      <c r="M1380"/>
    </row>
    <row r="1381" spans="1:13" x14ac:dyDescent="0.2">
      <c r="A1381" t="s">
        <v>1521</v>
      </c>
      <c r="B1381"/>
      <c r="C1381"/>
      <c r="D1381"/>
      <c r="E1381"/>
      <c r="F1381"/>
      <c r="G1381"/>
      <c r="H1381"/>
      <c r="I1381"/>
      <c r="J1381"/>
      <c r="K1381"/>
      <c r="L1381"/>
      <c r="M1381"/>
    </row>
    <row r="1382" spans="1:13" x14ac:dyDescent="0.2">
      <c r="A1382" t="s">
        <v>1522</v>
      </c>
      <c r="B1382"/>
      <c r="C1382"/>
      <c r="D1382"/>
      <c r="E1382"/>
      <c r="F1382"/>
      <c r="G1382"/>
      <c r="H1382"/>
      <c r="I1382"/>
      <c r="J1382"/>
      <c r="K1382"/>
      <c r="L1382"/>
      <c r="M1382"/>
    </row>
    <row r="1383" spans="1:13" x14ac:dyDescent="0.2">
      <c r="A1383" t="s">
        <v>1523</v>
      </c>
      <c r="B1383"/>
      <c r="C1383"/>
      <c r="D1383"/>
      <c r="E1383"/>
      <c r="F1383"/>
      <c r="G1383"/>
      <c r="H1383"/>
      <c r="I1383"/>
      <c r="J1383"/>
      <c r="K1383"/>
      <c r="L1383"/>
      <c r="M1383"/>
    </row>
    <row r="1384" spans="1:13" x14ac:dyDescent="0.2">
      <c r="A1384" t="s">
        <v>1524</v>
      </c>
      <c r="B1384"/>
      <c r="C1384"/>
      <c r="D1384"/>
      <c r="E1384"/>
      <c r="F1384"/>
      <c r="G1384"/>
      <c r="H1384"/>
      <c r="I1384"/>
      <c r="J1384"/>
      <c r="K1384"/>
      <c r="L1384"/>
      <c r="M1384"/>
    </row>
    <row r="1385" spans="1:13" x14ac:dyDescent="0.2">
      <c r="A1385" t="s">
        <v>1525</v>
      </c>
      <c r="B1385"/>
      <c r="C1385"/>
      <c r="D1385"/>
      <c r="E1385"/>
      <c r="F1385"/>
      <c r="G1385"/>
      <c r="H1385"/>
      <c r="I1385"/>
      <c r="J1385"/>
      <c r="K1385"/>
      <c r="L1385"/>
      <c r="M1385"/>
    </row>
    <row r="1386" spans="1:13" x14ac:dyDescent="0.2">
      <c r="A1386" t="s">
        <v>1526</v>
      </c>
      <c r="B1386"/>
      <c r="C1386"/>
      <c r="D1386"/>
      <c r="E1386"/>
      <c r="F1386"/>
      <c r="G1386"/>
      <c r="H1386"/>
      <c r="I1386"/>
      <c r="J1386"/>
      <c r="K1386"/>
      <c r="L1386"/>
      <c r="M1386"/>
    </row>
    <row r="1387" spans="1:13" x14ac:dyDescent="0.2">
      <c r="A1387" t="s">
        <v>1527</v>
      </c>
      <c r="B1387"/>
      <c r="C1387"/>
      <c r="D1387"/>
      <c r="E1387"/>
      <c r="F1387"/>
      <c r="G1387"/>
      <c r="H1387"/>
      <c r="I1387"/>
      <c r="J1387"/>
      <c r="K1387"/>
      <c r="L1387"/>
      <c r="M1387"/>
    </row>
    <row r="1388" spans="1:13" x14ac:dyDescent="0.2">
      <c r="A1388" t="s">
        <v>1528</v>
      </c>
      <c r="B1388"/>
      <c r="C1388"/>
      <c r="D1388"/>
      <c r="E1388"/>
      <c r="F1388"/>
      <c r="G1388"/>
      <c r="H1388"/>
      <c r="I1388"/>
      <c r="J1388"/>
      <c r="K1388"/>
      <c r="L1388"/>
      <c r="M1388"/>
    </row>
    <row r="1389" spans="1:13" x14ac:dyDescent="0.2">
      <c r="A1389" t="s">
        <v>1529</v>
      </c>
      <c r="B1389"/>
      <c r="C1389"/>
      <c r="D1389"/>
      <c r="E1389"/>
      <c r="F1389"/>
      <c r="G1389"/>
      <c r="H1389"/>
      <c r="I1389"/>
      <c r="J1389"/>
      <c r="K1389"/>
      <c r="L1389"/>
      <c r="M1389"/>
    </row>
    <row r="1390" spans="1:13" x14ac:dyDescent="0.2">
      <c r="A1390" t="s">
        <v>1530</v>
      </c>
      <c r="B1390"/>
      <c r="C1390"/>
      <c r="D1390"/>
      <c r="E1390"/>
      <c r="F1390"/>
      <c r="G1390"/>
      <c r="H1390"/>
      <c r="I1390"/>
      <c r="J1390"/>
      <c r="K1390"/>
      <c r="L1390"/>
      <c r="M1390"/>
    </row>
    <row r="1391" spans="1:13" x14ac:dyDescent="0.2">
      <c r="A1391" t="s">
        <v>1531</v>
      </c>
      <c r="B1391"/>
      <c r="C1391"/>
      <c r="D1391"/>
      <c r="E1391"/>
      <c r="F1391"/>
      <c r="G1391"/>
      <c r="H1391"/>
      <c r="I1391"/>
      <c r="J1391"/>
      <c r="K1391"/>
      <c r="L1391"/>
      <c r="M1391"/>
    </row>
    <row r="1392" spans="1:13" x14ac:dyDescent="0.2">
      <c r="A1392" t="s">
        <v>1532</v>
      </c>
      <c r="B1392"/>
      <c r="C1392"/>
      <c r="D1392"/>
      <c r="E1392"/>
      <c r="F1392"/>
      <c r="G1392"/>
      <c r="H1392"/>
      <c r="I1392"/>
      <c r="J1392"/>
      <c r="K1392"/>
      <c r="L1392"/>
      <c r="M1392"/>
    </row>
    <row r="1393" spans="1:13" x14ac:dyDescent="0.2">
      <c r="A1393" t="s">
        <v>1533</v>
      </c>
      <c r="B1393"/>
      <c r="C1393"/>
      <c r="D1393"/>
      <c r="E1393"/>
      <c r="F1393"/>
      <c r="G1393"/>
      <c r="H1393"/>
      <c r="I1393"/>
      <c r="J1393"/>
      <c r="K1393"/>
      <c r="L1393"/>
      <c r="M1393"/>
    </row>
    <row r="1394" spans="1:13" x14ac:dyDescent="0.2">
      <c r="A1394" t="s">
        <v>1534</v>
      </c>
      <c r="B1394"/>
      <c r="C1394"/>
      <c r="D1394"/>
      <c r="E1394"/>
      <c r="F1394"/>
      <c r="G1394"/>
      <c r="H1394"/>
      <c r="I1394"/>
      <c r="J1394"/>
      <c r="K1394"/>
      <c r="L1394"/>
      <c r="M1394"/>
    </row>
    <row r="1395" spans="1:13" x14ac:dyDescent="0.2">
      <c r="A1395" t="s">
        <v>1535</v>
      </c>
      <c r="B1395"/>
      <c r="C1395"/>
      <c r="D1395"/>
      <c r="E1395"/>
      <c r="F1395"/>
      <c r="G1395"/>
      <c r="H1395"/>
      <c r="I1395"/>
      <c r="J1395"/>
      <c r="K1395"/>
      <c r="L1395"/>
      <c r="M1395"/>
    </row>
    <row r="1396" spans="1:13" x14ac:dyDescent="0.2">
      <c r="A1396" t="s">
        <v>1536</v>
      </c>
      <c r="B1396"/>
      <c r="C1396"/>
      <c r="D1396"/>
      <c r="E1396"/>
      <c r="F1396"/>
      <c r="G1396"/>
      <c r="H1396"/>
      <c r="I1396"/>
      <c r="J1396"/>
      <c r="K1396"/>
      <c r="L1396"/>
      <c r="M1396"/>
    </row>
    <row r="1397" spans="1:13" x14ac:dyDescent="0.2">
      <c r="A1397" t="s">
        <v>1537</v>
      </c>
      <c r="B1397"/>
      <c r="C1397"/>
      <c r="D1397"/>
      <c r="E1397"/>
      <c r="F1397"/>
      <c r="G1397"/>
      <c r="H1397"/>
      <c r="I1397"/>
      <c r="J1397"/>
      <c r="K1397"/>
      <c r="L1397"/>
      <c r="M1397"/>
    </row>
    <row r="1398" spans="1:13" x14ac:dyDescent="0.2">
      <c r="A1398" t="s">
        <v>1538</v>
      </c>
      <c r="B1398"/>
      <c r="C1398"/>
      <c r="D1398"/>
      <c r="E1398"/>
      <c r="F1398"/>
      <c r="G1398"/>
      <c r="H1398"/>
      <c r="I1398"/>
      <c r="J1398"/>
      <c r="K1398"/>
      <c r="L1398"/>
      <c r="M1398"/>
    </row>
    <row r="1399" spans="1:13" x14ac:dyDescent="0.2">
      <c r="A1399" t="s">
        <v>1539</v>
      </c>
      <c r="B1399"/>
      <c r="C1399"/>
      <c r="D1399"/>
      <c r="E1399"/>
      <c r="F1399"/>
      <c r="G1399"/>
      <c r="H1399"/>
      <c r="I1399"/>
      <c r="J1399"/>
      <c r="K1399"/>
      <c r="L1399"/>
      <c r="M1399"/>
    </row>
    <row r="1400" spans="1:13" x14ac:dyDescent="0.2">
      <c r="A1400" t="s">
        <v>1540</v>
      </c>
      <c r="B1400"/>
      <c r="C1400"/>
      <c r="D1400"/>
      <c r="E1400"/>
      <c r="F1400"/>
      <c r="G1400"/>
      <c r="H1400"/>
      <c r="I1400"/>
      <c r="J1400"/>
      <c r="K1400"/>
      <c r="L1400"/>
      <c r="M1400"/>
    </row>
    <row r="1401" spans="1:13" x14ac:dyDescent="0.2">
      <c r="A1401" t="s">
        <v>1541</v>
      </c>
      <c r="B1401"/>
      <c r="C1401"/>
      <c r="D1401"/>
      <c r="E1401"/>
      <c r="F1401"/>
      <c r="G1401"/>
      <c r="H1401"/>
      <c r="I1401"/>
      <c r="J1401"/>
      <c r="K1401"/>
      <c r="L1401"/>
      <c r="M1401"/>
    </row>
    <row r="1402" spans="1:13" x14ac:dyDescent="0.2">
      <c r="A1402" t="s">
        <v>1542</v>
      </c>
      <c r="B1402"/>
      <c r="C1402"/>
      <c r="D1402"/>
      <c r="E1402"/>
      <c r="F1402"/>
      <c r="G1402"/>
      <c r="H1402"/>
      <c r="I1402"/>
      <c r="J1402"/>
      <c r="K1402"/>
      <c r="L1402"/>
      <c r="M1402"/>
    </row>
    <row r="1403" spans="1:13" x14ac:dyDescent="0.2">
      <c r="A1403" t="s">
        <v>1543</v>
      </c>
      <c r="B1403"/>
      <c r="C1403"/>
      <c r="D1403"/>
      <c r="E1403"/>
      <c r="F1403"/>
      <c r="G1403"/>
      <c r="H1403"/>
      <c r="I1403"/>
      <c r="J1403"/>
      <c r="K1403"/>
      <c r="L1403"/>
      <c r="M1403"/>
    </row>
    <row r="1404" spans="1:13" x14ac:dyDescent="0.2">
      <c r="A1404" t="s">
        <v>1544</v>
      </c>
      <c r="B1404"/>
      <c r="C1404"/>
      <c r="D1404"/>
      <c r="E1404"/>
      <c r="F1404"/>
      <c r="G1404"/>
      <c r="H1404"/>
      <c r="I1404"/>
      <c r="J1404"/>
      <c r="K1404"/>
      <c r="L1404"/>
      <c r="M1404"/>
    </row>
    <row r="1405" spans="1:13" x14ac:dyDescent="0.2">
      <c r="A1405" t="s">
        <v>1545</v>
      </c>
      <c r="B1405"/>
      <c r="C1405"/>
      <c r="D1405"/>
      <c r="E1405"/>
      <c r="F1405"/>
      <c r="G1405"/>
      <c r="H1405"/>
      <c r="I1405"/>
      <c r="J1405"/>
      <c r="K1405"/>
      <c r="L1405"/>
      <c r="M1405"/>
    </row>
    <row r="1406" spans="1:13" x14ac:dyDescent="0.2">
      <c r="A1406" t="s">
        <v>1546</v>
      </c>
      <c r="B1406"/>
      <c r="C1406"/>
      <c r="D1406"/>
      <c r="E1406"/>
      <c r="F1406"/>
      <c r="G1406"/>
      <c r="H1406"/>
      <c r="I1406"/>
      <c r="J1406"/>
      <c r="K1406"/>
      <c r="L1406"/>
      <c r="M1406"/>
    </row>
    <row r="1407" spans="1:13" x14ac:dyDescent="0.2">
      <c r="A1407" t="s">
        <v>1547</v>
      </c>
      <c r="B1407"/>
      <c r="C1407"/>
      <c r="D1407"/>
      <c r="E1407"/>
      <c r="F1407"/>
      <c r="G1407"/>
      <c r="H1407"/>
      <c r="I1407"/>
      <c r="J1407"/>
      <c r="K1407"/>
      <c r="L1407"/>
      <c r="M1407"/>
    </row>
    <row r="1408" spans="1:13" x14ac:dyDescent="0.2">
      <c r="A1408" t="s">
        <v>1548</v>
      </c>
      <c r="B1408"/>
      <c r="C1408"/>
      <c r="D1408"/>
      <c r="E1408"/>
      <c r="F1408"/>
      <c r="G1408"/>
      <c r="H1408"/>
      <c r="I1408"/>
      <c r="J1408"/>
      <c r="K1408"/>
      <c r="L1408"/>
      <c r="M1408"/>
    </row>
    <row r="1409" spans="1:13" x14ac:dyDescent="0.2">
      <c r="A1409" t="s">
        <v>1549</v>
      </c>
      <c r="B1409"/>
      <c r="C1409"/>
      <c r="D1409"/>
      <c r="E1409"/>
      <c r="F1409"/>
      <c r="G1409"/>
      <c r="H1409"/>
      <c r="I1409"/>
      <c r="J1409"/>
      <c r="K1409"/>
      <c r="L1409"/>
      <c r="M1409"/>
    </row>
    <row r="1410" spans="1:13" x14ac:dyDescent="0.2">
      <c r="A1410" t="s">
        <v>1550</v>
      </c>
      <c r="B1410"/>
      <c r="C1410"/>
      <c r="D1410"/>
      <c r="E1410"/>
      <c r="F1410"/>
      <c r="G1410"/>
      <c r="H1410"/>
      <c r="I1410"/>
      <c r="J1410"/>
      <c r="K1410"/>
      <c r="L1410"/>
      <c r="M1410"/>
    </row>
    <row r="1411" spans="1:13" x14ac:dyDescent="0.2">
      <c r="A1411" t="s">
        <v>1551</v>
      </c>
      <c r="B1411"/>
      <c r="C1411"/>
      <c r="D1411"/>
      <c r="E1411"/>
      <c r="F1411"/>
      <c r="G1411"/>
      <c r="H1411"/>
      <c r="I1411"/>
      <c r="J1411"/>
      <c r="K1411"/>
      <c r="L1411"/>
      <c r="M1411"/>
    </row>
    <row r="1412" spans="1:13" x14ac:dyDescent="0.2">
      <c r="A1412" t="s">
        <v>1552</v>
      </c>
      <c r="B1412"/>
      <c r="C1412"/>
      <c r="D1412"/>
      <c r="E1412"/>
      <c r="F1412"/>
      <c r="G1412"/>
      <c r="H1412"/>
      <c r="I1412"/>
      <c r="J1412"/>
      <c r="K1412"/>
      <c r="L1412"/>
      <c r="M1412"/>
    </row>
    <row r="1413" spans="1:13" x14ac:dyDescent="0.2">
      <c r="A1413" t="s">
        <v>1553</v>
      </c>
      <c r="B1413"/>
      <c r="C1413"/>
      <c r="D1413"/>
      <c r="E1413"/>
      <c r="F1413"/>
      <c r="G1413"/>
      <c r="H1413"/>
      <c r="I1413"/>
      <c r="J1413"/>
      <c r="K1413"/>
      <c r="L1413"/>
      <c r="M1413"/>
    </row>
    <row r="1414" spans="1:13" x14ac:dyDescent="0.2">
      <c r="A1414" t="s">
        <v>1554</v>
      </c>
      <c r="B1414"/>
      <c r="C1414"/>
      <c r="D1414"/>
      <c r="E1414"/>
      <c r="F1414"/>
      <c r="G1414"/>
      <c r="H1414"/>
      <c r="I1414"/>
      <c r="J1414"/>
      <c r="K1414"/>
      <c r="L1414"/>
      <c r="M1414"/>
    </row>
    <row r="1415" spans="1:13" x14ac:dyDescent="0.2">
      <c r="A1415" t="s">
        <v>1555</v>
      </c>
      <c r="B1415"/>
      <c r="C1415"/>
      <c r="D1415"/>
      <c r="E1415"/>
      <c r="F1415"/>
      <c r="G1415"/>
      <c r="H1415"/>
      <c r="I1415"/>
      <c r="J1415"/>
      <c r="K1415"/>
      <c r="L1415"/>
      <c r="M1415"/>
    </row>
    <row r="1416" spans="1:13" x14ac:dyDescent="0.2">
      <c r="A1416" t="s">
        <v>1556</v>
      </c>
      <c r="B1416"/>
      <c r="C1416"/>
      <c r="D1416"/>
      <c r="E1416"/>
      <c r="F1416"/>
      <c r="G1416"/>
      <c r="H1416"/>
      <c r="I1416"/>
      <c r="J1416"/>
      <c r="K1416"/>
      <c r="L1416"/>
      <c r="M1416"/>
    </row>
    <row r="1417" spans="1:13" x14ac:dyDescent="0.2">
      <c r="A1417" t="s">
        <v>1557</v>
      </c>
      <c r="B1417"/>
      <c r="C1417"/>
      <c r="D1417"/>
      <c r="E1417"/>
      <c r="F1417"/>
      <c r="G1417"/>
      <c r="H1417"/>
      <c r="I1417"/>
      <c r="J1417"/>
      <c r="K1417"/>
      <c r="L1417"/>
      <c r="M1417"/>
    </row>
    <row r="1418" spans="1:13" x14ac:dyDescent="0.2">
      <c r="A1418" t="s">
        <v>1558</v>
      </c>
      <c r="B1418"/>
      <c r="C1418"/>
      <c r="D1418"/>
      <c r="E1418"/>
      <c r="F1418"/>
      <c r="G1418"/>
      <c r="H1418"/>
      <c r="I1418"/>
      <c r="J1418"/>
      <c r="K1418"/>
      <c r="L1418"/>
      <c r="M1418"/>
    </row>
    <row r="1419" spans="1:13" x14ac:dyDescent="0.2">
      <c r="A1419" t="s">
        <v>1559</v>
      </c>
      <c r="B1419"/>
      <c r="C1419"/>
      <c r="D1419"/>
      <c r="E1419"/>
      <c r="F1419"/>
      <c r="G1419"/>
      <c r="H1419"/>
      <c r="I1419"/>
      <c r="J1419"/>
      <c r="K1419"/>
      <c r="L1419"/>
      <c r="M1419"/>
    </row>
    <row r="1420" spans="1:13" x14ac:dyDescent="0.2">
      <c r="A1420" t="s">
        <v>1560</v>
      </c>
      <c r="B1420"/>
      <c r="C1420"/>
      <c r="D1420"/>
      <c r="E1420"/>
      <c r="F1420"/>
      <c r="G1420"/>
      <c r="H1420"/>
      <c r="I1420"/>
      <c r="J1420"/>
      <c r="K1420"/>
      <c r="L1420"/>
      <c r="M1420"/>
    </row>
    <row r="1421" spans="1:13" x14ac:dyDescent="0.2">
      <c r="A1421" t="s">
        <v>1561</v>
      </c>
      <c r="B1421"/>
      <c r="C1421"/>
      <c r="D1421"/>
      <c r="E1421"/>
      <c r="F1421"/>
      <c r="G1421"/>
      <c r="H1421"/>
      <c r="I1421"/>
      <c r="J1421"/>
      <c r="K1421"/>
      <c r="L1421"/>
      <c r="M1421"/>
    </row>
    <row r="1422" spans="1:13" x14ac:dyDescent="0.2">
      <c r="A1422" t="s">
        <v>1562</v>
      </c>
      <c r="B1422"/>
      <c r="C1422"/>
      <c r="D1422"/>
      <c r="E1422"/>
      <c r="F1422"/>
      <c r="G1422"/>
      <c r="H1422"/>
      <c r="I1422"/>
      <c r="J1422"/>
      <c r="K1422"/>
      <c r="L1422"/>
      <c r="M1422"/>
    </row>
    <row r="1423" spans="1:13" x14ac:dyDescent="0.2">
      <c r="A1423" t="s">
        <v>1563</v>
      </c>
      <c r="B1423"/>
      <c r="C1423"/>
      <c r="D1423"/>
      <c r="E1423"/>
      <c r="F1423"/>
      <c r="G1423"/>
      <c r="H1423"/>
      <c r="I1423"/>
      <c r="J1423"/>
      <c r="K1423"/>
      <c r="L1423"/>
      <c r="M1423"/>
    </row>
    <row r="1424" spans="1:13" x14ac:dyDescent="0.2">
      <c r="A1424" t="s">
        <v>1564</v>
      </c>
      <c r="B1424"/>
      <c r="C1424"/>
      <c r="D1424"/>
      <c r="E1424"/>
      <c r="F1424"/>
      <c r="G1424"/>
      <c r="H1424"/>
      <c r="I1424"/>
      <c r="J1424"/>
      <c r="K1424"/>
      <c r="L1424"/>
      <c r="M1424"/>
    </row>
    <row r="1425" spans="1:13" x14ac:dyDescent="0.2">
      <c r="A1425" t="s">
        <v>1565</v>
      </c>
      <c r="B1425"/>
      <c r="C1425"/>
      <c r="D1425"/>
      <c r="E1425"/>
      <c r="F1425"/>
      <c r="G1425"/>
      <c r="H1425"/>
      <c r="I1425"/>
      <c r="J1425"/>
      <c r="K1425"/>
      <c r="L1425"/>
      <c r="M1425"/>
    </row>
    <row r="1426" spans="1:13" x14ac:dyDescent="0.2">
      <c r="A1426" t="s">
        <v>1566</v>
      </c>
      <c r="B1426"/>
      <c r="C1426"/>
      <c r="D1426"/>
      <c r="E1426"/>
      <c r="F1426"/>
      <c r="G1426"/>
      <c r="H1426"/>
      <c r="I1426"/>
      <c r="J1426"/>
      <c r="K1426"/>
      <c r="L1426"/>
      <c r="M1426"/>
    </row>
    <row r="1427" spans="1:13" x14ac:dyDescent="0.2">
      <c r="A1427" t="s">
        <v>1567</v>
      </c>
      <c r="B1427"/>
      <c r="C1427"/>
      <c r="D1427"/>
      <c r="E1427"/>
      <c r="F1427"/>
      <c r="G1427"/>
      <c r="H1427"/>
      <c r="I1427"/>
      <c r="J1427"/>
      <c r="K1427"/>
      <c r="L1427"/>
      <c r="M1427"/>
    </row>
    <row r="1428" spans="1:13" x14ac:dyDescent="0.2">
      <c r="A1428" t="s">
        <v>1568</v>
      </c>
      <c r="B1428"/>
      <c r="C1428"/>
      <c r="D1428"/>
      <c r="E1428"/>
      <c r="F1428"/>
      <c r="G1428"/>
      <c r="H1428"/>
      <c r="I1428"/>
      <c r="J1428"/>
      <c r="K1428"/>
      <c r="L1428"/>
      <c r="M1428"/>
    </row>
    <row r="1429" spans="1:13" x14ac:dyDescent="0.2">
      <c r="A1429" t="s">
        <v>1569</v>
      </c>
      <c r="B1429"/>
      <c r="C1429"/>
      <c r="D1429"/>
      <c r="E1429"/>
      <c r="F1429"/>
      <c r="G1429"/>
      <c r="H1429"/>
      <c r="I1429"/>
      <c r="J1429"/>
      <c r="K1429"/>
      <c r="L1429"/>
      <c r="M1429"/>
    </row>
    <row r="1430" spans="1:13" x14ac:dyDescent="0.2">
      <c r="A1430" t="s">
        <v>1570</v>
      </c>
      <c r="B1430"/>
      <c r="C1430"/>
      <c r="D1430"/>
      <c r="E1430"/>
      <c r="F1430"/>
      <c r="G1430"/>
      <c r="H1430"/>
      <c r="I1430"/>
      <c r="J1430"/>
      <c r="K1430"/>
      <c r="L1430"/>
      <c r="M1430"/>
    </row>
    <row r="1431" spans="1:13" x14ac:dyDescent="0.2">
      <c r="A1431" t="s">
        <v>1571</v>
      </c>
      <c r="B1431"/>
      <c r="C1431"/>
      <c r="D1431"/>
      <c r="E1431"/>
      <c r="F1431"/>
      <c r="G1431"/>
      <c r="H1431"/>
      <c r="I1431"/>
      <c r="J1431"/>
      <c r="K1431"/>
      <c r="L1431"/>
      <c r="M1431"/>
    </row>
    <row r="1432" spans="1:13" x14ac:dyDescent="0.2">
      <c r="A1432" t="s">
        <v>1572</v>
      </c>
      <c r="B1432"/>
      <c r="C1432"/>
      <c r="D1432"/>
      <c r="E1432"/>
      <c r="F1432"/>
      <c r="G1432"/>
      <c r="H1432"/>
      <c r="I1432"/>
      <c r="J1432"/>
      <c r="K1432"/>
      <c r="L1432"/>
      <c r="M1432"/>
    </row>
    <row r="1433" spans="1:13" x14ac:dyDescent="0.2">
      <c r="A1433" t="s">
        <v>1573</v>
      </c>
      <c r="B1433"/>
      <c r="C1433"/>
      <c r="D1433"/>
      <c r="E1433"/>
      <c r="F1433"/>
      <c r="G1433"/>
      <c r="H1433"/>
      <c r="I1433"/>
      <c r="J1433"/>
      <c r="K1433"/>
      <c r="L1433"/>
      <c r="M1433"/>
    </row>
    <row r="1434" spans="1:13" x14ac:dyDescent="0.2">
      <c r="A1434" t="s">
        <v>1574</v>
      </c>
      <c r="B1434"/>
      <c r="C1434"/>
      <c r="D1434"/>
      <c r="E1434"/>
      <c r="F1434"/>
      <c r="G1434"/>
      <c r="H1434"/>
      <c r="I1434"/>
      <c r="J1434"/>
      <c r="K1434"/>
      <c r="L1434"/>
      <c r="M1434"/>
    </row>
    <row r="1435" spans="1:13" x14ac:dyDescent="0.2">
      <c r="A1435" t="s">
        <v>1575</v>
      </c>
      <c r="B1435"/>
      <c r="C1435"/>
      <c r="D1435"/>
      <c r="E1435"/>
      <c r="F1435"/>
      <c r="G1435"/>
      <c r="H1435"/>
      <c r="I1435"/>
      <c r="J1435"/>
      <c r="K1435"/>
      <c r="L1435"/>
      <c r="M1435"/>
    </row>
    <row r="1436" spans="1:13" x14ac:dyDescent="0.2">
      <c r="A1436" t="s">
        <v>1576</v>
      </c>
      <c r="B1436"/>
      <c r="C1436"/>
      <c r="D1436"/>
      <c r="E1436"/>
      <c r="F1436"/>
      <c r="G1436"/>
      <c r="H1436"/>
      <c r="I1436"/>
      <c r="J1436"/>
      <c r="K1436"/>
      <c r="L1436"/>
      <c r="M1436"/>
    </row>
    <row r="1437" spans="1:13" x14ac:dyDescent="0.2">
      <c r="A1437" t="s">
        <v>1577</v>
      </c>
      <c r="B1437"/>
      <c r="C1437"/>
      <c r="D1437"/>
      <c r="E1437"/>
      <c r="F1437"/>
      <c r="G1437"/>
      <c r="H1437"/>
      <c r="I1437"/>
      <c r="J1437"/>
      <c r="K1437"/>
      <c r="L1437"/>
      <c r="M1437"/>
    </row>
    <row r="1438" spans="1:13" x14ac:dyDescent="0.2">
      <c r="A1438" t="s">
        <v>1578</v>
      </c>
      <c r="B1438"/>
      <c r="C1438"/>
      <c r="D1438"/>
      <c r="E1438"/>
      <c r="F1438"/>
      <c r="G1438"/>
      <c r="H1438"/>
      <c r="I1438"/>
      <c r="J1438"/>
      <c r="K1438"/>
      <c r="L1438"/>
      <c r="M1438"/>
    </row>
    <row r="1439" spans="1:13" x14ac:dyDescent="0.2">
      <c r="A1439" t="s">
        <v>1579</v>
      </c>
      <c r="B1439"/>
      <c r="C1439"/>
      <c r="D1439"/>
      <c r="E1439"/>
      <c r="F1439"/>
      <c r="G1439"/>
      <c r="H1439"/>
      <c r="I1439"/>
      <c r="J1439"/>
      <c r="K1439"/>
      <c r="L1439"/>
      <c r="M1439"/>
    </row>
    <row r="1440" spans="1:13" x14ac:dyDescent="0.2">
      <c r="A1440" t="s">
        <v>1580</v>
      </c>
      <c r="B1440"/>
      <c r="C1440"/>
      <c r="D1440"/>
      <c r="E1440"/>
      <c r="F1440"/>
      <c r="G1440"/>
      <c r="H1440"/>
      <c r="I1440"/>
      <c r="J1440"/>
      <c r="K1440"/>
      <c r="L1440"/>
      <c r="M1440"/>
    </row>
    <row r="1441" spans="1:13" x14ac:dyDescent="0.2">
      <c r="A1441" t="s">
        <v>1581</v>
      </c>
      <c r="B1441"/>
      <c r="C1441"/>
      <c r="D1441"/>
      <c r="E1441"/>
      <c r="F1441"/>
      <c r="G1441"/>
      <c r="H1441"/>
      <c r="I1441"/>
      <c r="J1441"/>
      <c r="K1441"/>
      <c r="L1441"/>
      <c r="M1441"/>
    </row>
    <row r="1442" spans="1:13" x14ac:dyDescent="0.2">
      <c r="A1442" t="s">
        <v>1582</v>
      </c>
      <c r="B1442"/>
      <c r="C1442"/>
      <c r="D1442"/>
      <c r="E1442"/>
      <c r="F1442"/>
      <c r="G1442"/>
      <c r="H1442"/>
      <c r="I1442"/>
      <c r="J1442"/>
      <c r="K1442"/>
      <c r="L1442"/>
      <c r="M1442"/>
    </row>
    <row r="1443" spans="1:13" x14ac:dyDescent="0.2">
      <c r="A1443" t="s">
        <v>1583</v>
      </c>
      <c r="B1443"/>
      <c r="C1443"/>
      <c r="D1443"/>
      <c r="E1443"/>
      <c r="F1443"/>
      <c r="G1443"/>
      <c r="H1443"/>
      <c r="I1443"/>
      <c r="J1443"/>
      <c r="K1443"/>
      <c r="L1443"/>
      <c r="M1443"/>
    </row>
    <row r="1444" spans="1:13" x14ac:dyDescent="0.2">
      <c r="A1444" t="s">
        <v>1584</v>
      </c>
      <c r="B1444"/>
      <c r="C1444"/>
      <c r="D1444"/>
      <c r="E1444"/>
      <c r="F1444"/>
      <c r="G1444"/>
      <c r="H1444"/>
      <c r="I1444"/>
      <c r="J1444"/>
      <c r="K1444"/>
      <c r="L1444"/>
      <c r="M1444"/>
    </row>
    <row r="1445" spans="1:13" x14ac:dyDescent="0.2">
      <c r="A1445" t="s">
        <v>1585</v>
      </c>
      <c r="B1445"/>
      <c r="C1445"/>
      <c r="D1445"/>
      <c r="E1445"/>
      <c r="F1445"/>
      <c r="G1445"/>
      <c r="H1445"/>
      <c r="I1445"/>
      <c r="J1445"/>
      <c r="K1445"/>
      <c r="L1445"/>
      <c r="M1445"/>
    </row>
    <row r="1446" spans="1:13" x14ac:dyDescent="0.2">
      <c r="A1446" t="s">
        <v>1586</v>
      </c>
      <c r="B1446"/>
      <c r="C1446"/>
      <c r="D1446"/>
      <c r="E1446"/>
      <c r="F1446"/>
      <c r="G1446"/>
      <c r="H1446"/>
      <c r="I1446"/>
      <c r="J1446"/>
      <c r="K1446"/>
      <c r="L1446"/>
      <c r="M1446"/>
    </row>
    <row r="1447" spans="1:13" x14ac:dyDescent="0.2">
      <c r="A1447" t="s">
        <v>1587</v>
      </c>
      <c r="B1447"/>
      <c r="C1447"/>
      <c r="D1447"/>
      <c r="E1447"/>
      <c r="F1447"/>
      <c r="G1447"/>
      <c r="H1447"/>
      <c r="I1447"/>
      <c r="J1447"/>
      <c r="K1447"/>
      <c r="L1447"/>
      <c r="M1447"/>
    </row>
    <row r="1448" spans="1:13" x14ac:dyDescent="0.2">
      <c r="A1448" t="s">
        <v>1588</v>
      </c>
      <c r="B1448"/>
      <c r="C1448"/>
      <c r="D1448"/>
      <c r="E1448"/>
      <c r="F1448"/>
      <c r="G1448"/>
      <c r="H1448"/>
      <c r="I1448"/>
      <c r="J1448"/>
      <c r="K1448"/>
      <c r="L1448"/>
      <c r="M1448"/>
    </row>
    <row r="1449" spans="1:13" x14ac:dyDescent="0.2">
      <c r="A1449" t="s">
        <v>1589</v>
      </c>
      <c r="B1449"/>
      <c r="C1449"/>
      <c r="D1449"/>
      <c r="E1449"/>
      <c r="F1449"/>
      <c r="G1449"/>
      <c r="H1449"/>
      <c r="I1449"/>
      <c r="J1449"/>
      <c r="K1449"/>
      <c r="L1449"/>
      <c r="M1449"/>
    </row>
    <row r="1450" spans="1:13" x14ac:dyDescent="0.2">
      <c r="A1450" t="s">
        <v>1590</v>
      </c>
      <c r="B1450"/>
      <c r="C1450"/>
      <c r="D1450"/>
      <c r="E1450"/>
      <c r="F1450"/>
      <c r="G1450"/>
      <c r="H1450"/>
      <c r="I1450"/>
      <c r="J1450"/>
      <c r="K1450"/>
      <c r="L1450"/>
      <c r="M1450"/>
    </row>
    <row r="1451" spans="1:13" x14ac:dyDescent="0.2">
      <c r="A1451" t="s">
        <v>1591</v>
      </c>
      <c r="B1451"/>
      <c r="C1451"/>
      <c r="D1451"/>
      <c r="E1451"/>
      <c r="F1451"/>
      <c r="G1451"/>
      <c r="H1451"/>
      <c r="I1451"/>
      <c r="J1451"/>
      <c r="K1451"/>
      <c r="L1451"/>
      <c r="M1451"/>
    </row>
    <row r="1452" spans="1:13" x14ac:dyDescent="0.2">
      <c r="A1452" t="s">
        <v>1592</v>
      </c>
      <c r="B1452"/>
      <c r="C1452"/>
      <c r="D1452"/>
      <c r="E1452"/>
      <c r="F1452"/>
      <c r="G1452"/>
      <c r="H1452"/>
      <c r="I1452"/>
      <c r="J1452"/>
      <c r="K1452"/>
      <c r="L1452"/>
      <c r="M1452"/>
    </row>
    <row r="1453" spans="1:13" x14ac:dyDescent="0.2">
      <c r="A1453" t="s">
        <v>1593</v>
      </c>
      <c r="B1453"/>
      <c r="C1453"/>
      <c r="D1453"/>
      <c r="E1453"/>
      <c r="F1453"/>
      <c r="G1453"/>
      <c r="H1453"/>
      <c r="I1453"/>
      <c r="J1453"/>
      <c r="K1453"/>
      <c r="L1453"/>
      <c r="M1453"/>
    </row>
    <row r="1454" spans="1:13" x14ac:dyDescent="0.2">
      <c r="A1454" t="s">
        <v>1594</v>
      </c>
      <c r="B1454"/>
      <c r="C1454"/>
      <c r="D1454"/>
      <c r="E1454"/>
      <c r="F1454"/>
      <c r="G1454"/>
      <c r="H1454"/>
      <c r="I1454"/>
      <c r="J1454"/>
      <c r="K1454"/>
      <c r="L1454"/>
      <c r="M1454"/>
    </row>
    <row r="1455" spans="1:13" x14ac:dyDescent="0.2">
      <c r="A1455" t="s">
        <v>1595</v>
      </c>
      <c r="B1455"/>
      <c r="C1455"/>
      <c r="D1455"/>
      <c r="E1455"/>
      <c r="F1455"/>
      <c r="G1455"/>
      <c r="H1455"/>
      <c r="I1455"/>
      <c r="J1455"/>
      <c r="K1455"/>
      <c r="L1455"/>
      <c r="M1455"/>
    </row>
    <row r="1456" spans="1:13" x14ac:dyDescent="0.2">
      <c r="A1456" t="s">
        <v>1596</v>
      </c>
      <c r="B1456"/>
      <c r="C1456"/>
      <c r="D1456"/>
      <c r="E1456"/>
      <c r="F1456"/>
      <c r="G1456"/>
      <c r="H1456"/>
      <c r="I1456"/>
      <c r="J1456"/>
      <c r="K1456"/>
      <c r="L1456"/>
      <c r="M1456"/>
    </row>
    <row r="1457" spans="1:13" x14ac:dyDescent="0.2">
      <c r="A1457" t="s">
        <v>1597</v>
      </c>
      <c r="B1457"/>
      <c r="C1457"/>
      <c r="D1457"/>
      <c r="E1457"/>
      <c r="F1457"/>
      <c r="G1457"/>
      <c r="H1457"/>
      <c r="I1457"/>
      <c r="J1457"/>
      <c r="K1457"/>
      <c r="L1457"/>
      <c r="M1457"/>
    </row>
    <row r="1458" spans="1:13" x14ac:dyDescent="0.2">
      <c r="A1458" t="s">
        <v>1598</v>
      </c>
      <c r="B1458"/>
      <c r="C1458"/>
      <c r="D1458"/>
      <c r="E1458"/>
      <c r="F1458"/>
      <c r="G1458"/>
      <c r="H1458"/>
      <c r="I1458"/>
      <c r="J1458"/>
      <c r="K1458"/>
      <c r="L1458"/>
      <c r="M1458"/>
    </row>
    <row r="1459" spans="1:13" x14ac:dyDescent="0.2">
      <c r="A1459" t="s">
        <v>1599</v>
      </c>
      <c r="B1459"/>
      <c r="C1459"/>
      <c r="D1459"/>
      <c r="E1459"/>
      <c r="F1459"/>
      <c r="G1459"/>
      <c r="H1459"/>
      <c r="I1459"/>
      <c r="J1459"/>
      <c r="K1459"/>
      <c r="L1459"/>
      <c r="M1459"/>
    </row>
    <row r="1460" spans="1:13" x14ac:dyDescent="0.2">
      <c r="A1460" t="s">
        <v>1600</v>
      </c>
      <c r="B1460"/>
      <c r="C1460"/>
      <c r="D1460"/>
      <c r="E1460"/>
      <c r="F1460"/>
      <c r="G1460"/>
      <c r="H1460"/>
      <c r="I1460"/>
      <c r="J1460"/>
      <c r="K1460"/>
      <c r="L1460"/>
      <c r="M1460"/>
    </row>
    <row r="1461" spans="1:13" x14ac:dyDescent="0.2">
      <c r="A1461" t="s">
        <v>1601</v>
      </c>
      <c r="B1461"/>
      <c r="C1461"/>
      <c r="D1461"/>
      <c r="E1461"/>
      <c r="F1461"/>
      <c r="G1461"/>
      <c r="H1461"/>
      <c r="I1461"/>
      <c r="J1461"/>
      <c r="K1461"/>
      <c r="L1461"/>
      <c r="M1461"/>
    </row>
    <row r="1462" spans="1:13" x14ac:dyDescent="0.2">
      <c r="A1462" t="s">
        <v>1602</v>
      </c>
      <c r="B1462"/>
      <c r="C1462"/>
      <c r="D1462"/>
      <c r="E1462"/>
      <c r="F1462"/>
      <c r="G1462"/>
      <c r="H1462"/>
      <c r="I1462"/>
      <c r="J1462"/>
      <c r="K1462"/>
      <c r="L1462"/>
      <c r="M1462"/>
    </row>
    <row r="1463" spans="1:13" x14ac:dyDescent="0.2">
      <c r="A1463" t="s">
        <v>1603</v>
      </c>
      <c r="B1463"/>
      <c r="C1463"/>
      <c r="D1463"/>
      <c r="E1463"/>
      <c r="F1463"/>
      <c r="G1463"/>
      <c r="H1463"/>
      <c r="I1463"/>
      <c r="J1463"/>
      <c r="K1463"/>
      <c r="L1463"/>
      <c r="M1463"/>
    </row>
    <row r="1464" spans="1:13" x14ac:dyDescent="0.2">
      <c r="A1464" t="s">
        <v>1604</v>
      </c>
      <c r="B1464"/>
      <c r="C1464"/>
      <c r="D1464"/>
      <c r="E1464"/>
      <c r="F1464"/>
      <c r="G1464"/>
      <c r="H1464"/>
      <c r="I1464"/>
      <c r="J1464"/>
      <c r="K1464"/>
      <c r="L1464"/>
      <c r="M1464"/>
    </row>
    <row r="1465" spans="1:13" x14ac:dyDescent="0.2">
      <c r="A1465" t="s">
        <v>1605</v>
      </c>
      <c r="B1465"/>
      <c r="C1465"/>
      <c r="D1465"/>
      <c r="E1465"/>
      <c r="F1465"/>
      <c r="G1465"/>
      <c r="H1465"/>
      <c r="I1465"/>
      <c r="J1465"/>
      <c r="K1465"/>
      <c r="L1465"/>
      <c r="M1465"/>
    </row>
    <row r="1466" spans="1:13" x14ac:dyDescent="0.2">
      <c r="A1466" t="s">
        <v>1606</v>
      </c>
      <c r="B1466"/>
      <c r="C1466"/>
      <c r="D1466"/>
      <c r="E1466"/>
      <c r="F1466"/>
      <c r="G1466"/>
      <c r="H1466"/>
      <c r="I1466"/>
      <c r="J1466"/>
      <c r="K1466"/>
      <c r="L1466"/>
      <c r="M1466"/>
    </row>
    <row r="1467" spans="1:13" x14ac:dyDescent="0.2">
      <c r="A1467" t="s">
        <v>1607</v>
      </c>
      <c r="B1467"/>
      <c r="C1467"/>
      <c r="D1467"/>
      <c r="E1467"/>
      <c r="F1467"/>
      <c r="G1467"/>
      <c r="H1467"/>
      <c r="I1467"/>
      <c r="J1467"/>
      <c r="K1467"/>
      <c r="L1467"/>
      <c r="M1467"/>
    </row>
    <row r="1468" spans="1:13" x14ac:dyDescent="0.2">
      <c r="A1468" t="s">
        <v>1608</v>
      </c>
      <c r="B1468"/>
      <c r="C1468"/>
      <c r="D1468"/>
      <c r="E1468"/>
      <c r="F1468"/>
      <c r="G1468"/>
      <c r="H1468"/>
      <c r="I1468"/>
      <c r="J1468"/>
      <c r="K1468"/>
      <c r="L1468"/>
      <c r="M1468"/>
    </row>
    <row r="1469" spans="1:13" x14ac:dyDescent="0.2">
      <c r="A1469" t="s">
        <v>1609</v>
      </c>
      <c r="B1469"/>
      <c r="C1469"/>
      <c r="D1469"/>
      <c r="E1469"/>
      <c r="F1469"/>
      <c r="G1469"/>
      <c r="H1469"/>
      <c r="I1469"/>
      <c r="J1469"/>
      <c r="K1469"/>
      <c r="L1469"/>
      <c r="M1469"/>
    </row>
    <row r="1470" spans="1:13" x14ac:dyDescent="0.2">
      <c r="A1470" t="s">
        <v>1610</v>
      </c>
      <c r="B1470"/>
      <c r="C1470"/>
      <c r="D1470"/>
      <c r="E1470"/>
      <c r="F1470"/>
      <c r="G1470"/>
      <c r="H1470"/>
      <c r="I1470"/>
      <c r="J1470"/>
      <c r="K1470"/>
      <c r="L1470"/>
      <c r="M1470"/>
    </row>
    <row r="1471" spans="1:13" x14ac:dyDescent="0.2">
      <c r="A1471" t="s">
        <v>1611</v>
      </c>
      <c r="B1471"/>
      <c r="C1471"/>
      <c r="D1471"/>
      <c r="E1471"/>
      <c r="F1471"/>
      <c r="G1471"/>
      <c r="H1471"/>
      <c r="I1471"/>
      <c r="J1471"/>
      <c r="K1471"/>
      <c r="L1471"/>
      <c r="M1471"/>
    </row>
    <row r="1472" spans="1:13" x14ac:dyDescent="0.2">
      <c r="A1472" t="s">
        <v>1612</v>
      </c>
      <c r="B1472"/>
      <c r="C1472"/>
      <c r="D1472"/>
      <c r="E1472"/>
      <c r="F1472"/>
      <c r="G1472"/>
      <c r="H1472"/>
      <c r="I1472"/>
      <c r="J1472"/>
      <c r="K1472"/>
      <c r="L1472"/>
      <c r="M1472"/>
    </row>
    <row r="1473" spans="1:13" x14ac:dyDescent="0.2">
      <c r="A1473" t="s">
        <v>1613</v>
      </c>
      <c r="B1473"/>
      <c r="C1473"/>
      <c r="D1473"/>
      <c r="E1473"/>
      <c r="F1473"/>
      <c r="G1473"/>
      <c r="H1473"/>
      <c r="I1473"/>
      <c r="J1473"/>
      <c r="K1473"/>
      <c r="L1473"/>
      <c r="M1473"/>
    </row>
    <row r="1474" spans="1:13" x14ac:dyDescent="0.2">
      <c r="A1474" t="s">
        <v>1614</v>
      </c>
      <c r="B1474"/>
      <c r="C1474"/>
      <c r="D1474"/>
      <c r="E1474"/>
      <c r="F1474"/>
      <c r="G1474"/>
      <c r="H1474"/>
      <c r="I1474"/>
      <c r="J1474"/>
      <c r="K1474"/>
      <c r="L1474"/>
      <c r="M1474"/>
    </row>
    <row r="1475" spans="1:13" x14ac:dyDescent="0.2">
      <c r="A1475" t="s">
        <v>1615</v>
      </c>
      <c r="B1475"/>
      <c r="C1475"/>
      <c r="D1475"/>
      <c r="E1475"/>
      <c r="F1475"/>
      <c r="G1475"/>
      <c r="H1475"/>
      <c r="I1475"/>
      <c r="J1475"/>
      <c r="K1475"/>
      <c r="L1475"/>
      <c r="M1475"/>
    </row>
    <row r="1476" spans="1:13" x14ac:dyDescent="0.2">
      <c r="A1476" t="s">
        <v>1616</v>
      </c>
      <c r="B1476"/>
      <c r="C1476"/>
      <c r="D1476"/>
      <c r="E1476"/>
      <c r="F1476"/>
      <c r="G1476"/>
      <c r="H1476"/>
      <c r="I1476"/>
      <c r="J1476"/>
      <c r="K1476"/>
      <c r="L1476"/>
      <c r="M1476"/>
    </row>
    <row r="1477" spans="1:13" x14ac:dyDescent="0.2">
      <c r="A1477" t="s">
        <v>1617</v>
      </c>
      <c r="B1477"/>
      <c r="C1477"/>
      <c r="D1477"/>
      <c r="E1477"/>
      <c r="F1477"/>
      <c r="G1477"/>
      <c r="H1477"/>
      <c r="I1477"/>
      <c r="J1477"/>
      <c r="K1477"/>
      <c r="L1477"/>
      <c r="M1477"/>
    </row>
    <row r="1478" spans="1:13" x14ac:dyDescent="0.2">
      <c r="A1478" t="s">
        <v>1618</v>
      </c>
      <c r="B1478"/>
      <c r="C1478"/>
      <c r="D1478"/>
      <c r="E1478"/>
      <c r="F1478"/>
      <c r="G1478"/>
      <c r="H1478"/>
      <c r="I1478"/>
      <c r="J1478"/>
      <c r="K1478"/>
      <c r="L1478"/>
      <c r="M1478"/>
    </row>
    <row r="1479" spans="1:13" x14ac:dyDescent="0.2">
      <c r="A1479" t="s">
        <v>1619</v>
      </c>
      <c r="B1479"/>
      <c r="C1479"/>
      <c r="D1479"/>
      <c r="E1479"/>
      <c r="F1479"/>
      <c r="G1479"/>
      <c r="H1479"/>
      <c r="I1479"/>
      <c r="J1479"/>
      <c r="K1479"/>
      <c r="L1479"/>
      <c r="M1479"/>
    </row>
    <row r="1480" spans="1:13" x14ac:dyDescent="0.2">
      <c r="A1480" t="s">
        <v>1620</v>
      </c>
      <c r="B1480"/>
      <c r="C1480"/>
      <c r="D1480"/>
      <c r="E1480"/>
      <c r="F1480"/>
      <c r="G1480"/>
      <c r="H1480"/>
      <c r="I1480"/>
      <c r="J1480"/>
      <c r="K1480"/>
      <c r="L1480"/>
      <c r="M1480"/>
    </row>
    <row r="1481" spans="1:13" x14ac:dyDescent="0.2">
      <c r="A1481" t="s">
        <v>1621</v>
      </c>
      <c r="B1481"/>
      <c r="C1481"/>
      <c r="D1481"/>
      <c r="E1481"/>
      <c r="F1481"/>
      <c r="G1481"/>
      <c r="H1481"/>
      <c r="I1481"/>
      <c r="J1481"/>
      <c r="K1481"/>
      <c r="L1481"/>
      <c r="M1481"/>
    </row>
    <row r="1482" spans="1:13" x14ac:dyDescent="0.2">
      <c r="A1482" t="s">
        <v>1622</v>
      </c>
      <c r="B1482"/>
      <c r="C1482"/>
      <c r="D1482"/>
      <c r="E1482"/>
      <c r="F1482"/>
      <c r="G1482"/>
      <c r="H1482"/>
      <c r="I1482"/>
      <c r="J1482"/>
      <c r="K1482"/>
      <c r="L1482"/>
      <c r="M1482"/>
    </row>
    <row r="1483" spans="1:13" x14ac:dyDescent="0.2">
      <c r="A1483" t="s">
        <v>1623</v>
      </c>
      <c r="B1483"/>
      <c r="C1483"/>
      <c r="D1483"/>
      <c r="E1483"/>
      <c r="F1483"/>
      <c r="G1483"/>
      <c r="H1483"/>
      <c r="I1483"/>
      <c r="J1483"/>
      <c r="K1483"/>
      <c r="L1483"/>
      <c r="M1483"/>
    </row>
    <row r="1484" spans="1:13" x14ac:dyDescent="0.2">
      <c r="A1484" t="s">
        <v>1624</v>
      </c>
      <c r="B1484"/>
      <c r="C1484"/>
      <c r="D1484"/>
      <c r="E1484"/>
      <c r="F1484"/>
      <c r="G1484"/>
      <c r="H1484"/>
      <c r="I1484"/>
      <c r="J1484"/>
      <c r="K1484"/>
      <c r="L1484"/>
      <c r="M1484"/>
    </row>
    <row r="1485" spans="1:13" x14ac:dyDescent="0.2">
      <c r="A1485" t="s">
        <v>1625</v>
      </c>
      <c r="B1485"/>
      <c r="C1485"/>
      <c r="D1485"/>
      <c r="E1485"/>
      <c r="F1485"/>
      <c r="G1485"/>
      <c r="H1485"/>
      <c r="I1485"/>
      <c r="J1485"/>
      <c r="K1485"/>
      <c r="L1485"/>
      <c r="M1485"/>
    </row>
    <row r="1486" spans="1:13" x14ac:dyDescent="0.2">
      <c r="A1486" t="s">
        <v>1626</v>
      </c>
      <c r="B1486"/>
      <c r="C1486"/>
      <c r="D1486"/>
      <c r="E1486"/>
      <c r="F1486"/>
      <c r="G1486"/>
      <c r="H1486"/>
      <c r="I1486"/>
      <c r="J1486"/>
      <c r="K1486"/>
      <c r="L1486"/>
      <c r="M1486"/>
    </row>
    <row r="1487" spans="1:13" x14ac:dyDescent="0.2">
      <c r="A1487" t="s">
        <v>1627</v>
      </c>
      <c r="B1487"/>
      <c r="C1487"/>
      <c r="D1487"/>
      <c r="E1487"/>
      <c r="F1487"/>
      <c r="G1487"/>
      <c r="H1487"/>
      <c r="I1487"/>
      <c r="J1487"/>
      <c r="K1487"/>
      <c r="L1487"/>
      <c r="M1487"/>
    </row>
    <row r="1488" spans="1:13" x14ac:dyDescent="0.2">
      <c r="A1488" t="s">
        <v>1628</v>
      </c>
      <c r="B1488"/>
      <c r="C1488"/>
      <c r="D1488"/>
      <c r="E1488"/>
      <c r="F1488"/>
      <c r="G1488"/>
      <c r="H1488"/>
      <c r="I1488"/>
      <c r="J1488"/>
      <c r="K1488"/>
      <c r="L1488"/>
      <c r="M1488"/>
    </row>
    <row r="1489" spans="1:13" x14ac:dyDescent="0.2">
      <c r="A1489" t="s">
        <v>1629</v>
      </c>
      <c r="B1489"/>
      <c r="C1489"/>
      <c r="D1489"/>
      <c r="E1489"/>
      <c r="F1489"/>
      <c r="G1489"/>
      <c r="H1489"/>
      <c r="I1489"/>
      <c r="J1489"/>
      <c r="K1489"/>
      <c r="L1489"/>
      <c r="M1489"/>
    </row>
    <row r="1490" spans="1:13" x14ac:dyDescent="0.2">
      <c r="A1490" t="s">
        <v>1630</v>
      </c>
      <c r="B1490"/>
      <c r="C1490"/>
      <c r="D1490"/>
      <c r="E1490"/>
      <c r="F1490"/>
      <c r="G1490"/>
      <c r="H1490"/>
      <c r="I1490"/>
      <c r="J1490"/>
      <c r="K1490"/>
      <c r="L1490"/>
      <c r="M1490"/>
    </row>
    <row r="1491" spans="1:13" x14ac:dyDescent="0.2">
      <c r="A1491" t="s">
        <v>1631</v>
      </c>
      <c r="B1491"/>
      <c r="C1491"/>
      <c r="D1491"/>
      <c r="E1491"/>
      <c r="F1491"/>
      <c r="G1491"/>
      <c r="H1491"/>
      <c r="I1491"/>
      <c r="J1491"/>
      <c r="K1491"/>
      <c r="L1491"/>
      <c r="M1491"/>
    </row>
    <row r="1492" spans="1:13" x14ac:dyDescent="0.2">
      <c r="A1492" t="s">
        <v>1632</v>
      </c>
      <c r="B1492"/>
      <c r="C1492"/>
      <c r="D1492"/>
      <c r="E1492"/>
      <c r="F1492"/>
      <c r="G1492"/>
      <c r="H1492"/>
      <c r="I1492"/>
      <c r="J1492"/>
      <c r="K1492"/>
      <c r="L1492"/>
      <c r="M1492"/>
    </row>
    <row r="1493" spans="1:13" x14ac:dyDescent="0.2">
      <c r="A1493" t="s">
        <v>1633</v>
      </c>
      <c r="B1493"/>
      <c r="C1493"/>
      <c r="D1493"/>
      <c r="E1493"/>
      <c r="F1493"/>
      <c r="G1493"/>
      <c r="H1493"/>
      <c r="I1493"/>
      <c r="J1493"/>
      <c r="K1493"/>
      <c r="L1493"/>
      <c r="M1493"/>
    </row>
    <row r="1494" spans="1:13" x14ac:dyDescent="0.2">
      <c r="A1494" t="s">
        <v>1634</v>
      </c>
      <c r="B1494"/>
      <c r="C1494"/>
      <c r="D1494"/>
      <c r="E1494"/>
      <c r="F1494"/>
      <c r="G1494"/>
      <c r="H1494"/>
      <c r="I1494"/>
      <c r="J1494"/>
      <c r="K1494"/>
      <c r="L1494"/>
      <c r="M1494"/>
    </row>
    <row r="1495" spans="1:13" x14ac:dyDescent="0.2">
      <c r="A1495" t="s">
        <v>1635</v>
      </c>
      <c r="B1495"/>
      <c r="C1495"/>
      <c r="D1495"/>
      <c r="E1495"/>
      <c r="F1495"/>
      <c r="G1495"/>
      <c r="H1495"/>
      <c r="I1495"/>
      <c r="J1495"/>
      <c r="K1495"/>
      <c r="L1495"/>
      <c r="M1495"/>
    </row>
    <row r="1496" spans="1:13" x14ac:dyDescent="0.2">
      <c r="A1496" t="s">
        <v>1636</v>
      </c>
      <c r="B1496"/>
      <c r="C1496"/>
      <c r="D1496"/>
      <c r="E1496"/>
      <c r="F1496"/>
      <c r="G1496"/>
      <c r="H1496"/>
      <c r="I1496"/>
      <c r="J1496"/>
      <c r="K1496"/>
      <c r="L1496"/>
      <c r="M1496"/>
    </row>
    <row r="1497" spans="1:13" x14ac:dyDescent="0.2">
      <c r="A1497" t="s">
        <v>1637</v>
      </c>
      <c r="B1497"/>
      <c r="C1497"/>
      <c r="D1497"/>
      <c r="E1497"/>
      <c r="F1497"/>
      <c r="G1497"/>
      <c r="H1497"/>
      <c r="I1497"/>
      <c r="J1497"/>
      <c r="K1497"/>
      <c r="L1497"/>
      <c r="M1497"/>
    </row>
    <row r="1498" spans="1:13" x14ac:dyDescent="0.2">
      <c r="A1498" t="s">
        <v>1638</v>
      </c>
      <c r="B1498"/>
      <c r="C1498"/>
      <c r="D1498"/>
      <c r="E1498"/>
      <c r="F1498"/>
      <c r="G1498"/>
      <c r="H1498"/>
      <c r="I1498"/>
      <c r="J1498"/>
      <c r="K1498"/>
      <c r="L1498"/>
      <c r="M1498"/>
    </row>
    <row r="1499" spans="1:13" x14ac:dyDescent="0.2">
      <c r="A1499" t="s">
        <v>1639</v>
      </c>
      <c r="B1499"/>
      <c r="C1499"/>
      <c r="D1499"/>
      <c r="E1499"/>
      <c r="F1499"/>
      <c r="G1499"/>
      <c r="H1499"/>
      <c r="I1499"/>
      <c r="J1499"/>
      <c r="K1499"/>
      <c r="L1499"/>
      <c r="M1499"/>
    </row>
    <row r="1500" spans="1:13" x14ac:dyDescent="0.2">
      <c r="A1500" t="s">
        <v>1640</v>
      </c>
      <c r="B1500"/>
      <c r="C1500"/>
      <c r="D1500"/>
      <c r="E1500"/>
      <c r="F1500"/>
      <c r="G1500"/>
      <c r="H1500"/>
      <c r="I1500"/>
      <c r="J1500"/>
      <c r="K1500"/>
      <c r="L1500"/>
      <c r="M1500"/>
    </row>
    <row r="1501" spans="1:13" x14ac:dyDescent="0.2">
      <c r="A1501" t="s">
        <v>1641</v>
      </c>
      <c r="B1501"/>
      <c r="C1501"/>
      <c r="D1501"/>
      <c r="E1501"/>
      <c r="F1501"/>
      <c r="G1501"/>
      <c r="H1501"/>
      <c r="I1501"/>
      <c r="J1501"/>
      <c r="K1501"/>
      <c r="L1501"/>
      <c r="M1501"/>
    </row>
    <row r="1502" spans="1:13" x14ac:dyDescent="0.2">
      <c r="A1502" t="s">
        <v>1642</v>
      </c>
      <c r="B1502"/>
      <c r="C1502"/>
      <c r="D1502"/>
      <c r="E1502"/>
      <c r="F1502"/>
      <c r="G1502"/>
      <c r="H1502"/>
      <c r="I1502"/>
      <c r="J1502"/>
      <c r="K1502"/>
      <c r="L1502"/>
      <c r="M1502"/>
    </row>
    <row r="1503" spans="1:13" x14ac:dyDescent="0.2">
      <c r="A1503" t="s">
        <v>1643</v>
      </c>
      <c r="B1503"/>
      <c r="C1503"/>
      <c r="D1503"/>
      <c r="E1503"/>
      <c r="F1503"/>
      <c r="G1503"/>
      <c r="H1503"/>
      <c r="I1503"/>
      <c r="J1503"/>
      <c r="K1503"/>
      <c r="L1503"/>
      <c r="M1503"/>
    </row>
    <row r="1504" spans="1:13" x14ac:dyDescent="0.2">
      <c r="A1504" t="s">
        <v>1644</v>
      </c>
      <c r="B1504"/>
      <c r="C1504"/>
      <c r="D1504"/>
      <c r="E1504"/>
      <c r="F1504"/>
      <c r="G1504"/>
      <c r="H1504"/>
      <c r="I1504"/>
      <c r="J1504"/>
      <c r="K1504"/>
      <c r="L1504"/>
      <c r="M1504"/>
    </row>
    <row r="1505" spans="1:13" x14ac:dyDescent="0.2">
      <c r="A1505" t="s">
        <v>1645</v>
      </c>
      <c r="B1505"/>
      <c r="C1505"/>
      <c r="D1505"/>
      <c r="E1505"/>
      <c r="F1505"/>
      <c r="G1505"/>
      <c r="H1505"/>
      <c r="I1505"/>
      <c r="J1505"/>
      <c r="K1505"/>
      <c r="L1505"/>
      <c r="M1505"/>
    </row>
    <row r="1506" spans="1:13" x14ac:dyDescent="0.2">
      <c r="A1506" t="s">
        <v>1646</v>
      </c>
      <c r="B1506"/>
      <c r="C1506"/>
      <c r="D1506"/>
      <c r="E1506"/>
      <c r="F1506"/>
      <c r="G1506"/>
      <c r="H1506"/>
      <c r="I1506"/>
      <c r="J1506"/>
      <c r="K1506"/>
      <c r="L1506"/>
      <c r="M1506"/>
    </row>
    <row r="1507" spans="1:13" x14ac:dyDescent="0.2">
      <c r="A1507" t="s">
        <v>1647</v>
      </c>
      <c r="B1507"/>
      <c r="C1507"/>
      <c r="D1507"/>
      <c r="E1507"/>
      <c r="F1507"/>
      <c r="G1507"/>
      <c r="H1507"/>
      <c r="I1507"/>
      <c r="J1507"/>
      <c r="K1507"/>
      <c r="L1507"/>
      <c r="M1507"/>
    </row>
    <row r="1508" spans="1:13" x14ac:dyDescent="0.2">
      <c r="A1508" t="s">
        <v>1648</v>
      </c>
      <c r="B1508"/>
      <c r="C1508"/>
      <c r="D1508"/>
      <c r="E1508"/>
      <c r="F1508"/>
      <c r="G1508"/>
      <c r="H1508"/>
      <c r="I1508"/>
      <c r="J1508"/>
      <c r="K1508"/>
      <c r="L1508"/>
      <c r="M1508"/>
    </row>
    <row r="1509" spans="1:13" x14ac:dyDescent="0.2">
      <c r="A1509" t="s">
        <v>1649</v>
      </c>
      <c r="B1509"/>
      <c r="C1509"/>
      <c r="D1509"/>
      <c r="E1509"/>
      <c r="F1509"/>
      <c r="G1509"/>
      <c r="H1509"/>
      <c r="I1509"/>
      <c r="J1509"/>
      <c r="K1509"/>
      <c r="L1509"/>
      <c r="M1509"/>
    </row>
    <row r="1510" spans="1:13" x14ac:dyDescent="0.2">
      <c r="A1510" t="s">
        <v>1650</v>
      </c>
      <c r="B1510"/>
      <c r="C1510"/>
      <c r="D1510"/>
      <c r="E1510"/>
      <c r="F1510"/>
      <c r="G1510"/>
      <c r="H1510"/>
      <c r="I1510"/>
      <c r="J1510"/>
      <c r="K1510"/>
      <c r="L1510"/>
      <c r="M1510"/>
    </row>
    <row r="1511" spans="1:13" x14ac:dyDescent="0.2">
      <c r="A1511" t="s">
        <v>1651</v>
      </c>
      <c r="B1511"/>
      <c r="C1511"/>
      <c r="D1511"/>
      <c r="E1511"/>
      <c r="F1511"/>
      <c r="G1511"/>
      <c r="H1511"/>
      <c r="I1511"/>
      <c r="J1511"/>
      <c r="K1511"/>
      <c r="L1511"/>
      <c r="M1511"/>
    </row>
    <row r="1512" spans="1:13" x14ac:dyDescent="0.2">
      <c r="A1512" t="s">
        <v>1652</v>
      </c>
      <c r="B1512"/>
      <c r="C1512"/>
      <c r="D1512"/>
      <c r="E1512"/>
      <c r="F1512"/>
      <c r="G1512"/>
      <c r="H1512"/>
      <c r="I1512"/>
      <c r="J1512"/>
      <c r="K1512"/>
      <c r="L1512"/>
      <c r="M1512"/>
    </row>
    <row r="1513" spans="1:13" x14ac:dyDescent="0.2">
      <c r="A1513" t="s">
        <v>1653</v>
      </c>
      <c r="B1513"/>
      <c r="C1513"/>
      <c r="D1513"/>
      <c r="E1513"/>
      <c r="F1513"/>
      <c r="G1513"/>
      <c r="H1513"/>
      <c r="I1513"/>
      <c r="J1513"/>
      <c r="K1513"/>
      <c r="L1513"/>
      <c r="M1513"/>
    </row>
    <row r="1514" spans="1:13" x14ac:dyDescent="0.2">
      <c r="A1514" t="s">
        <v>1654</v>
      </c>
      <c r="B1514"/>
      <c r="C1514"/>
      <c r="D1514"/>
      <c r="E1514"/>
      <c r="F1514"/>
      <c r="G1514"/>
      <c r="H1514"/>
      <c r="I1514"/>
      <c r="J1514"/>
      <c r="K1514"/>
      <c r="L1514"/>
      <c r="M1514"/>
    </row>
    <row r="1515" spans="1:13" x14ac:dyDescent="0.2">
      <c r="A1515" t="s">
        <v>1655</v>
      </c>
      <c r="B1515"/>
      <c r="C1515"/>
      <c r="D1515"/>
      <c r="E1515"/>
      <c r="F1515"/>
      <c r="G1515"/>
      <c r="H1515"/>
      <c r="I1515"/>
      <c r="J1515"/>
      <c r="K1515"/>
      <c r="L1515"/>
      <c r="M1515"/>
    </row>
    <row r="1516" spans="1:13" x14ac:dyDescent="0.2">
      <c r="A1516" t="s">
        <v>1656</v>
      </c>
      <c r="B1516"/>
      <c r="C1516"/>
      <c r="D1516"/>
      <c r="E1516"/>
      <c r="F1516"/>
      <c r="G1516"/>
      <c r="H1516"/>
      <c r="I1516"/>
      <c r="J1516"/>
      <c r="K1516"/>
      <c r="L1516"/>
      <c r="M1516"/>
    </row>
    <row r="1517" spans="1:13" x14ac:dyDescent="0.2">
      <c r="A1517" t="s">
        <v>1657</v>
      </c>
      <c r="B1517"/>
      <c r="C1517"/>
      <c r="D1517"/>
      <c r="E1517"/>
      <c r="F1517"/>
      <c r="G1517"/>
      <c r="H1517"/>
      <c r="I1517"/>
      <c r="J1517"/>
      <c r="K1517"/>
      <c r="L1517"/>
      <c r="M1517"/>
    </row>
    <row r="1518" spans="1:13" x14ac:dyDescent="0.2">
      <c r="A1518" t="s">
        <v>1658</v>
      </c>
      <c r="B1518"/>
      <c r="C1518"/>
      <c r="D1518"/>
      <c r="E1518"/>
      <c r="F1518"/>
      <c r="G1518"/>
      <c r="H1518"/>
      <c r="I1518"/>
      <c r="J1518"/>
      <c r="K1518"/>
      <c r="L1518"/>
      <c r="M1518"/>
    </row>
    <row r="1519" spans="1:13" x14ac:dyDescent="0.2">
      <c r="A1519" t="s">
        <v>1659</v>
      </c>
      <c r="B1519"/>
      <c r="C1519"/>
      <c r="D1519"/>
      <c r="E1519"/>
      <c r="F1519"/>
      <c r="G1519"/>
      <c r="H1519"/>
      <c r="I1519"/>
      <c r="J1519"/>
      <c r="K1519"/>
      <c r="L1519"/>
      <c r="M1519"/>
    </row>
    <row r="1520" spans="1:13" x14ac:dyDescent="0.2">
      <c r="A1520" t="s">
        <v>1660</v>
      </c>
      <c r="B1520"/>
      <c r="C1520"/>
      <c r="D1520"/>
      <c r="E1520"/>
      <c r="F1520"/>
      <c r="G1520"/>
      <c r="H1520"/>
      <c r="I1520"/>
      <c r="J1520"/>
      <c r="K1520"/>
      <c r="L1520"/>
      <c r="M1520"/>
    </row>
    <row r="1521" spans="1:13" x14ac:dyDescent="0.2">
      <c r="A1521" t="s">
        <v>1661</v>
      </c>
      <c r="B1521"/>
      <c r="C1521"/>
      <c r="D1521"/>
      <c r="E1521"/>
      <c r="F1521"/>
      <c r="G1521"/>
      <c r="H1521"/>
      <c r="I1521"/>
      <c r="J1521"/>
      <c r="K1521"/>
      <c r="L1521"/>
      <c r="M1521"/>
    </row>
    <row r="1522" spans="1:13" x14ac:dyDescent="0.2">
      <c r="A1522" t="s">
        <v>1662</v>
      </c>
      <c r="B1522"/>
      <c r="C1522"/>
      <c r="D1522"/>
      <c r="E1522"/>
      <c r="F1522"/>
      <c r="G1522"/>
      <c r="H1522"/>
      <c r="I1522"/>
      <c r="J1522"/>
      <c r="K1522"/>
      <c r="L1522"/>
      <c r="M1522"/>
    </row>
    <row r="1523" spans="1:13" x14ac:dyDescent="0.2">
      <c r="A1523" t="s">
        <v>1663</v>
      </c>
      <c r="B1523"/>
      <c r="C1523"/>
      <c r="D1523"/>
      <c r="E1523"/>
      <c r="F1523"/>
      <c r="G1523"/>
      <c r="H1523"/>
      <c r="I1523"/>
      <c r="J1523"/>
      <c r="K1523"/>
      <c r="L1523"/>
      <c r="M1523"/>
    </row>
    <row r="1524" spans="1:13" x14ac:dyDescent="0.2">
      <c r="A1524" t="s">
        <v>1664</v>
      </c>
      <c r="B1524"/>
      <c r="C1524"/>
      <c r="D1524"/>
      <c r="E1524"/>
      <c r="F1524"/>
      <c r="G1524"/>
      <c r="H1524"/>
      <c r="I1524"/>
      <c r="J1524"/>
      <c r="K1524"/>
      <c r="L1524"/>
      <c r="M1524"/>
    </row>
    <row r="1525" spans="1:13" x14ac:dyDescent="0.2">
      <c r="A1525" t="s">
        <v>1665</v>
      </c>
      <c r="B1525"/>
      <c r="C1525"/>
      <c r="D1525"/>
      <c r="E1525"/>
      <c r="F1525"/>
      <c r="G1525"/>
      <c r="H1525"/>
      <c r="I1525"/>
      <c r="J1525"/>
      <c r="K1525"/>
      <c r="L1525"/>
      <c r="M1525"/>
    </row>
    <row r="1526" spans="1:13" x14ac:dyDescent="0.2">
      <c r="A1526" t="s">
        <v>1666</v>
      </c>
      <c r="B1526"/>
      <c r="C1526"/>
      <c r="D1526"/>
      <c r="E1526"/>
      <c r="F1526"/>
      <c r="G1526"/>
      <c r="H1526"/>
      <c r="I1526"/>
      <c r="J1526"/>
      <c r="K1526"/>
      <c r="L1526"/>
      <c r="M1526"/>
    </row>
    <row r="1527" spans="1:13" x14ac:dyDescent="0.2">
      <c r="A1527" t="s">
        <v>1667</v>
      </c>
      <c r="B1527"/>
      <c r="C1527"/>
      <c r="D1527"/>
      <c r="E1527"/>
      <c r="F1527"/>
      <c r="G1527"/>
      <c r="H1527"/>
      <c r="I1527"/>
      <c r="J1527"/>
      <c r="K1527"/>
      <c r="L1527"/>
      <c r="M1527"/>
    </row>
    <row r="1528" spans="1:13" x14ac:dyDescent="0.2">
      <c r="A1528" t="s">
        <v>1668</v>
      </c>
      <c r="B1528"/>
      <c r="C1528"/>
      <c r="D1528"/>
      <c r="E1528"/>
      <c r="F1528"/>
      <c r="G1528"/>
      <c r="H1528"/>
      <c r="I1528"/>
      <c r="J1528"/>
      <c r="K1528"/>
      <c r="L1528"/>
      <c r="M1528"/>
    </row>
    <row r="1529" spans="1:13" x14ac:dyDescent="0.2">
      <c r="A1529" t="s">
        <v>1669</v>
      </c>
      <c r="B1529"/>
      <c r="C1529"/>
      <c r="D1529"/>
      <c r="E1529"/>
      <c r="F1529"/>
      <c r="G1529"/>
      <c r="H1529"/>
      <c r="I1529"/>
      <c r="J1529"/>
      <c r="K1529"/>
      <c r="L1529"/>
      <c r="M1529"/>
    </row>
    <row r="1530" spans="1:13" x14ac:dyDescent="0.2">
      <c r="A1530" t="s">
        <v>1670</v>
      </c>
      <c r="B1530"/>
      <c r="C1530"/>
      <c r="D1530"/>
      <c r="E1530"/>
      <c r="F1530"/>
      <c r="G1530"/>
      <c r="H1530"/>
      <c r="I1530"/>
      <c r="J1530"/>
      <c r="K1530"/>
      <c r="L1530"/>
      <c r="M1530"/>
    </row>
    <row r="1531" spans="1:13" x14ac:dyDescent="0.2">
      <c r="A1531" t="s">
        <v>1671</v>
      </c>
      <c r="B1531"/>
      <c r="C1531"/>
      <c r="D1531"/>
      <c r="E1531"/>
      <c r="F1531"/>
      <c r="G1531"/>
      <c r="H1531"/>
      <c r="I1531"/>
      <c r="J1531"/>
      <c r="K1531"/>
      <c r="L1531"/>
      <c r="M1531"/>
    </row>
    <row r="1532" spans="1:13" x14ac:dyDescent="0.2">
      <c r="A1532" t="s">
        <v>1672</v>
      </c>
      <c r="B1532"/>
      <c r="C1532"/>
      <c r="D1532"/>
      <c r="E1532"/>
      <c r="F1532"/>
      <c r="G1532"/>
      <c r="H1532"/>
      <c r="I1532"/>
      <c r="J1532"/>
      <c r="K1532"/>
      <c r="L1532"/>
      <c r="M1532"/>
    </row>
    <row r="1533" spans="1:13" x14ac:dyDescent="0.2">
      <c r="A1533" t="s">
        <v>1673</v>
      </c>
      <c r="B1533"/>
      <c r="C1533"/>
      <c r="D1533"/>
      <c r="E1533"/>
      <c r="F1533"/>
      <c r="G1533"/>
      <c r="H1533"/>
      <c r="I1533"/>
      <c r="J1533"/>
      <c r="K1533"/>
      <c r="L1533"/>
      <c r="M1533"/>
    </row>
    <row r="1534" spans="1:13" x14ac:dyDescent="0.2">
      <c r="A1534" t="s">
        <v>1674</v>
      </c>
      <c r="B1534"/>
      <c r="C1534"/>
      <c r="D1534"/>
      <c r="E1534"/>
      <c r="F1534"/>
      <c r="G1534"/>
      <c r="H1534"/>
      <c r="I1534"/>
      <c r="J1534"/>
      <c r="K1534"/>
      <c r="L1534"/>
      <c r="M1534"/>
    </row>
    <row r="1535" spans="1:13" x14ac:dyDescent="0.2">
      <c r="A1535" t="s">
        <v>1675</v>
      </c>
      <c r="B1535"/>
      <c r="C1535"/>
      <c r="D1535"/>
      <c r="E1535"/>
      <c r="F1535"/>
      <c r="G1535"/>
      <c r="H1535"/>
      <c r="I1535"/>
      <c r="J1535"/>
      <c r="K1535"/>
      <c r="L1535"/>
      <c r="M1535"/>
    </row>
    <row r="1536" spans="1:13" x14ac:dyDescent="0.2">
      <c r="A1536" t="s">
        <v>1676</v>
      </c>
      <c r="B1536"/>
      <c r="C1536"/>
      <c r="D1536"/>
      <c r="E1536"/>
      <c r="F1536"/>
      <c r="G1536"/>
      <c r="H1536"/>
      <c r="I1536"/>
      <c r="J1536"/>
      <c r="K1536"/>
      <c r="L1536"/>
      <c r="M1536"/>
    </row>
    <row r="1537" spans="1:13" x14ac:dyDescent="0.2">
      <c r="A1537" t="s">
        <v>1677</v>
      </c>
      <c r="B1537"/>
      <c r="C1537"/>
      <c r="D1537"/>
      <c r="E1537"/>
      <c r="F1537"/>
      <c r="G1537"/>
      <c r="H1537"/>
      <c r="I1537"/>
      <c r="J1537"/>
      <c r="K1537"/>
      <c r="L1537"/>
      <c r="M1537"/>
    </row>
    <row r="1538" spans="1:13" x14ac:dyDescent="0.2">
      <c r="A1538" t="s">
        <v>1678</v>
      </c>
      <c r="B1538"/>
      <c r="C1538"/>
      <c r="D1538"/>
      <c r="E1538"/>
      <c r="F1538"/>
      <c r="G1538"/>
      <c r="H1538"/>
      <c r="I1538"/>
      <c r="J1538"/>
      <c r="K1538"/>
      <c r="L1538"/>
      <c r="M1538"/>
    </row>
    <row r="1539" spans="1:13" x14ac:dyDescent="0.2">
      <c r="A1539" t="s">
        <v>1679</v>
      </c>
      <c r="B1539"/>
      <c r="C1539"/>
      <c r="D1539"/>
      <c r="E1539"/>
      <c r="F1539"/>
      <c r="G1539"/>
      <c r="H1539"/>
      <c r="I1539"/>
      <c r="J1539"/>
      <c r="K1539"/>
      <c r="L1539"/>
      <c r="M1539"/>
    </row>
    <row r="1540" spans="1:13" x14ac:dyDescent="0.2">
      <c r="A1540" t="s">
        <v>1680</v>
      </c>
      <c r="B1540"/>
      <c r="C1540"/>
      <c r="D1540"/>
      <c r="E1540"/>
      <c r="F1540"/>
      <c r="G1540"/>
      <c r="H1540"/>
      <c r="I1540"/>
      <c r="J1540"/>
      <c r="K1540"/>
      <c r="L1540"/>
      <c r="M1540"/>
    </row>
    <row r="1541" spans="1:13" x14ac:dyDescent="0.2">
      <c r="A1541" t="s">
        <v>1681</v>
      </c>
      <c r="B1541"/>
      <c r="C1541"/>
      <c r="D1541"/>
      <c r="E1541"/>
      <c r="F1541"/>
      <c r="G1541"/>
      <c r="H1541"/>
      <c r="I1541"/>
      <c r="J1541"/>
      <c r="K1541"/>
      <c r="L1541"/>
      <c r="M1541"/>
    </row>
    <row r="1542" spans="1:13" x14ac:dyDescent="0.2">
      <c r="A1542" t="s">
        <v>1682</v>
      </c>
      <c r="B1542"/>
      <c r="C1542"/>
      <c r="D1542"/>
      <c r="E1542"/>
      <c r="F1542"/>
      <c r="G1542"/>
      <c r="H1542"/>
      <c r="I1542"/>
      <c r="J1542"/>
      <c r="K1542"/>
      <c r="L1542"/>
      <c r="M1542"/>
    </row>
    <row r="1543" spans="1:13" x14ac:dyDescent="0.2">
      <c r="A1543" t="s">
        <v>1683</v>
      </c>
      <c r="B1543"/>
      <c r="C1543"/>
      <c r="D1543"/>
      <c r="E1543"/>
      <c r="F1543"/>
      <c r="G1543"/>
      <c r="H1543"/>
      <c r="I1543"/>
      <c r="J1543"/>
      <c r="K1543"/>
      <c r="L1543"/>
      <c r="M1543"/>
    </row>
    <row r="1544" spans="1:13" x14ac:dyDescent="0.2">
      <c r="A1544" t="s">
        <v>1684</v>
      </c>
      <c r="B1544"/>
      <c r="C1544"/>
      <c r="D1544"/>
      <c r="E1544"/>
      <c r="F1544"/>
      <c r="G1544"/>
      <c r="H1544"/>
      <c r="I1544"/>
      <c r="J1544"/>
      <c r="K1544"/>
      <c r="L1544"/>
      <c r="M1544"/>
    </row>
    <row r="1545" spans="1:13" x14ac:dyDescent="0.2">
      <c r="A1545" t="s">
        <v>1685</v>
      </c>
      <c r="B1545"/>
      <c r="C1545"/>
      <c r="D1545"/>
      <c r="E1545"/>
      <c r="F1545"/>
      <c r="G1545"/>
      <c r="H1545"/>
      <c r="I1545"/>
      <c r="J1545"/>
      <c r="K1545"/>
      <c r="L1545"/>
      <c r="M1545"/>
    </row>
    <row r="1546" spans="1:13" x14ac:dyDescent="0.2">
      <c r="A1546" t="s">
        <v>1686</v>
      </c>
      <c r="B1546"/>
      <c r="C1546"/>
      <c r="D1546"/>
      <c r="E1546"/>
      <c r="F1546"/>
      <c r="G1546"/>
      <c r="H1546"/>
      <c r="I1546"/>
      <c r="J1546"/>
      <c r="K1546"/>
      <c r="L1546"/>
      <c r="M1546"/>
    </row>
    <row r="1547" spans="1:13" x14ac:dyDescent="0.2">
      <c r="A1547" t="s">
        <v>1687</v>
      </c>
      <c r="B1547"/>
      <c r="C1547"/>
      <c r="D1547"/>
      <c r="E1547"/>
      <c r="F1547"/>
      <c r="G1547"/>
      <c r="H1547"/>
      <c r="I1547"/>
      <c r="J1547"/>
      <c r="K1547"/>
      <c r="L1547"/>
      <c r="M1547"/>
    </row>
    <row r="1548" spans="1:13" x14ac:dyDescent="0.2">
      <c r="A1548" t="s">
        <v>1688</v>
      </c>
      <c r="B1548"/>
      <c r="C1548"/>
      <c r="D1548"/>
      <c r="E1548"/>
      <c r="F1548"/>
      <c r="G1548"/>
      <c r="H1548"/>
      <c r="I1548"/>
      <c r="J1548"/>
      <c r="K1548"/>
      <c r="L1548"/>
      <c r="M1548"/>
    </row>
    <row r="1549" spans="1:13" x14ac:dyDescent="0.2">
      <c r="A1549" t="s">
        <v>1689</v>
      </c>
      <c r="B1549"/>
      <c r="C1549"/>
      <c r="D1549"/>
      <c r="E1549"/>
      <c r="F1549"/>
      <c r="G1549"/>
      <c r="H1549"/>
      <c r="I1549"/>
      <c r="J1549"/>
      <c r="K1549"/>
      <c r="L1549"/>
      <c r="M1549"/>
    </row>
    <row r="1550" spans="1:13" x14ac:dyDescent="0.2">
      <c r="A1550" t="s">
        <v>1690</v>
      </c>
      <c r="B1550"/>
      <c r="C1550"/>
      <c r="D1550"/>
      <c r="E1550"/>
      <c r="F1550"/>
      <c r="G1550"/>
      <c r="H1550"/>
      <c r="I1550"/>
      <c r="J1550"/>
      <c r="K1550"/>
      <c r="L1550"/>
      <c r="M1550"/>
    </row>
    <row r="1551" spans="1:13" x14ac:dyDescent="0.2">
      <c r="A1551" t="s">
        <v>1691</v>
      </c>
      <c r="B1551"/>
      <c r="C1551"/>
      <c r="D1551"/>
      <c r="E1551"/>
      <c r="F1551"/>
      <c r="G1551"/>
      <c r="H1551"/>
      <c r="I1551"/>
      <c r="J1551"/>
      <c r="K1551"/>
      <c r="L1551"/>
      <c r="M1551"/>
    </row>
    <row r="1552" spans="1:13" x14ac:dyDescent="0.2">
      <c r="A1552" t="s">
        <v>1692</v>
      </c>
      <c r="B1552"/>
      <c r="C1552"/>
      <c r="D1552"/>
      <c r="E1552"/>
      <c r="F1552"/>
      <c r="G1552"/>
      <c r="H1552"/>
      <c r="I1552"/>
      <c r="J1552"/>
      <c r="K1552"/>
      <c r="L1552"/>
      <c r="M1552"/>
    </row>
    <row r="1553" spans="1:13" x14ac:dyDescent="0.2">
      <c r="A1553" t="s">
        <v>1693</v>
      </c>
      <c r="B1553"/>
      <c r="C1553"/>
      <c r="D1553"/>
      <c r="E1553"/>
      <c r="F1553"/>
      <c r="G1553"/>
      <c r="H1553"/>
      <c r="I1553"/>
      <c r="J1553"/>
      <c r="K1553"/>
      <c r="L1553"/>
      <c r="M1553"/>
    </row>
    <row r="1554" spans="1:13" x14ac:dyDescent="0.2">
      <c r="A1554" t="s">
        <v>1694</v>
      </c>
      <c r="B1554"/>
      <c r="C1554"/>
      <c r="D1554"/>
      <c r="E1554"/>
      <c r="F1554"/>
      <c r="G1554"/>
      <c r="H1554"/>
      <c r="I1554"/>
      <c r="J1554"/>
      <c r="K1554"/>
      <c r="L1554"/>
      <c r="M1554"/>
    </row>
    <row r="1555" spans="1:13" x14ac:dyDescent="0.2">
      <c r="A1555" t="s">
        <v>1695</v>
      </c>
      <c r="B1555"/>
      <c r="C1555"/>
      <c r="D1555"/>
      <c r="E1555"/>
      <c r="F1555"/>
      <c r="G1555"/>
      <c r="H1555"/>
      <c r="I1555"/>
      <c r="J1555"/>
      <c r="K1555"/>
      <c r="L1555"/>
      <c r="M1555"/>
    </row>
    <row r="1556" spans="1:13" x14ac:dyDescent="0.2">
      <c r="A1556" t="s">
        <v>1696</v>
      </c>
      <c r="B1556"/>
      <c r="C1556"/>
      <c r="D1556"/>
      <c r="E1556"/>
      <c r="F1556"/>
      <c r="G1556"/>
      <c r="H1556"/>
      <c r="I1556"/>
      <c r="J1556"/>
      <c r="K1556"/>
      <c r="L1556"/>
      <c r="M1556"/>
    </row>
    <row r="1557" spans="1:13" x14ac:dyDescent="0.2">
      <c r="A1557" t="s">
        <v>1697</v>
      </c>
      <c r="B1557"/>
      <c r="C1557"/>
      <c r="D1557"/>
      <c r="E1557"/>
      <c r="F1557"/>
      <c r="G1557"/>
      <c r="H1557"/>
      <c r="I1557"/>
      <c r="J1557"/>
      <c r="K1557"/>
      <c r="L1557"/>
      <c r="M1557"/>
    </row>
    <row r="1558" spans="1:13" x14ac:dyDescent="0.2">
      <c r="A1558" t="s">
        <v>1698</v>
      </c>
      <c r="B1558"/>
      <c r="C1558"/>
      <c r="D1558"/>
      <c r="E1558"/>
      <c r="F1558"/>
      <c r="G1558"/>
      <c r="H1558"/>
      <c r="I1558"/>
      <c r="J1558"/>
      <c r="K1558"/>
      <c r="L1558"/>
      <c r="M1558"/>
    </row>
    <row r="1559" spans="1:13" x14ac:dyDescent="0.2">
      <c r="A1559" t="s">
        <v>1699</v>
      </c>
      <c r="B1559"/>
      <c r="C1559"/>
      <c r="D1559"/>
      <c r="E1559"/>
      <c r="F1559"/>
      <c r="G1559"/>
      <c r="H1559"/>
      <c r="I1559"/>
      <c r="J1559"/>
      <c r="K1559"/>
      <c r="L1559"/>
      <c r="M1559"/>
    </row>
    <row r="1560" spans="1:13" x14ac:dyDescent="0.2">
      <c r="A1560" t="s">
        <v>1700</v>
      </c>
      <c r="B1560"/>
      <c r="C1560"/>
      <c r="D1560"/>
      <c r="E1560"/>
      <c r="F1560"/>
      <c r="G1560"/>
      <c r="H1560"/>
      <c r="I1560"/>
      <c r="J1560"/>
      <c r="K1560"/>
      <c r="L1560"/>
      <c r="M1560"/>
    </row>
    <row r="1561" spans="1:13" x14ac:dyDescent="0.2">
      <c r="A1561" t="s">
        <v>1701</v>
      </c>
      <c r="B1561"/>
      <c r="C1561"/>
      <c r="D1561"/>
      <c r="E1561"/>
      <c r="F1561"/>
      <c r="G1561"/>
      <c r="H1561"/>
      <c r="I1561"/>
      <c r="J1561"/>
      <c r="K1561"/>
      <c r="L1561"/>
      <c r="M1561"/>
    </row>
    <row r="1562" spans="1:13" x14ac:dyDescent="0.2">
      <c r="A1562" t="s">
        <v>1702</v>
      </c>
      <c r="B1562"/>
      <c r="C1562"/>
      <c r="D1562"/>
      <c r="E1562"/>
      <c r="F1562"/>
      <c r="G1562"/>
      <c r="H1562"/>
      <c r="I1562"/>
      <c r="J1562"/>
      <c r="K1562"/>
      <c r="L1562"/>
      <c r="M1562"/>
    </row>
    <row r="1563" spans="1:13" x14ac:dyDescent="0.2">
      <c r="A1563" t="s">
        <v>1703</v>
      </c>
      <c r="B1563"/>
      <c r="C1563"/>
      <c r="D1563"/>
      <c r="E1563"/>
      <c r="F1563"/>
      <c r="G1563"/>
      <c r="H1563"/>
      <c r="I1563"/>
      <c r="J1563"/>
      <c r="K1563"/>
      <c r="L1563"/>
      <c r="M1563"/>
    </row>
    <row r="1564" spans="1:13" x14ac:dyDescent="0.2">
      <c r="A1564" t="s">
        <v>1704</v>
      </c>
      <c r="B1564"/>
      <c r="C1564"/>
      <c r="D1564"/>
      <c r="E1564"/>
      <c r="F1564"/>
      <c r="G1564"/>
      <c r="H1564"/>
      <c r="I1564"/>
      <c r="J1564"/>
      <c r="K1564"/>
      <c r="L1564"/>
      <c r="M1564"/>
    </row>
    <row r="1565" spans="1:13" x14ac:dyDescent="0.2">
      <c r="A1565" t="s">
        <v>1705</v>
      </c>
      <c r="B1565"/>
      <c r="C1565"/>
      <c r="D1565"/>
      <c r="E1565"/>
      <c r="F1565"/>
      <c r="G1565"/>
      <c r="H1565"/>
      <c r="I1565"/>
      <c r="J1565"/>
      <c r="K1565"/>
      <c r="L1565"/>
      <c r="M1565"/>
    </row>
    <row r="1566" spans="1:13" x14ac:dyDescent="0.2">
      <c r="A1566" t="s">
        <v>1706</v>
      </c>
      <c r="B1566"/>
      <c r="C1566"/>
      <c r="D1566"/>
      <c r="E1566"/>
      <c r="F1566"/>
      <c r="G1566"/>
      <c r="H1566"/>
      <c r="I1566"/>
      <c r="J1566"/>
      <c r="K1566"/>
      <c r="L1566"/>
      <c r="M1566"/>
    </row>
    <row r="1567" spans="1:13" x14ac:dyDescent="0.2">
      <c r="A1567" t="s">
        <v>1707</v>
      </c>
      <c r="B1567"/>
      <c r="C1567"/>
      <c r="D1567"/>
      <c r="E1567"/>
      <c r="F1567"/>
      <c r="G1567"/>
      <c r="H1567"/>
      <c r="I1567"/>
      <c r="J1567"/>
      <c r="K1567"/>
      <c r="L1567"/>
      <c r="M1567"/>
    </row>
    <row r="1568" spans="1:13" x14ac:dyDescent="0.2">
      <c r="A1568" t="s">
        <v>1708</v>
      </c>
      <c r="B1568"/>
      <c r="C1568"/>
      <c r="D1568"/>
      <c r="E1568"/>
      <c r="F1568"/>
      <c r="G1568"/>
      <c r="H1568"/>
      <c r="I1568"/>
      <c r="J1568"/>
      <c r="K1568"/>
      <c r="L1568"/>
      <c r="M1568"/>
    </row>
    <row r="1569" spans="1:13" x14ac:dyDescent="0.2">
      <c r="A1569" t="s">
        <v>1709</v>
      </c>
      <c r="B1569"/>
      <c r="C1569"/>
      <c r="D1569"/>
      <c r="E1569"/>
      <c r="F1569"/>
      <c r="G1569"/>
      <c r="H1569"/>
      <c r="I1569"/>
      <c r="J1569"/>
      <c r="K1569"/>
      <c r="L1569"/>
      <c r="M1569"/>
    </row>
    <row r="1570" spans="1:13" x14ac:dyDescent="0.2">
      <c r="A1570" t="s">
        <v>1710</v>
      </c>
      <c r="B1570"/>
      <c r="C1570"/>
      <c r="D1570"/>
      <c r="E1570"/>
      <c r="F1570"/>
      <c r="G1570"/>
      <c r="H1570"/>
      <c r="I1570"/>
      <c r="J1570"/>
      <c r="K1570"/>
      <c r="L1570"/>
      <c r="M1570"/>
    </row>
    <row r="1571" spans="1:13" x14ac:dyDescent="0.2">
      <c r="A1571" t="s">
        <v>1711</v>
      </c>
      <c r="B1571"/>
      <c r="C1571"/>
      <c r="D1571"/>
      <c r="E1571"/>
      <c r="F1571"/>
      <c r="G1571"/>
      <c r="H1571"/>
      <c r="I1571"/>
      <c r="J1571"/>
      <c r="K1571"/>
      <c r="L1571"/>
      <c r="M1571"/>
    </row>
    <row r="1572" spans="1:13" x14ac:dyDescent="0.2">
      <c r="A1572" t="s">
        <v>1712</v>
      </c>
      <c r="B1572"/>
      <c r="C1572"/>
      <c r="D1572"/>
      <c r="E1572"/>
      <c r="F1572"/>
      <c r="G1572"/>
      <c r="H1572"/>
      <c r="I1572"/>
      <c r="J1572"/>
      <c r="K1572"/>
      <c r="L1572"/>
      <c r="M1572"/>
    </row>
    <row r="1573" spans="1:13" x14ac:dyDescent="0.2">
      <c r="A1573" t="s">
        <v>1713</v>
      </c>
      <c r="B1573"/>
      <c r="C1573"/>
      <c r="D1573"/>
      <c r="E1573"/>
      <c r="F1573"/>
      <c r="G1573"/>
      <c r="H1573"/>
      <c r="I1573"/>
      <c r="J1573"/>
      <c r="K1573"/>
      <c r="L1573"/>
      <c r="M1573"/>
    </row>
    <row r="1574" spans="1:13" x14ac:dyDescent="0.2">
      <c r="A1574" t="s">
        <v>1714</v>
      </c>
      <c r="B1574"/>
      <c r="C1574"/>
      <c r="D1574"/>
      <c r="E1574"/>
      <c r="F1574"/>
      <c r="G1574"/>
      <c r="H1574"/>
      <c r="I1574"/>
      <c r="J1574"/>
      <c r="K1574"/>
      <c r="L1574"/>
      <c r="M1574"/>
    </row>
    <row r="1575" spans="1:13" x14ac:dyDescent="0.2">
      <c r="A1575" t="s">
        <v>1715</v>
      </c>
      <c r="B1575"/>
      <c r="C1575"/>
      <c r="D1575"/>
      <c r="E1575"/>
      <c r="F1575"/>
      <c r="G1575"/>
      <c r="H1575"/>
      <c r="I1575"/>
      <c r="J1575"/>
      <c r="K1575"/>
      <c r="L1575"/>
      <c r="M1575"/>
    </row>
    <row r="1576" spans="1:13" x14ac:dyDescent="0.2">
      <c r="A1576" t="s">
        <v>1716</v>
      </c>
      <c r="B1576"/>
      <c r="C1576"/>
      <c r="D1576"/>
      <c r="E1576"/>
      <c r="F1576"/>
      <c r="G1576"/>
      <c r="H1576"/>
      <c r="I1576"/>
      <c r="J1576"/>
      <c r="K1576"/>
      <c r="L1576"/>
      <c r="M1576"/>
    </row>
    <row r="1577" spans="1:13" x14ac:dyDescent="0.2">
      <c r="A1577" t="s">
        <v>1717</v>
      </c>
      <c r="B1577"/>
      <c r="C1577"/>
      <c r="D1577"/>
      <c r="E1577"/>
      <c r="F1577"/>
      <c r="G1577"/>
      <c r="H1577"/>
      <c r="I1577"/>
      <c r="J1577"/>
      <c r="K1577"/>
      <c r="L1577"/>
      <c r="M1577"/>
    </row>
    <row r="1578" spans="1:13" x14ac:dyDescent="0.2">
      <c r="A1578" t="s">
        <v>1718</v>
      </c>
      <c r="B1578"/>
      <c r="C1578"/>
      <c r="D1578"/>
      <c r="E1578"/>
      <c r="F1578"/>
      <c r="G1578"/>
      <c r="H1578"/>
      <c r="I1578"/>
      <c r="J1578"/>
      <c r="K1578"/>
      <c r="L1578"/>
      <c r="M1578"/>
    </row>
    <row r="1579" spans="1:13" x14ac:dyDescent="0.2">
      <c r="A1579" t="s">
        <v>1719</v>
      </c>
      <c r="B1579"/>
      <c r="C1579"/>
      <c r="D1579"/>
      <c r="E1579"/>
      <c r="F1579"/>
      <c r="G1579"/>
      <c r="H1579"/>
      <c r="I1579"/>
      <c r="J1579"/>
      <c r="K1579"/>
      <c r="L1579"/>
      <c r="M1579"/>
    </row>
    <row r="1580" spans="1:13" x14ac:dyDescent="0.2">
      <c r="A1580" t="s">
        <v>1720</v>
      </c>
      <c r="B1580"/>
      <c r="C1580"/>
      <c r="D1580"/>
      <c r="E1580"/>
      <c r="F1580"/>
      <c r="G1580"/>
      <c r="H1580"/>
      <c r="I1580"/>
      <c r="J1580"/>
      <c r="K1580"/>
      <c r="L1580"/>
      <c r="M1580"/>
    </row>
    <row r="1581" spans="1:13" x14ac:dyDescent="0.2">
      <c r="A1581" t="s">
        <v>1721</v>
      </c>
      <c r="B1581"/>
      <c r="C1581"/>
      <c r="D1581"/>
      <c r="E1581"/>
      <c r="F1581"/>
      <c r="G1581"/>
      <c r="H1581"/>
      <c r="I1581"/>
      <c r="J1581"/>
      <c r="K1581"/>
      <c r="L1581"/>
      <c r="M1581"/>
    </row>
    <row r="1582" spans="1:13" x14ac:dyDescent="0.2">
      <c r="A1582" t="s">
        <v>1722</v>
      </c>
      <c r="B1582"/>
      <c r="C1582"/>
      <c r="D1582"/>
      <c r="E1582"/>
      <c r="F1582"/>
      <c r="G1582"/>
      <c r="H1582"/>
      <c r="I1582"/>
      <c r="J1582"/>
      <c r="K1582"/>
      <c r="L1582"/>
      <c r="M1582"/>
    </row>
    <row r="1583" spans="1:13" x14ac:dyDescent="0.2">
      <c r="A1583" t="s">
        <v>1723</v>
      </c>
      <c r="B1583"/>
      <c r="C1583"/>
      <c r="D1583"/>
      <c r="E1583"/>
      <c r="F1583"/>
      <c r="G1583"/>
      <c r="H1583"/>
      <c r="I1583"/>
      <c r="J1583"/>
      <c r="K1583"/>
      <c r="L1583"/>
      <c r="M1583"/>
    </row>
    <row r="1584" spans="1:13" x14ac:dyDescent="0.2">
      <c r="A1584" t="s">
        <v>1724</v>
      </c>
      <c r="B1584"/>
      <c r="C1584"/>
      <c r="D1584"/>
      <c r="E1584"/>
      <c r="F1584"/>
      <c r="G1584"/>
      <c r="H1584"/>
      <c r="I1584"/>
      <c r="J1584"/>
      <c r="K1584"/>
      <c r="L1584"/>
      <c r="M1584"/>
    </row>
    <row r="1585" spans="1:13" x14ac:dyDescent="0.2">
      <c r="A1585" t="s">
        <v>1725</v>
      </c>
      <c r="B1585"/>
      <c r="C1585"/>
      <c r="D1585"/>
      <c r="E1585"/>
      <c r="F1585"/>
      <c r="G1585"/>
      <c r="H1585"/>
      <c r="I1585"/>
      <c r="J1585"/>
      <c r="K1585"/>
      <c r="L1585"/>
      <c r="M1585"/>
    </row>
    <row r="1586" spans="1:13" x14ac:dyDescent="0.2">
      <c r="A1586" t="s">
        <v>1726</v>
      </c>
      <c r="B1586"/>
      <c r="C1586"/>
      <c r="D1586"/>
      <c r="E1586"/>
      <c r="F1586"/>
      <c r="G1586"/>
      <c r="H1586"/>
      <c r="I1586"/>
      <c r="J1586"/>
      <c r="K1586"/>
      <c r="L1586"/>
      <c r="M1586"/>
    </row>
    <row r="1587" spans="1:13" x14ac:dyDescent="0.2">
      <c r="A1587" t="s">
        <v>1727</v>
      </c>
      <c r="B1587"/>
      <c r="C1587"/>
      <c r="D1587"/>
      <c r="E1587"/>
      <c r="F1587"/>
      <c r="G1587"/>
      <c r="H1587"/>
      <c r="I1587"/>
      <c r="J1587"/>
      <c r="K1587"/>
      <c r="L1587"/>
      <c r="M1587"/>
    </row>
    <row r="1588" spans="1:13" x14ac:dyDescent="0.2">
      <c r="A1588" t="s">
        <v>1728</v>
      </c>
      <c r="B1588"/>
      <c r="C1588"/>
      <c r="D1588"/>
      <c r="E1588"/>
      <c r="F1588"/>
      <c r="G1588"/>
      <c r="H1588"/>
      <c r="I1588"/>
      <c r="J1588"/>
      <c r="K1588"/>
      <c r="L1588"/>
      <c r="M1588"/>
    </row>
    <row r="1589" spans="1:13" x14ac:dyDescent="0.2">
      <c r="A1589" t="s">
        <v>1729</v>
      </c>
      <c r="B1589"/>
      <c r="C1589"/>
      <c r="D1589"/>
      <c r="E1589"/>
      <c r="F1589"/>
      <c r="G1589"/>
      <c r="H1589"/>
      <c r="I1589"/>
      <c r="J1589"/>
      <c r="K1589"/>
      <c r="L1589"/>
      <c r="M1589"/>
    </row>
    <row r="1590" spans="1:13" x14ac:dyDescent="0.2">
      <c r="A1590" t="s">
        <v>1730</v>
      </c>
      <c r="B1590"/>
      <c r="C1590"/>
      <c r="D1590"/>
      <c r="E1590"/>
      <c r="F1590"/>
      <c r="G1590"/>
      <c r="H1590"/>
      <c r="I1590"/>
      <c r="J1590"/>
      <c r="K1590"/>
      <c r="L1590"/>
      <c r="M1590"/>
    </row>
    <row r="1591" spans="1:13" x14ac:dyDescent="0.2">
      <c r="A1591" t="s">
        <v>1731</v>
      </c>
      <c r="B1591"/>
      <c r="C1591"/>
      <c r="D1591"/>
      <c r="E1591"/>
      <c r="F1591"/>
      <c r="G1591"/>
      <c r="H1591"/>
      <c r="I1591"/>
      <c r="J1591"/>
      <c r="K1591"/>
      <c r="L1591"/>
      <c r="M1591"/>
    </row>
    <row r="1592" spans="1:13" x14ac:dyDescent="0.2">
      <c r="A1592" t="s">
        <v>1732</v>
      </c>
      <c r="B1592"/>
      <c r="C1592"/>
      <c r="D1592"/>
      <c r="E1592"/>
      <c r="F1592"/>
      <c r="G1592"/>
      <c r="H1592"/>
      <c r="I1592"/>
      <c r="J1592"/>
      <c r="K1592"/>
      <c r="L1592"/>
      <c r="M1592"/>
    </row>
    <row r="1593" spans="1:13" x14ac:dyDescent="0.2">
      <c r="A1593" t="s">
        <v>1733</v>
      </c>
      <c r="B1593"/>
      <c r="C1593"/>
      <c r="D1593"/>
      <c r="E1593"/>
      <c r="F1593"/>
      <c r="G1593"/>
      <c r="H1593"/>
      <c r="I1593"/>
      <c r="J1593"/>
      <c r="K1593"/>
      <c r="L1593"/>
      <c r="M1593"/>
    </row>
    <row r="1594" spans="1:13" x14ac:dyDescent="0.2">
      <c r="A1594" t="s">
        <v>1734</v>
      </c>
      <c r="B1594"/>
      <c r="C1594"/>
      <c r="D1594"/>
      <c r="E1594"/>
      <c r="F1594"/>
      <c r="G1594"/>
      <c r="H1594"/>
      <c r="I1594"/>
      <c r="J1594"/>
      <c r="K1594"/>
      <c r="L1594"/>
      <c r="M1594"/>
    </row>
    <row r="1595" spans="1:13" x14ac:dyDescent="0.2">
      <c r="A1595" t="s">
        <v>1735</v>
      </c>
      <c r="B1595"/>
      <c r="C1595"/>
      <c r="D1595"/>
      <c r="E1595"/>
      <c r="F1595"/>
      <c r="G1595"/>
      <c r="H1595"/>
      <c r="I1595"/>
      <c r="J1595"/>
      <c r="K1595"/>
      <c r="L1595"/>
      <c r="M1595"/>
    </row>
    <row r="1596" spans="1:13" x14ac:dyDescent="0.2">
      <c r="A1596" t="s">
        <v>1736</v>
      </c>
      <c r="B1596"/>
      <c r="C1596"/>
      <c r="D1596"/>
      <c r="E1596"/>
      <c r="F1596"/>
      <c r="G1596"/>
      <c r="H1596"/>
      <c r="I1596"/>
      <c r="J1596"/>
      <c r="K1596"/>
      <c r="L1596"/>
      <c r="M1596"/>
    </row>
    <row r="1597" spans="1:13" x14ac:dyDescent="0.2">
      <c r="A1597" t="s">
        <v>1737</v>
      </c>
      <c r="B1597"/>
      <c r="C1597"/>
      <c r="D1597"/>
      <c r="E1597"/>
      <c r="F1597"/>
      <c r="G1597"/>
      <c r="H1597"/>
      <c r="I1597"/>
      <c r="J1597"/>
      <c r="K1597"/>
      <c r="L1597"/>
      <c r="M1597"/>
    </row>
    <row r="1598" spans="1:13" x14ac:dyDescent="0.2">
      <c r="A1598" t="s">
        <v>1738</v>
      </c>
      <c r="B1598"/>
      <c r="C1598"/>
      <c r="D1598"/>
      <c r="E1598"/>
      <c r="F1598"/>
      <c r="G1598"/>
      <c r="H1598"/>
      <c r="I1598"/>
      <c r="J1598"/>
      <c r="K1598"/>
      <c r="L1598"/>
      <c r="M1598"/>
    </row>
    <row r="1599" spans="1:13" x14ac:dyDescent="0.2">
      <c r="A1599" t="s">
        <v>1739</v>
      </c>
      <c r="B1599"/>
      <c r="C1599"/>
      <c r="D1599"/>
      <c r="E1599"/>
      <c r="F1599"/>
      <c r="G1599"/>
      <c r="H1599"/>
      <c r="I1599"/>
      <c r="J1599"/>
      <c r="K1599"/>
      <c r="L1599"/>
      <c r="M1599"/>
    </row>
    <row r="1600" spans="1:13" x14ac:dyDescent="0.2">
      <c r="A1600" t="s">
        <v>1740</v>
      </c>
      <c r="B1600"/>
      <c r="C1600"/>
      <c r="D1600"/>
      <c r="E1600"/>
      <c r="F1600"/>
      <c r="G1600"/>
      <c r="H1600"/>
      <c r="I1600"/>
      <c r="J1600"/>
      <c r="K1600"/>
      <c r="L1600"/>
      <c r="M1600"/>
    </row>
    <row r="1601" spans="1:13" x14ac:dyDescent="0.2">
      <c r="A1601" t="s">
        <v>1741</v>
      </c>
      <c r="B1601"/>
      <c r="C1601"/>
      <c r="D1601"/>
      <c r="E1601"/>
      <c r="F1601"/>
      <c r="G1601"/>
      <c r="H1601"/>
      <c r="I1601"/>
      <c r="J1601"/>
      <c r="K1601"/>
      <c r="L1601"/>
      <c r="M1601"/>
    </row>
    <row r="1602" spans="1:13" x14ac:dyDescent="0.2">
      <c r="A1602" t="s">
        <v>1742</v>
      </c>
      <c r="B1602"/>
      <c r="C1602"/>
      <c r="D1602"/>
      <c r="E1602"/>
      <c r="F1602"/>
      <c r="G1602"/>
      <c r="H1602"/>
      <c r="I1602"/>
      <c r="J1602"/>
      <c r="K1602"/>
      <c r="L1602"/>
      <c r="M1602"/>
    </row>
    <row r="1603" spans="1:13" x14ac:dyDescent="0.2">
      <c r="A1603" t="s">
        <v>1743</v>
      </c>
      <c r="B1603"/>
      <c r="C1603"/>
      <c r="D1603"/>
      <c r="E1603"/>
      <c r="F1603"/>
      <c r="G1603"/>
      <c r="H1603"/>
      <c r="I1603"/>
      <c r="J1603"/>
      <c r="K1603"/>
      <c r="L1603"/>
      <c r="M1603"/>
    </row>
    <row r="1604" spans="1:13" x14ac:dyDescent="0.2">
      <c r="A1604" t="s">
        <v>1744</v>
      </c>
      <c r="B1604"/>
      <c r="C1604"/>
      <c r="D1604"/>
      <c r="E1604"/>
      <c r="F1604"/>
      <c r="G1604"/>
      <c r="H1604"/>
      <c r="I1604"/>
      <c r="J1604"/>
      <c r="K1604"/>
      <c r="L1604"/>
      <c r="M1604"/>
    </row>
    <row r="1605" spans="1:13" x14ac:dyDescent="0.2">
      <c r="A1605" t="s">
        <v>1745</v>
      </c>
      <c r="B1605"/>
      <c r="C1605"/>
      <c r="D1605"/>
      <c r="E1605"/>
      <c r="F1605"/>
      <c r="G1605"/>
      <c r="H1605"/>
      <c r="I1605"/>
      <c r="J1605"/>
      <c r="K1605"/>
      <c r="L1605"/>
      <c r="M1605"/>
    </row>
    <row r="1606" spans="1:13" x14ac:dyDescent="0.2">
      <c r="A1606" t="s">
        <v>1746</v>
      </c>
      <c r="B1606"/>
      <c r="C1606"/>
      <c r="D1606"/>
      <c r="E1606"/>
      <c r="F1606"/>
      <c r="G1606"/>
      <c r="H1606"/>
      <c r="I1606"/>
      <c r="J1606"/>
      <c r="K1606"/>
      <c r="L1606"/>
      <c r="M1606"/>
    </row>
    <row r="1607" spans="1:13" x14ac:dyDescent="0.2">
      <c r="A1607" t="s">
        <v>1747</v>
      </c>
      <c r="B1607"/>
      <c r="C1607"/>
      <c r="D1607"/>
      <c r="E1607"/>
      <c r="F1607"/>
      <c r="G1607"/>
      <c r="H1607"/>
      <c r="I1607"/>
      <c r="J1607"/>
      <c r="K1607"/>
      <c r="L1607"/>
      <c r="M1607"/>
    </row>
    <row r="1608" spans="1:13" x14ac:dyDescent="0.2">
      <c r="A1608" t="s">
        <v>1748</v>
      </c>
      <c r="B1608"/>
      <c r="C1608"/>
      <c r="D1608"/>
      <c r="E1608"/>
      <c r="F1608"/>
      <c r="G1608"/>
      <c r="H1608"/>
      <c r="I1608"/>
      <c r="J1608"/>
      <c r="K1608"/>
      <c r="L1608"/>
      <c r="M1608"/>
    </row>
    <row r="1609" spans="1:13" x14ac:dyDescent="0.2">
      <c r="A1609" t="s">
        <v>1749</v>
      </c>
      <c r="B1609"/>
      <c r="C1609"/>
      <c r="D1609"/>
      <c r="E1609"/>
      <c r="F1609"/>
      <c r="G1609"/>
      <c r="H1609"/>
      <c r="I1609"/>
      <c r="J1609"/>
      <c r="K1609"/>
      <c r="L1609"/>
      <c r="M1609"/>
    </row>
    <row r="1610" spans="1:13" x14ac:dyDescent="0.2">
      <c r="A1610" t="s">
        <v>1750</v>
      </c>
      <c r="B1610"/>
      <c r="C1610"/>
      <c r="D1610"/>
      <c r="E1610"/>
      <c r="F1610"/>
      <c r="G1610"/>
      <c r="H1610"/>
      <c r="I1610"/>
      <c r="J1610"/>
      <c r="K1610"/>
      <c r="L1610"/>
      <c r="M1610"/>
    </row>
    <row r="1611" spans="1:13" x14ac:dyDescent="0.2">
      <c r="A1611" t="s">
        <v>1751</v>
      </c>
      <c r="B1611"/>
      <c r="C1611"/>
      <c r="D1611"/>
      <c r="E1611"/>
      <c r="F1611"/>
      <c r="G1611"/>
      <c r="H1611"/>
      <c r="I1611"/>
      <c r="J1611"/>
      <c r="K1611"/>
      <c r="L1611"/>
      <c r="M1611"/>
    </row>
    <row r="1612" spans="1:13" x14ac:dyDescent="0.2">
      <c r="A1612" t="s">
        <v>1752</v>
      </c>
      <c r="B1612"/>
      <c r="C1612"/>
      <c r="D1612"/>
      <c r="E1612"/>
      <c r="F1612"/>
      <c r="G1612"/>
      <c r="H1612"/>
      <c r="I1612"/>
      <c r="J1612"/>
      <c r="K1612"/>
      <c r="L1612"/>
      <c r="M1612"/>
    </row>
    <row r="1613" spans="1:13" x14ac:dyDescent="0.2">
      <c r="A1613" t="s">
        <v>1753</v>
      </c>
      <c r="B1613"/>
      <c r="C1613"/>
      <c r="D1613"/>
      <c r="E1613"/>
      <c r="F1613"/>
      <c r="G1613"/>
      <c r="H1613"/>
      <c r="I1613"/>
      <c r="J1613"/>
      <c r="K1613"/>
      <c r="L1613"/>
      <c r="M1613"/>
    </row>
    <row r="1614" spans="1:13" x14ac:dyDescent="0.2">
      <c r="A1614" t="s">
        <v>1754</v>
      </c>
      <c r="B1614"/>
      <c r="C1614"/>
      <c r="D1614"/>
      <c r="E1614"/>
      <c r="F1614"/>
      <c r="G1614"/>
      <c r="H1614"/>
      <c r="I1614"/>
      <c r="J1614"/>
      <c r="K1614"/>
      <c r="L1614"/>
      <c r="M1614"/>
    </row>
    <row r="1615" spans="1:13" x14ac:dyDescent="0.2">
      <c r="A1615" t="s">
        <v>1755</v>
      </c>
      <c r="B1615"/>
      <c r="C1615"/>
      <c r="D1615"/>
      <c r="E1615"/>
      <c r="F1615"/>
      <c r="G1615"/>
      <c r="H1615"/>
      <c r="I1615"/>
      <c r="J1615"/>
      <c r="K1615"/>
      <c r="L1615"/>
      <c r="M1615"/>
    </row>
    <row r="1616" spans="1:13" x14ac:dyDescent="0.2">
      <c r="A1616" t="s">
        <v>1756</v>
      </c>
      <c r="B1616"/>
      <c r="C1616"/>
      <c r="D1616"/>
      <c r="E1616"/>
      <c r="F1616"/>
      <c r="G1616"/>
      <c r="H1616"/>
      <c r="I1616"/>
      <c r="J1616"/>
      <c r="K1616"/>
      <c r="L1616"/>
      <c r="M1616"/>
    </row>
    <row r="1617" spans="1:13" x14ac:dyDescent="0.2">
      <c r="A1617" t="s">
        <v>1757</v>
      </c>
      <c r="B1617"/>
      <c r="C1617"/>
      <c r="D1617"/>
      <c r="E1617"/>
      <c r="F1617"/>
      <c r="G1617"/>
      <c r="H1617"/>
      <c r="I1617"/>
      <c r="J1617"/>
      <c r="K1617"/>
      <c r="L1617"/>
      <c r="M1617"/>
    </row>
    <row r="1618" spans="1:13" x14ac:dyDescent="0.2">
      <c r="A1618" t="s">
        <v>1758</v>
      </c>
      <c r="B1618"/>
      <c r="C1618"/>
      <c r="D1618"/>
      <c r="E1618"/>
      <c r="F1618"/>
      <c r="G1618"/>
      <c r="H1618"/>
      <c r="I1618"/>
      <c r="J1618"/>
      <c r="K1618"/>
      <c r="L1618"/>
      <c r="M1618"/>
    </row>
    <row r="1619" spans="1:13" x14ac:dyDescent="0.2">
      <c r="A1619" t="s">
        <v>1759</v>
      </c>
      <c r="B1619"/>
      <c r="C1619"/>
      <c r="D1619"/>
      <c r="E1619"/>
      <c r="F1619"/>
      <c r="G1619"/>
      <c r="H1619"/>
      <c r="I1619"/>
      <c r="J1619"/>
      <c r="K1619"/>
      <c r="L1619"/>
      <c r="M1619"/>
    </row>
    <row r="1620" spans="1:13" x14ac:dyDescent="0.2">
      <c r="A1620" t="s">
        <v>1760</v>
      </c>
      <c r="B1620"/>
      <c r="C1620"/>
      <c r="D1620"/>
      <c r="E1620"/>
      <c r="F1620"/>
      <c r="G1620"/>
      <c r="H1620"/>
      <c r="I1620"/>
      <c r="J1620"/>
      <c r="K1620"/>
      <c r="L1620"/>
      <c r="M1620"/>
    </row>
    <row r="1621" spans="1:13" x14ac:dyDescent="0.2">
      <c r="A1621" t="s">
        <v>1761</v>
      </c>
      <c r="B1621"/>
      <c r="C1621"/>
      <c r="D1621"/>
      <c r="E1621"/>
      <c r="F1621"/>
      <c r="G1621"/>
      <c r="H1621"/>
      <c r="I1621"/>
      <c r="J1621"/>
      <c r="K1621"/>
      <c r="L1621"/>
      <c r="M1621"/>
    </row>
    <row r="1622" spans="1:13" x14ac:dyDescent="0.2">
      <c r="A1622" t="s">
        <v>1762</v>
      </c>
      <c r="B1622"/>
      <c r="C1622"/>
      <c r="D1622"/>
      <c r="E1622"/>
      <c r="F1622"/>
      <c r="G1622"/>
      <c r="H1622"/>
      <c r="I1622"/>
      <c r="J1622"/>
      <c r="K1622"/>
      <c r="L1622"/>
      <c r="M1622"/>
    </row>
    <row r="1623" spans="1:13" x14ac:dyDescent="0.2">
      <c r="A1623" t="s">
        <v>1763</v>
      </c>
      <c r="B1623"/>
      <c r="C1623"/>
      <c r="D1623"/>
      <c r="E1623"/>
      <c r="F1623"/>
      <c r="G1623"/>
      <c r="H1623"/>
      <c r="I1623"/>
      <c r="J1623"/>
      <c r="K1623"/>
      <c r="L1623"/>
      <c r="M1623"/>
    </row>
    <row r="1624" spans="1:13" x14ac:dyDescent="0.2">
      <c r="A1624" t="s">
        <v>1764</v>
      </c>
      <c r="B1624"/>
      <c r="C1624"/>
      <c r="D1624"/>
      <c r="E1624"/>
      <c r="F1624"/>
      <c r="G1624"/>
      <c r="H1624"/>
      <c r="I1624"/>
      <c r="J1624"/>
      <c r="K1624"/>
      <c r="L1624"/>
      <c r="M1624"/>
    </row>
    <row r="1625" spans="1:13" x14ac:dyDescent="0.2">
      <c r="A1625" t="s">
        <v>1765</v>
      </c>
      <c r="B1625"/>
      <c r="C1625"/>
      <c r="D1625"/>
      <c r="E1625"/>
      <c r="F1625"/>
      <c r="G1625"/>
      <c r="H1625"/>
      <c r="I1625"/>
      <c r="J1625"/>
      <c r="K1625"/>
      <c r="L1625"/>
      <c r="M1625"/>
    </row>
    <row r="1626" spans="1:13" x14ac:dyDescent="0.2">
      <c r="A1626" t="s">
        <v>1766</v>
      </c>
      <c r="B1626"/>
      <c r="C1626"/>
      <c r="D1626"/>
      <c r="E1626"/>
      <c r="F1626"/>
      <c r="G1626"/>
      <c r="H1626"/>
      <c r="I1626"/>
      <c r="J1626"/>
      <c r="K1626"/>
      <c r="L1626"/>
      <c r="M1626"/>
    </row>
    <row r="1627" spans="1:13" x14ac:dyDescent="0.2">
      <c r="A1627" t="s">
        <v>1767</v>
      </c>
      <c r="B1627"/>
      <c r="C1627"/>
      <c r="D1627"/>
      <c r="E1627"/>
      <c r="F1627"/>
      <c r="G1627"/>
      <c r="H1627"/>
      <c r="I1627"/>
      <c r="J1627"/>
      <c r="K1627"/>
      <c r="L1627"/>
      <c r="M1627"/>
    </row>
    <row r="1628" spans="1:13" x14ac:dyDescent="0.2">
      <c r="A1628" t="s">
        <v>1768</v>
      </c>
      <c r="B1628"/>
      <c r="C1628"/>
      <c r="D1628"/>
      <c r="E1628"/>
      <c r="F1628"/>
      <c r="G1628"/>
      <c r="H1628"/>
      <c r="I1628"/>
      <c r="J1628"/>
      <c r="K1628"/>
      <c r="L1628"/>
      <c r="M1628"/>
    </row>
    <row r="1629" spans="1:13" x14ac:dyDescent="0.2">
      <c r="A1629" t="s">
        <v>1769</v>
      </c>
      <c r="B1629"/>
      <c r="C1629"/>
      <c r="D1629"/>
      <c r="E1629"/>
      <c r="F1629"/>
      <c r="G1629"/>
      <c r="H1629"/>
      <c r="I1629"/>
      <c r="J1629"/>
      <c r="K1629"/>
      <c r="L1629"/>
      <c r="M1629"/>
    </row>
    <row r="1630" spans="1:13" x14ac:dyDescent="0.2">
      <c r="A1630" t="s">
        <v>1770</v>
      </c>
      <c r="B1630"/>
      <c r="C1630"/>
      <c r="D1630"/>
      <c r="E1630"/>
      <c r="F1630"/>
      <c r="G1630"/>
      <c r="H1630"/>
      <c r="I1630"/>
      <c r="J1630"/>
      <c r="K1630"/>
      <c r="L1630"/>
      <c r="M1630"/>
    </row>
    <row r="1631" spans="1:13" x14ac:dyDescent="0.2">
      <c r="A1631" t="s">
        <v>1771</v>
      </c>
      <c r="B1631"/>
      <c r="C1631"/>
      <c r="D1631"/>
      <c r="E1631"/>
      <c r="F1631"/>
      <c r="G1631"/>
      <c r="H1631"/>
      <c r="I1631"/>
      <c r="J1631"/>
      <c r="K1631"/>
      <c r="L1631"/>
      <c r="M1631"/>
    </row>
    <row r="1632" spans="1:13" x14ac:dyDescent="0.2">
      <c r="A1632" t="s">
        <v>1772</v>
      </c>
      <c r="B1632"/>
      <c r="C1632"/>
      <c r="D1632"/>
      <c r="E1632"/>
      <c r="F1632"/>
      <c r="G1632"/>
      <c r="H1632"/>
      <c r="I1632"/>
      <c r="J1632"/>
      <c r="K1632"/>
      <c r="L1632"/>
      <c r="M1632"/>
    </row>
    <row r="1633" spans="1:13" x14ac:dyDescent="0.2">
      <c r="A1633" t="s">
        <v>1773</v>
      </c>
      <c r="B1633"/>
      <c r="C1633"/>
      <c r="D1633"/>
      <c r="E1633"/>
      <c r="F1633"/>
      <c r="G1633"/>
      <c r="H1633"/>
      <c r="I1633"/>
      <c r="J1633"/>
      <c r="K1633"/>
      <c r="L1633"/>
      <c r="M1633"/>
    </row>
    <row r="1634" spans="1:13" x14ac:dyDescent="0.2">
      <c r="A1634" t="s">
        <v>1774</v>
      </c>
      <c r="B1634"/>
      <c r="C1634"/>
      <c r="D1634"/>
      <c r="E1634"/>
      <c r="F1634"/>
      <c r="G1634"/>
      <c r="H1634"/>
      <c r="I1634"/>
      <c r="J1634"/>
      <c r="K1634"/>
      <c r="L1634"/>
      <c r="M1634"/>
    </row>
    <row r="1635" spans="1:13" x14ac:dyDescent="0.2">
      <c r="A1635" t="s">
        <v>1775</v>
      </c>
      <c r="B1635"/>
      <c r="C1635"/>
      <c r="D1635"/>
      <c r="E1635"/>
      <c r="F1635"/>
      <c r="G1635"/>
      <c r="H1635"/>
      <c r="I1635"/>
      <c r="J1635"/>
      <c r="K1635"/>
      <c r="L1635"/>
      <c r="M1635"/>
    </row>
    <row r="1636" spans="1:13" x14ac:dyDescent="0.2">
      <c r="A1636" t="s">
        <v>1776</v>
      </c>
      <c r="B1636"/>
      <c r="C1636"/>
      <c r="D1636"/>
      <c r="E1636"/>
      <c r="F1636"/>
      <c r="G1636"/>
      <c r="H1636"/>
      <c r="I1636"/>
      <c r="J1636"/>
      <c r="K1636"/>
      <c r="L1636"/>
      <c r="M1636"/>
    </row>
    <row r="1637" spans="1:13" x14ac:dyDescent="0.2">
      <c r="A1637" t="s">
        <v>1777</v>
      </c>
      <c r="B1637"/>
      <c r="C1637"/>
      <c r="D1637"/>
      <c r="E1637"/>
      <c r="F1637"/>
      <c r="G1637"/>
      <c r="H1637"/>
      <c r="I1637"/>
      <c r="J1637"/>
      <c r="K1637"/>
      <c r="L1637"/>
      <c r="M1637"/>
    </row>
    <row r="1638" spans="1:13" x14ac:dyDescent="0.2">
      <c r="A1638" t="s">
        <v>1778</v>
      </c>
      <c r="B1638"/>
      <c r="C1638"/>
      <c r="D1638"/>
      <c r="E1638"/>
      <c r="F1638"/>
      <c r="G1638"/>
      <c r="H1638"/>
      <c r="I1638"/>
      <c r="J1638"/>
      <c r="K1638"/>
      <c r="L1638"/>
      <c r="M1638"/>
    </row>
    <row r="1639" spans="1:13" x14ac:dyDescent="0.2">
      <c r="A1639" t="s">
        <v>1779</v>
      </c>
      <c r="B1639"/>
      <c r="C1639"/>
      <c r="D1639"/>
      <c r="E1639"/>
      <c r="F1639"/>
      <c r="G1639"/>
      <c r="H1639"/>
      <c r="I1639"/>
      <c r="J1639"/>
      <c r="K1639"/>
      <c r="L1639"/>
      <c r="M1639"/>
    </row>
    <row r="1640" spans="1:13" x14ac:dyDescent="0.2">
      <c r="A1640" t="s">
        <v>1780</v>
      </c>
      <c r="B1640"/>
      <c r="C1640"/>
      <c r="D1640"/>
      <c r="E1640"/>
      <c r="F1640"/>
      <c r="G1640"/>
      <c r="H1640"/>
      <c r="I1640"/>
      <c r="J1640"/>
      <c r="K1640"/>
      <c r="L1640"/>
      <c r="M1640"/>
    </row>
    <row r="1641" spans="1:13" x14ac:dyDescent="0.2">
      <c r="A1641" t="s">
        <v>1781</v>
      </c>
      <c r="B1641"/>
      <c r="C1641"/>
      <c r="D1641"/>
      <c r="E1641"/>
      <c r="F1641"/>
      <c r="G1641"/>
      <c r="H1641"/>
      <c r="I1641"/>
      <c r="J1641"/>
      <c r="K1641"/>
      <c r="L1641"/>
      <c r="M1641"/>
    </row>
    <row r="1642" spans="1:13" x14ac:dyDescent="0.2">
      <c r="A1642" t="s">
        <v>1782</v>
      </c>
      <c r="B1642"/>
      <c r="C1642"/>
      <c r="D1642"/>
      <c r="E1642"/>
      <c r="F1642"/>
      <c r="G1642"/>
      <c r="H1642"/>
      <c r="I1642"/>
      <c r="J1642"/>
      <c r="K1642"/>
      <c r="L1642"/>
      <c r="M1642"/>
    </row>
    <row r="1643" spans="1:13" x14ac:dyDescent="0.2">
      <c r="A1643" t="s">
        <v>1783</v>
      </c>
      <c r="B1643"/>
      <c r="C1643"/>
      <c r="D1643"/>
      <c r="E1643"/>
      <c r="F1643"/>
      <c r="G1643"/>
      <c r="H1643"/>
      <c r="I1643"/>
      <c r="J1643"/>
      <c r="K1643"/>
      <c r="L1643"/>
      <c r="M1643"/>
    </row>
    <row r="1644" spans="1:13" x14ac:dyDescent="0.2">
      <c r="A1644" t="s">
        <v>1784</v>
      </c>
      <c r="B1644"/>
      <c r="C1644"/>
      <c r="D1644"/>
      <c r="E1644"/>
      <c r="F1644"/>
      <c r="G1644"/>
      <c r="H1644"/>
      <c r="I1644"/>
      <c r="J1644"/>
      <c r="K1644"/>
      <c r="L1644"/>
      <c r="M1644"/>
    </row>
    <row r="1645" spans="1:13" x14ac:dyDescent="0.2">
      <c r="A1645" t="s">
        <v>1785</v>
      </c>
      <c r="B1645"/>
      <c r="C1645"/>
      <c r="D1645"/>
      <c r="E1645"/>
      <c r="F1645"/>
      <c r="G1645"/>
      <c r="H1645"/>
      <c r="I1645"/>
      <c r="J1645"/>
      <c r="K1645"/>
      <c r="L1645"/>
      <c r="M1645"/>
    </row>
    <row r="1646" spans="1:13" x14ac:dyDescent="0.2">
      <c r="A1646" t="s">
        <v>1786</v>
      </c>
      <c r="B1646"/>
      <c r="C1646"/>
      <c r="D1646"/>
      <c r="E1646"/>
      <c r="F1646"/>
      <c r="G1646"/>
      <c r="H1646"/>
      <c r="I1646"/>
      <c r="J1646"/>
      <c r="K1646"/>
      <c r="L1646"/>
      <c r="M1646"/>
    </row>
    <row r="1647" spans="1:13" x14ac:dyDescent="0.2">
      <c r="A1647" t="s">
        <v>1787</v>
      </c>
      <c r="B1647"/>
      <c r="C1647"/>
      <c r="D1647"/>
      <c r="E1647"/>
      <c r="F1647"/>
      <c r="G1647"/>
      <c r="H1647"/>
      <c r="I1647"/>
      <c r="J1647"/>
      <c r="K1647"/>
      <c r="L1647"/>
      <c r="M1647"/>
    </row>
    <row r="1648" spans="1:13" x14ac:dyDescent="0.2">
      <c r="A1648" t="s">
        <v>1788</v>
      </c>
      <c r="B1648"/>
      <c r="C1648"/>
      <c r="D1648"/>
      <c r="E1648"/>
      <c r="F1648"/>
      <c r="G1648"/>
      <c r="H1648"/>
      <c r="I1648"/>
      <c r="J1648"/>
      <c r="K1648"/>
      <c r="L1648"/>
      <c r="M1648"/>
    </row>
    <row r="1649" spans="1:13" x14ac:dyDescent="0.2">
      <c r="A1649" t="s">
        <v>1789</v>
      </c>
      <c r="B1649"/>
      <c r="C1649"/>
      <c r="D1649"/>
      <c r="E1649"/>
      <c r="F1649"/>
      <c r="G1649"/>
      <c r="H1649"/>
      <c r="I1649"/>
      <c r="J1649"/>
      <c r="K1649"/>
      <c r="L1649"/>
      <c r="M1649"/>
    </row>
    <row r="1650" spans="1:13" x14ac:dyDescent="0.2">
      <c r="A1650" t="s">
        <v>1790</v>
      </c>
      <c r="B1650"/>
      <c r="C1650"/>
      <c r="D1650"/>
      <c r="E1650"/>
      <c r="F1650"/>
      <c r="G1650"/>
      <c r="H1650"/>
      <c r="I1650"/>
      <c r="J1650"/>
      <c r="K1650"/>
      <c r="L1650"/>
      <c r="M1650"/>
    </row>
    <row r="1651" spans="1:13" x14ac:dyDescent="0.2">
      <c r="A1651" t="s">
        <v>1791</v>
      </c>
      <c r="B1651"/>
      <c r="C1651"/>
      <c r="D1651"/>
      <c r="E1651"/>
      <c r="F1651"/>
      <c r="G1651"/>
      <c r="H1651"/>
      <c r="I1651"/>
      <c r="J1651"/>
      <c r="K1651"/>
      <c r="L1651"/>
      <c r="M1651"/>
    </row>
    <row r="1652" spans="1:13" x14ac:dyDescent="0.2">
      <c r="A1652" t="s">
        <v>1792</v>
      </c>
      <c r="B1652"/>
      <c r="C1652"/>
      <c r="D1652"/>
      <c r="E1652"/>
      <c r="F1652"/>
      <c r="G1652"/>
      <c r="H1652"/>
      <c r="I1652"/>
      <c r="J1652"/>
      <c r="K1652"/>
      <c r="L1652"/>
      <c r="M1652"/>
    </row>
    <row r="1653" spans="1:13" x14ac:dyDescent="0.2">
      <c r="A1653" t="s">
        <v>1793</v>
      </c>
      <c r="B1653"/>
      <c r="C1653"/>
      <c r="D1653"/>
      <c r="E1653"/>
      <c r="F1653"/>
      <c r="G1653"/>
      <c r="H1653"/>
      <c r="I1653"/>
      <c r="J1653"/>
      <c r="K1653"/>
      <c r="L1653"/>
      <c r="M1653"/>
    </row>
    <row r="1654" spans="1:13" x14ac:dyDescent="0.2">
      <c r="A1654" t="s">
        <v>1794</v>
      </c>
      <c r="B1654"/>
      <c r="C1654"/>
      <c r="D1654"/>
      <c r="E1654"/>
      <c r="F1654"/>
      <c r="G1654"/>
      <c r="H1654"/>
      <c r="I1654"/>
      <c r="J1654"/>
      <c r="K1654"/>
      <c r="L1654"/>
      <c r="M1654"/>
    </row>
    <row r="1655" spans="1:13" x14ac:dyDescent="0.2">
      <c r="A1655" t="s">
        <v>1795</v>
      </c>
      <c r="B1655"/>
      <c r="C1655"/>
      <c r="D1655"/>
      <c r="E1655"/>
      <c r="F1655"/>
      <c r="G1655"/>
      <c r="H1655"/>
      <c r="I1655"/>
      <c r="J1655"/>
      <c r="K1655"/>
      <c r="L1655"/>
      <c r="M1655"/>
    </row>
    <row r="1656" spans="1:13" x14ac:dyDescent="0.2">
      <c r="A1656" t="s">
        <v>1796</v>
      </c>
      <c r="B1656"/>
      <c r="C1656"/>
      <c r="D1656"/>
      <c r="E1656"/>
      <c r="F1656"/>
      <c r="G1656"/>
      <c r="H1656"/>
      <c r="I1656"/>
      <c r="J1656"/>
      <c r="K1656"/>
      <c r="L1656"/>
      <c r="M1656"/>
    </row>
    <row r="1657" spans="1:13" x14ac:dyDescent="0.2">
      <c r="A1657" t="s">
        <v>1797</v>
      </c>
      <c r="B1657"/>
      <c r="C1657"/>
      <c r="D1657"/>
      <c r="E1657"/>
      <c r="F1657"/>
      <c r="G1657"/>
      <c r="H1657"/>
      <c r="I1657"/>
      <c r="J1657"/>
      <c r="K1657"/>
      <c r="L1657"/>
      <c r="M1657"/>
    </row>
    <row r="1658" spans="1:13" x14ac:dyDescent="0.2">
      <c r="A1658" t="s">
        <v>1798</v>
      </c>
      <c r="B1658"/>
      <c r="C1658"/>
      <c r="D1658"/>
      <c r="E1658"/>
      <c r="F1658"/>
      <c r="G1658"/>
      <c r="H1658"/>
      <c r="I1658"/>
      <c r="J1658"/>
      <c r="K1658"/>
      <c r="L1658"/>
      <c r="M1658"/>
    </row>
    <row r="1659" spans="1:13" x14ac:dyDescent="0.2">
      <c r="A1659" t="s">
        <v>1799</v>
      </c>
      <c r="B1659"/>
      <c r="C1659"/>
      <c r="D1659"/>
      <c r="E1659"/>
      <c r="F1659"/>
      <c r="G1659"/>
      <c r="H1659"/>
      <c r="I1659"/>
      <c r="J1659"/>
      <c r="K1659"/>
      <c r="L1659"/>
      <c r="M1659"/>
    </row>
    <row r="1660" spans="1:13" x14ac:dyDescent="0.2">
      <c r="A1660" t="s">
        <v>1800</v>
      </c>
      <c r="B1660"/>
      <c r="C1660"/>
      <c r="D1660"/>
      <c r="E1660"/>
      <c r="F1660"/>
      <c r="G1660"/>
      <c r="H1660"/>
      <c r="I1660"/>
      <c r="J1660"/>
      <c r="K1660"/>
      <c r="L1660"/>
      <c r="M1660"/>
    </row>
    <row r="1661" spans="1:13" x14ac:dyDescent="0.2">
      <c r="A1661" t="s">
        <v>1801</v>
      </c>
      <c r="B1661"/>
      <c r="C1661"/>
      <c r="D1661"/>
      <c r="E1661"/>
      <c r="F1661"/>
      <c r="G1661"/>
      <c r="H1661"/>
      <c r="I1661"/>
      <c r="J1661"/>
      <c r="K1661"/>
      <c r="L1661"/>
      <c r="M1661"/>
    </row>
    <row r="1662" spans="1:13" x14ac:dyDescent="0.2">
      <c r="A1662" t="s">
        <v>1802</v>
      </c>
      <c r="B1662"/>
      <c r="C1662"/>
      <c r="D1662"/>
      <c r="E1662"/>
      <c r="F1662"/>
      <c r="G1662"/>
      <c r="H1662"/>
      <c r="I1662"/>
      <c r="J1662"/>
      <c r="K1662"/>
      <c r="L1662"/>
      <c r="M1662"/>
    </row>
    <row r="1663" spans="1:13" x14ac:dyDescent="0.2">
      <c r="A1663" t="s">
        <v>1803</v>
      </c>
      <c r="B1663"/>
      <c r="C1663"/>
      <c r="D1663"/>
      <c r="E1663"/>
      <c r="F1663"/>
      <c r="G1663"/>
      <c r="H1663"/>
      <c r="I1663"/>
      <c r="J1663"/>
      <c r="K1663"/>
      <c r="L1663"/>
      <c r="M1663"/>
    </row>
    <row r="1664" spans="1:13" x14ac:dyDescent="0.2">
      <c r="A1664" t="s">
        <v>1804</v>
      </c>
      <c r="B1664"/>
      <c r="C1664"/>
      <c r="D1664"/>
      <c r="E1664"/>
      <c r="F1664"/>
      <c r="G1664"/>
      <c r="H1664"/>
      <c r="I1664"/>
      <c r="J1664"/>
      <c r="K1664"/>
      <c r="L1664"/>
      <c r="M1664"/>
    </row>
    <row r="1665" spans="1:13" x14ac:dyDescent="0.2">
      <c r="A1665" t="s">
        <v>1805</v>
      </c>
      <c r="B1665"/>
      <c r="C1665"/>
      <c r="D1665"/>
      <c r="E1665"/>
      <c r="F1665"/>
      <c r="G1665"/>
      <c r="H1665"/>
      <c r="I1665"/>
      <c r="J1665"/>
      <c r="K1665"/>
      <c r="L1665"/>
      <c r="M1665"/>
    </row>
    <row r="1666" spans="1:13" x14ac:dyDescent="0.2">
      <c r="A1666" t="s">
        <v>1806</v>
      </c>
      <c r="B1666"/>
      <c r="C1666"/>
      <c r="D1666"/>
      <c r="E1666"/>
      <c r="F1666"/>
      <c r="G1666"/>
      <c r="H1666"/>
      <c r="I1666"/>
      <c r="J1666"/>
      <c r="K1666"/>
      <c r="L1666"/>
      <c r="M1666"/>
    </row>
    <row r="1667" spans="1:13" x14ac:dyDescent="0.2">
      <c r="A1667" t="s">
        <v>1807</v>
      </c>
      <c r="B1667"/>
      <c r="C1667"/>
      <c r="D1667"/>
      <c r="E1667"/>
      <c r="F1667"/>
      <c r="G1667"/>
      <c r="H1667"/>
      <c r="I1667"/>
      <c r="J1667"/>
      <c r="K1667"/>
      <c r="L1667"/>
      <c r="M1667"/>
    </row>
    <row r="1668" spans="1:13" x14ac:dyDescent="0.2">
      <c r="A1668" t="s">
        <v>1808</v>
      </c>
      <c r="B1668"/>
      <c r="C1668"/>
      <c r="D1668"/>
      <c r="E1668"/>
      <c r="F1668"/>
      <c r="G1668"/>
      <c r="H1668"/>
      <c r="I1668"/>
      <c r="J1668"/>
      <c r="K1668"/>
      <c r="L1668"/>
      <c r="M1668"/>
    </row>
    <row r="1669" spans="1:13" x14ac:dyDescent="0.2">
      <c r="A1669" t="s">
        <v>1809</v>
      </c>
      <c r="B1669"/>
      <c r="C1669"/>
      <c r="D1669"/>
      <c r="E1669"/>
      <c r="F1669"/>
      <c r="G1669"/>
      <c r="H1669"/>
      <c r="I1669"/>
      <c r="J1669"/>
      <c r="K1669"/>
      <c r="L1669"/>
      <c r="M1669"/>
    </row>
    <row r="1670" spans="1:13" x14ac:dyDescent="0.2">
      <c r="A1670" t="s">
        <v>1810</v>
      </c>
      <c r="B1670"/>
      <c r="C1670"/>
      <c r="D1670"/>
      <c r="E1670"/>
      <c r="F1670"/>
      <c r="G1670"/>
      <c r="H1670"/>
      <c r="I1670"/>
      <c r="J1670"/>
      <c r="K1670"/>
      <c r="L1670"/>
      <c r="M1670"/>
    </row>
    <row r="1671" spans="1:13" x14ac:dyDescent="0.2">
      <c r="A1671" t="s">
        <v>1811</v>
      </c>
      <c r="B1671"/>
      <c r="C1671"/>
      <c r="D1671"/>
      <c r="E1671"/>
      <c r="F1671"/>
      <c r="G1671"/>
      <c r="H1671"/>
      <c r="I1671"/>
      <c r="J1671"/>
      <c r="K1671"/>
      <c r="L1671"/>
      <c r="M1671"/>
    </row>
    <row r="1672" spans="1:13" x14ac:dyDescent="0.2">
      <c r="A1672" t="s">
        <v>1812</v>
      </c>
      <c r="B1672"/>
      <c r="C1672"/>
      <c r="D1672"/>
      <c r="E1672"/>
      <c r="F1672"/>
      <c r="G1672"/>
      <c r="H1672"/>
      <c r="I1672"/>
      <c r="J1672"/>
      <c r="K1672"/>
      <c r="L1672"/>
      <c r="M1672"/>
    </row>
    <row r="1673" spans="1:13" x14ac:dyDescent="0.2">
      <c r="A1673" t="s">
        <v>1813</v>
      </c>
      <c r="B1673"/>
      <c r="C1673"/>
      <c r="D1673"/>
      <c r="E1673"/>
      <c r="F1673"/>
      <c r="G1673"/>
      <c r="H1673"/>
      <c r="I1673"/>
      <c r="J1673"/>
      <c r="K1673"/>
      <c r="L1673"/>
      <c r="M1673"/>
    </row>
    <row r="1674" spans="1:13" x14ac:dyDescent="0.2">
      <c r="A1674" t="s">
        <v>1814</v>
      </c>
      <c r="B1674"/>
      <c r="C1674"/>
      <c r="D1674"/>
      <c r="E1674"/>
      <c r="F1674"/>
      <c r="G1674"/>
      <c r="H1674"/>
      <c r="I1674"/>
      <c r="J1674"/>
      <c r="K1674"/>
      <c r="L1674"/>
      <c r="M1674"/>
    </row>
    <row r="1675" spans="1:13" x14ac:dyDescent="0.2">
      <c r="A1675" t="s">
        <v>1815</v>
      </c>
      <c r="B1675"/>
      <c r="C1675"/>
      <c r="D1675"/>
      <c r="E1675"/>
      <c r="F1675"/>
      <c r="G1675"/>
      <c r="H1675"/>
      <c r="I1675"/>
      <c r="J1675"/>
      <c r="K1675"/>
      <c r="L1675"/>
      <c r="M1675"/>
    </row>
    <row r="1676" spans="1:13" x14ac:dyDescent="0.2">
      <c r="A1676" t="s">
        <v>1816</v>
      </c>
      <c r="B1676"/>
      <c r="C1676"/>
      <c r="D1676"/>
      <c r="E1676"/>
      <c r="F1676"/>
      <c r="G1676"/>
      <c r="H1676"/>
      <c r="I1676"/>
      <c r="J1676"/>
      <c r="K1676"/>
      <c r="L1676"/>
      <c r="M1676"/>
    </row>
    <row r="1677" spans="1:13" x14ac:dyDescent="0.2">
      <c r="A1677" t="s">
        <v>1817</v>
      </c>
      <c r="B1677"/>
      <c r="C1677"/>
      <c r="D1677"/>
      <c r="E1677"/>
      <c r="F1677"/>
      <c r="G1677"/>
      <c r="H1677"/>
      <c r="I1677"/>
      <c r="J1677"/>
      <c r="K1677"/>
      <c r="L1677"/>
      <c r="M1677"/>
    </row>
    <row r="1678" spans="1:13" x14ac:dyDescent="0.2">
      <c r="A1678" t="s">
        <v>1818</v>
      </c>
      <c r="B1678"/>
      <c r="C1678"/>
      <c r="D1678"/>
      <c r="E1678"/>
      <c r="F1678"/>
      <c r="G1678"/>
      <c r="H1678"/>
      <c r="I1678"/>
      <c r="J1678"/>
      <c r="K1678"/>
      <c r="L1678"/>
      <c r="M1678"/>
    </row>
    <row r="1679" spans="1:13" x14ac:dyDescent="0.2">
      <c r="A1679" t="s">
        <v>1819</v>
      </c>
      <c r="B1679"/>
      <c r="C1679"/>
      <c r="D1679"/>
      <c r="E1679"/>
      <c r="F1679"/>
      <c r="G1679"/>
      <c r="H1679"/>
      <c r="I1679"/>
      <c r="J1679"/>
      <c r="K1679"/>
      <c r="L1679"/>
      <c r="M1679"/>
    </row>
    <row r="1680" spans="1:13" x14ac:dyDescent="0.2">
      <c r="A1680" t="s">
        <v>1820</v>
      </c>
      <c r="B1680"/>
      <c r="C1680"/>
      <c r="D1680"/>
      <c r="E1680"/>
      <c r="F1680"/>
      <c r="G1680"/>
      <c r="H1680"/>
      <c r="I1680"/>
      <c r="J1680"/>
      <c r="K1680"/>
      <c r="L1680"/>
      <c r="M1680"/>
    </row>
    <row r="1681" spans="1:13" x14ac:dyDescent="0.2">
      <c r="A1681" t="s">
        <v>1821</v>
      </c>
      <c r="B1681"/>
      <c r="C1681"/>
      <c r="D1681"/>
      <c r="E1681"/>
      <c r="F1681"/>
      <c r="G1681"/>
      <c r="H1681"/>
      <c r="I1681"/>
      <c r="J1681"/>
      <c r="K1681"/>
      <c r="L1681"/>
      <c r="M1681"/>
    </row>
    <row r="1682" spans="1:13" x14ac:dyDescent="0.2">
      <c r="A1682" t="s">
        <v>1822</v>
      </c>
      <c r="B1682"/>
      <c r="C1682"/>
      <c r="D1682"/>
      <c r="E1682"/>
      <c r="F1682"/>
      <c r="G1682"/>
      <c r="H1682"/>
      <c r="I1682"/>
      <c r="J1682"/>
      <c r="K1682"/>
      <c r="L1682"/>
      <c r="M1682"/>
    </row>
    <row r="1683" spans="1:13" x14ac:dyDescent="0.2">
      <c r="A1683" t="s">
        <v>1823</v>
      </c>
      <c r="B1683"/>
      <c r="C1683"/>
      <c r="D1683"/>
      <c r="E1683"/>
      <c r="F1683"/>
      <c r="G1683"/>
      <c r="H1683"/>
      <c r="I1683"/>
      <c r="J1683"/>
      <c r="K1683"/>
      <c r="L1683"/>
      <c r="M1683"/>
    </row>
    <row r="1684" spans="1:13" x14ac:dyDescent="0.2">
      <c r="A1684" t="s">
        <v>1824</v>
      </c>
      <c r="B1684"/>
      <c r="C1684"/>
      <c r="D1684"/>
      <c r="E1684"/>
      <c r="F1684"/>
      <c r="G1684"/>
      <c r="H1684"/>
      <c r="I1684"/>
      <c r="J1684"/>
      <c r="K1684"/>
      <c r="L1684"/>
      <c r="M1684"/>
    </row>
    <row r="1685" spans="1:13" x14ac:dyDescent="0.2">
      <c r="A1685" t="s">
        <v>1825</v>
      </c>
      <c r="B1685"/>
      <c r="C1685"/>
      <c r="D1685"/>
      <c r="E1685"/>
      <c r="F1685"/>
      <c r="G1685"/>
      <c r="H1685"/>
      <c r="I1685"/>
      <c r="J1685"/>
      <c r="K1685"/>
      <c r="L1685"/>
      <c r="M1685"/>
    </row>
    <row r="1686" spans="1:13" x14ac:dyDescent="0.2">
      <c r="A1686" t="s">
        <v>1826</v>
      </c>
      <c r="B1686"/>
      <c r="C1686"/>
      <c r="D1686"/>
      <c r="E1686"/>
      <c r="F1686"/>
      <c r="G1686"/>
      <c r="H1686"/>
      <c r="I1686"/>
      <c r="J1686"/>
      <c r="K1686"/>
      <c r="L1686"/>
      <c r="M1686"/>
    </row>
    <row r="1687" spans="1:13" x14ac:dyDescent="0.2">
      <c r="A1687" t="s">
        <v>1827</v>
      </c>
      <c r="B1687"/>
      <c r="C1687"/>
      <c r="D1687"/>
      <c r="E1687"/>
      <c r="F1687"/>
      <c r="G1687"/>
      <c r="H1687"/>
      <c r="I1687"/>
      <c r="J1687"/>
      <c r="K1687"/>
      <c r="L1687"/>
      <c r="M1687"/>
    </row>
    <row r="1688" spans="1:13" x14ac:dyDescent="0.2">
      <c r="A1688" t="s">
        <v>1828</v>
      </c>
      <c r="B1688"/>
      <c r="C1688"/>
      <c r="D1688"/>
      <c r="E1688"/>
      <c r="F1688"/>
      <c r="G1688"/>
      <c r="H1688"/>
      <c r="I1688"/>
      <c r="J1688"/>
      <c r="K1688"/>
      <c r="L1688"/>
      <c r="M1688"/>
    </row>
    <row r="1689" spans="1:13" x14ac:dyDescent="0.2">
      <c r="A1689" t="s">
        <v>1829</v>
      </c>
      <c r="B1689"/>
      <c r="C1689"/>
      <c r="D1689"/>
      <c r="E1689"/>
      <c r="F1689"/>
      <c r="G1689"/>
      <c r="H1689"/>
      <c r="I1689"/>
      <c r="J1689"/>
      <c r="K1689"/>
      <c r="L1689"/>
      <c r="M1689"/>
    </row>
    <row r="1690" spans="1:13" x14ac:dyDescent="0.2">
      <c r="A1690" t="s">
        <v>1830</v>
      </c>
      <c r="B1690"/>
      <c r="C1690"/>
      <c r="D1690"/>
      <c r="E1690"/>
      <c r="F1690"/>
      <c r="G1690"/>
      <c r="H1690"/>
      <c r="I1690"/>
      <c r="J1690"/>
      <c r="K1690"/>
      <c r="L1690"/>
      <c r="M1690"/>
    </row>
    <row r="1691" spans="1:13" x14ac:dyDescent="0.2">
      <c r="A1691" t="s">
        <v>1831</v>
      </c>
      <c r="B1691"/>
      <c r="C1691"/>
      <c r="D1691"/>
      <c r="E1691"/>
      <c r="F1691"/>
      <c r="G1691"/>
      <c r="H1691"/>
      <c r="I1691"/>
      <c r="J1691"/>
      <c r="K1691"/>
      <c r="L1691"/>
      <c r="M1691"/>
    </row>
    <row r="1692" spans="1:13" x14ac:dyDescent="0.2">
      <c r="A1692" t="s">
        <v>1832</v>
      </c>
      <c r="B1692"/>
      <c r="C1692"/>
      <c r="D1692"/>
      <c r="E1692"/>
      <c r="F1692"/>
      <c r="G1692"/>
      <c r="H1692"/>
      <c r="I1692"/>
      <c r="J1692"/>
      <c r="K1692"/>
      <c r="L1692"/>
      <c r="M1692"/>
    </row>
    <row r="1693" spans="1:13" x14ac:dyDescent="0.2">
      <c r="A1693" t="s">
        <v>1833</v>
      </c>
      <c r="B1693"/>
      <c r="C1693"/>
      <c r="D1693"/>
      <c r="E1693"/>
      <c r="F1693"/>
      <c r="G1693"/>
      <c r="H1693"/>
      <c r="I1693"/>
      <c r="J1693"/>
      <c r="K1693"/>
      <c r="L1693"/>
      <c r="M1693"/>
    </row>
    <row r="1694" spans="1:13" x14ac:dyDescent="0.2">
      <c r="A1694" t="s">
        <v>1834</v>
      </c>
      <c r="B1694"/>
      <c r="C1694"/>
      <c r="D1694"/>
      <c r="E1694"/>
      <c r="F1694"/>
      <c r="G1694"/>
      <c r="H1694"/>
      <c r="I1694"/>
      <c r="J1694"/>
      <c r="K1694"/>
      <c r="L1694"/>
      <c r="M1694"/>
    </row>
    <row r="1695" spans="1:13" x14ac:dyDescent="0.2">
      <c r="A1695" t="s">
        <v>1835</v>
      </c>
      <c r="B1695"/>
      <c r="C1695"/>
      <c r="D1695"/>
      <c r="E1695"/>
      <c r="F1695"/>
      <c r="G1695"/>
      <c r="H1695"/>
      <c r="I1695"/>
      <c r="J1695"/>
      <c r="K1695"/>
      <c r="L1695"/>
      <c r="M1695"/>
    </row>
    <row r="1696" spans="1:13" x14ac:dyDescent="0.2">
      <c r="A1696" t="s">
        <v>1836</v>
      </c>
      <c r="B1696"/>
      <c r="C1696"/>
      <c r="D1696"/>
      <c r="E1696"/>
      <c r="F1696"/>
      <c r="G1696"/>
      <c r="H1696"/>
      <c r="I1696"/>
      <c r="J1696"/>
      <c r="K1696"/>
      <c r="L1696"/>
      <c r="M1696"/>
    </row>
    <row r="1697" spans="1:13" x14ac:dyDescent="0.2">
      <c r="A1697" t="s">
        <v>1837</v>
      </c>
      <c r="B1697"/>
      <c r="C1697"/>
      <c r="D1697"/>
      <c r="E1697"/>
      <c r="F1697"/>
      <c r="G1697"/>
      <c r="H1697"/>
      <c r="I1697"/>
      <c r="J1697"/>
      <c r="K1697"/>
      <c r="L1697"/>
      <c r="M1697"/>
    </row>
    <row r="1698" spans="1:13" x14ac:dyDescent="0.2">
      <c r="A1698" t="s">
        <v>1838</v>
      </c>
      <c r="B1698"/>
      <c r="C1698"/>
      <c r="D1698"/>
      <c r="E1698"/>
      <c r="F1698"/>
      <c r="G1698"/>
      <c r="H1698"/>
      <c r="I1698"/>
      <c r="J1698"/>
      <c r="K1698"/>
      <c r="L1698"/>
      <c r="M1698"/>
    </row>
    <row r="1699" spans="1:13" x14ac:dyDescent="0.2">
      <c r="A1699" t="s">
        <v>1839</v>
      </c>
      <c r="B1699"/>
      <c r="C1699"/>
      <c r="D1699"/>
      <c r="E1699"/>
      <c r="F1699"/>
      <c r="G1699"/>
      <c r="H1699"/>
      <c r="I1699"/>
      <c r="J1699"/>
      <c r="K1699"/>
      <c r="L1699"/>
      <c r="M1699"/>
    </row>
    <row r="1700" spans="1:13" x14ac:dyDescent="0.2">
      <c r="A1700" t="s">
        <v>1840</v>
      </c>
      <c r="B1700"/>
      <c r="C1700"/>
      <c r="D1700"/>
      <c r="E1700"/>
      <c r="F1700"/>
      <c r="G1700"/>
      <c r="H1700"/>
      <c r="I1700"/>
      <c r="J1700"/>
      <c r="K1700"/>
      <c r="L1700"/>
      <c r="M1700"/>
    </row>
    <row r="1701" spans="1:13" x14ac:dyDescent="0.2">
      <c r="A1701" t="s">
        <v>1841</v>
      </c>
      <c r="B1701"/>
      <c r="C1701"/>
      <c r="D1701"/>
      <c r="E1701"/>
      <c r="F1701"/>
      <c r="G1701"/>
      <c r="H1701"/>
      <c r="I1701"/>
      <c r="J1701"/>
      <c r="K1701"/>
      <c r="L1701"/>
      <c r="M1701"/>
    </row>
    <row r="1702" spans="1:13" x14ac:dyDescent="0.2">
      <c r="A1702" t="s">
        <v>1842</v>
      </c>
      <c r="B1702"/>
      <c r="C1702"/>
      <c r="D1702"/>
      <c r="E1702"/>
      <c r="F1702"/>
      <c r="G1702"/>
      <c r="H1702"/>
      <c r="I1702"/>
      <c r="J1702"/>
      <c r="K1702"/>
      <c r="L1702"/>
      <c r="M1702"/>
    </row>
    <row r="1703" spans="1:13" x14ac:dyDescent="0.2">
      <c r="A1703" t="s">
        <v>1843</v>
      </c>
      <c r="B1703"/>
      <c r="C1703"/>
      <c r="D1703"/>
      <c r="E1703"/>
      <c r="F1703"/>
      <c r="G1703"/>
      <c r="H1703"/>
      <c r="I1703"/>
      <c r="J1703"/>
      <c r="K1703"/>
      <c r="L1703"/>
      <c r="M1703"/>
    </row>
    <row r="1704" spans="1:13" x14ac:dyDescent="0.2">
      <c r="A1704" t="s">
        <v>1844</v>
      </c>
      <c r="B1704"/>
      <c r="C1704"/>
      <c r="D1704"/>
      <c r="E1704"/>
      <c r="F1704"/>
      <c r="G1704"/>
      <c r="H1704"/>
      <c r="I1704"/>
      <c r="J1704"/>
      <c r="K1704"/>
      <c r="L1704"/>
      <c r="M1704"/>
    </row>
    <row r="1705" spans="1:13" x14ac:dyDescent="0.2">
      <c r="A1705" t="s">
        <v>1845</v>
      </c>
      <c r="B1705"/>
      <c r="C1705"/>
      <c r="D1705"/>
      <c r="E1705"/>
      <c r="F1705"/>
      <c r="G1705"/>
      <c r="H1705"/>
      <c r="I1705"/>
      <c r="J1705"/>
      <c r="K1705"/>
      <c r="L1705"/>
      <c r="M1705"/>
    </row>
    <row r="1706" spans="1:13" x14ac:dyDescent="0.2">
      <c r="A1706" t="s">
        <v>1846</v>
      </c>
      <c r="B1706"/>
      <c r="C1706"/>
      <c r="D1706"/>
      <c r="E1706"/>
      <c r="F1706"/>
      <c r="G1706"/>
      <c r="H1706"/>
      <c r="I1706"/>
      <c r="J1706"/>
      <c r="K1706"/>
      <c r="L1706"/>
      <c r="M1706"/>
    </row>
    <row r="1707" spans="1:13" x14ac:dyDescent="0.2">
      <c r="A1707" t="s">
        <v>1847</v>
      </c>
      <c r="B1707"/>
      <c r="C1707"/>
      <c r="D1707"/>
      <c r="E1707"/>
      <c r="F1707"/>
      <c r="G1707"/>
      <c r="H1707"/>
      <c r="I1707"/>
      <c r="J1707"/>
      <c r="K1707"/>
      <c r="L1707"/>
      <c r="M1707"/>
    </row>
    <row r="1708" spans="1:13" x14ac:dyDescent="0.2">
      <c r="A1708" t="s">
        <v>1848</v>
      </c>
      <c r="B1708"/>
      <c r="C1708"/>
      <c r="D1708"/>
      <c r="E1708"/>
      <c r="F1708"/>
      <c r="G1708"/>
      <c r="H1708"/>
      <c r="I1708"/>
      <c r="J1708"/>
      <c r="K1708"/>
      <c r="L1708"/>
      <c r="M1708"/>
    </row>
    <row r="1709" spans="1:13" x14ac:dyDescent="0.2">
      <c r="A1709" t="s">
        <v>1849</v>
      </c>
      <c r="B1709"/>
      <c r="C1709"/>
      <c r="D1709"/>
      <c r="E1709"/>
      <c r="F1709"/>
      <c r="G1709"/>
      <c r="H1709"/>
      <c r="I1709"/>
      <c r="J1709"/>
      <c r="K1709"/>
      <c r="L1709"/>
      <c r="M1709"/>
    </row>
    <row r="1710" spans="1:13" x14ac:dyDescent="0.2">
      <c r="A1710" t="s">
        <v>1850</v>
      </c>
      <c r="B1710"/>
      <c r="C1710"/>
      <c r="D1710"/>
      <c r="E1710"/>
      <c r="F1710"/>
      <c r="G1710"/>
      <c r="H1710"/>
      <c r="I1710"/>
      <c r="J1710"/>
      <c r="K1710"/>
      <c r="L1710"/>
      <c r="M1710"/>
    </row>
    <row r="1711" spans="1:13" x14ac:dyDescent="0.2">
      <c r="A1711" t="s">
        <v>1851</v>
      </c>
      <c r="B1711"/>
      <c r="C1711"/>
      <c r="D1711"/>
      <c r="E1711"/>
      <c r="F1711"/>
      <c r="G1711"/>
      <c r="H1711"/>
      <c r="I1711"/>
      <c r="J1711"/>
      <c r="K1711"/>
      <c r="L1711"/>
      <c r="M1711"/>
    </row>
    <row r="1712" spans="1:13" x14ac:dyDescent="0.2">
      <c r="A1712" t="s">
        <v>1852</v>
      </c>
      <c r="B1712"/>
      <c r="C1712"/>
      <c r="D1712"/>
      <c r="E1712"/>
      <c r="F1712"/>
      <c r="G1712"/>
      <c r="H1712"/>
      <c r="I1712"/>
      <c r="J1712"/>
      <c r="K1712"/>
      <c r="L1712"/>
      <c r="M1712"/>
    </row>
    <row r="1713" spans="1:13" x14ac:dyDescent="0.2">
      <c r="A1713" t="s">
        <v>1853</v>
      </c>
      <c r="B1713"/>
      <c r="C1713"/>
      <c r="D1713"/>
      <c r="E1713"/>
      <c r="F1713"/>
      <c r="G1713"/>
      <c r="H1713"/>
      <c r="I1713"/>
      <c r="J1713"/>
      <c r="K1713"/>
      <c r="L1713"/>
      <c r="M1713"/>
    </row>
    <row r="1714" spans="1:13" x14ac:dyDescent="0.2">
      <c r="A1714" t="s">
        <v>1854</v>
      </c>
      <c r="B1714"/>
      <c r="C1714"/>
      <c r="D1714"/>
      <c r="E1714"/>
      <c r="F1714"/>
      <c r="G1714"/>
      <c r="H1714"/>
      <c r="I1714"/>
      <c r="J1714"/>
      <c r="K1714"/>
      <c r="L1714"/>
      <c r="M1714"/>
    </row>
    <row r="1715" spans="1:13" x14ac:dyDescent="0.2">
      <c r="A1715" t="s">
        <v>1855</v>
      </c>
      <c r="B1715"/>
      <c r="C1715"/>
      <c r="D1715"/>
      <c r="E1715"/>
      <c r="F1715"/>
      <c r="G1715"/>
      <c r="H1715"/>
      <c r="I1715"/>
      <c r="J1715"/>
      <c r="K1715"/>
      <c r="L1715"/>
      <c r="M1715"/>
    </row>
    <row r="1716" spans="1:13" x14ac:dyDescent="0.2">
      <c r="A1716" t="s">
        <v>1856</v>
      </c>
      <c r="B1716"/>
      <c r="C1716"/>
      <c r="D1716"/>
      <c r="E1716"/>
      <c r="F1716"/>
      <c r="G1716"/>
      <c r="H1716"/>
      <c r="I1716"/>
      <c r="J1716"/>
      <c r="K1716"/>
      <c r="L1716"/>
      <c r="M1716"/>
    </row>
    <row r="1717" spans="1:13" x14ac:dyDescent="0.2">
      <c r="A1717" t="s">
        <v>1857</v>
      </c>
      <c r="B1717"/>
      <c r="C1717"/>
      <c r="D1717"/>
      <c r="E1717"/>
      <c r="F1717"/>
      <c r="G1717"/>
      <c r="H1717"/>
      <c r="I1717"/>
      <c r="J1717"/>
      <c r="K1717"/>
      <c r="L1717"/>
      <c r="M1717"/>
    </row>
    <row r="1718" spans="1:13" x14ac:dyDescent="0.2">
      <c r="A1718" t="s">
        <v>1858</v>
      </c>
      <c r="B1718"/>
      <c r="C1718"/>
      <c r="D1718"/>
      <c r="E1718"/>
      <c r="F1718"/>
      <c r="G1718"/>
      <c r="H1718"/>
      <c r="I1718"/>
      <c r="J1718"/>
      <c r="K1718"/>
      <c r="L1718"/>
      <c r="M1718"/>
    </row>
    <row r="1719" spans="1:13" x14ac:dyDescent="0.2">
      <c r="A1719" t="s">
        <v>1859</v>
      </c>
      <c r="B1719"/>
      <c r="C1719"/>
      <c r="D1719"/>
      <c r="E1719"/>
      <c r="F1719"/>
      <c r="G1719"/>
      <c r="H1719"/>
      <c r="I1719"/>
      <c r="J1719"/>
      <c r="K1719"/>
      <c r="L1719"/>
      <c r="M1719"/>
    </row>
    <row r="1720" spans="1:13" x14ac:dyDescent="0.2">
      <c r="A1720" t="s">
        <v>1860</v>
      </c>
      <c r="B1720"/>
      <c r="C1720"/>
      <c r="D1720"/>
      <c r="E1720"/>
      <c r="F1720"/>
      <c r="G1720"/>
      <c r="H1720"/>
      <c r="I1720"/>
      <c r="J1720"/>
      <c r="K1720"/>
      <c r="L1720"/>
      <c r="M1720"/>
    </row>
    <row r="1721" spans="1:13" x14ac:dyDescent="0.2">
      <c r="A1721" t="s">
        <v>1861</v>
      </c>
      <c r="B1721"/>
      <c r="C1721"/>
      <c r="D1721"/>
      <c r="E1721"/>
      <c r="F1721"/>
      <c r="G1721"/>
      <c r="H1721"/>
      <c r="I1721"/>
      <c r="J1721"/>
      <c r="K1721"/>
      <c r="L1721"/>
      <c r="M1721"/>
    </row>
    <row r="1722" spans="1:13" x14ac:dyDescent="0.2">
      <c r="A1722" t="s">
        <v>1862</v>
      </c>
      <c r="B1722"/>
      <c r="C1722"/>
      <c r="D1722"/>
      <c r="E1722"/>
      <c r="F1722"/>
      <c r="G1722"/>
      <c r="H1722"/>
      <c r="I1722"/>
      <c r="J1722"/>
      <c r="K1722"/>
      <c r="L1722"/>
      <c r="M1722"/>
    </row>
    <row r="1723" spans="1:13" x14ac:dyDescent="0.2">
      <c r="A1723" t="s">
        <v>1863</v>
      </c>
      <c r="B1723"/>
      <c r="C1723"/>
      <c r="D1723"/>
      <c r="E1723"/>
      <c r="F1723"/>
      <c r="G1723"/>
      <c r="H1723"/>
      <c r="I1723"/>
      <c r="J1723"/>
      <c r="K1723"/>
      <c r="L1723"/>
      <c r="M1723"/>
    </row>
    <row r="1724" spans="1:13" x14ac:dyDescent="0.2">
      <c r="A1724" t="s">
        <v>1864</v>
      </c>
      <c r="B1724"/>
      <c r="C1724"/>
      <c r="D1724"/>
      <c r="E1724"/>
      <c r="F1724"/>
      <c r="G1724"/>
      <c r="H1724"/>
      <c r="I1724"/>
      <c r="J1724"/>
      <c r="K1724"/>
      <c r="L1724"/>
      <c r="M1724"/>
    </row>
    <row r="1725" spans="1:13" x14ac:dyDescent="0.2">
      <c r="A1725" t="s">
        <v>1865</v>
      </c>
      <c r="B1725"/>
      <c r="C1725"/>
      <c r="D1725"/>
      <c r="E1725"/>
      <c r="F1725"/>
      <c r="G1725"/>
      <c r="H1725"/>
      <c r="I1725"/>
      <c r="J1725"/>
      <c r="K1725"/>
      <c r="L1725"/>
      <c r="M1725"/>
    </row>
    <row r="1726" spans="1:13" x14ac:dyDescent="0.2">
      <c r="A1726" t="s">
        <v>1866</v>
      </c>
      <c r="B1726"/>
      <c r="C1726"/>
      <c r="D1726"/>
      <c r="E1726"/>
      <c r="F1726"/>
      <c r="G1726"/>
      <c r="H1726"/>
      <c r="I1726"/>
      <c r="J1726"/>
      <c r="K1726"/>
      <c r="L1726"/>
      <c r="M1726"/>
    </row>
    <row r="1727" spans="1:13" x14ac:dyDescent="0.2">
      <c r="A1727" t="s">
        <v>1867</v>
      </c>
      <c r="B1727"/>
      <c r="C1727"/>
      <c r="D1727"/>
      <c r="E1727"/>
      <c r="F1727"/>
      <c r="G1727"/>
      <c r="H1727"/>
      <c r="I1727"/>
      <c r="J1727"/>
      <c r="K1727"/>
      <c r="L1727"/>
      <c r="M1727"/>
    </row>
    <row r="1728" spans="1:13" x14ac:dyDescent="0.2">
      <c r="A1728" t="s">
        <v>1868</v>
      </c>
      <c r="B1728"/>
      <c r="C1728"/>
      <c r="D1728"/>
      <c r="E1728"/>
      <c r="F1728"/>
      <c r="G1728"/>
      <c r="H1728"/>
      <c r="I1728"/>
      <c r="J1728"/>
      <c r="K1728"/>
      <c r="L1728"/>
      <c r="M1728"/>
    </row>
    <row r="1729" spans="1:13" x14ac:dyDescent="0.2">
      <c r="A1729" t="s">
        <v>1869</v>
      </c>
      <c r="B1729"/>
      <c r="C1729"/>
      <c r="D1729"/>
      <c r="E1729"/>
      <c r="F1729"/>
      <c r="G1729"/>
      <c r="H1729"/>
      <c r="I1729"/>
      <c r="J1729"/>
      <c r="K1729"/>
      <c r="L1729"/>
      <c r="M1729"/>
    </row>
    <row r="1730" spans="1:13" x14ac:dyDescent="0.2">
      <c r="A1730" t="s">
        <v>1870</v>
      </c>
      <c r="B1730"/>
      <c r="C1730"/>
      <c r="D1730"/>
      <c r="E1730"/>
      <c r="F1730"/>
      <c r="G1730"/>
      <c r="H1730"/>
      <c r="I1730"/>
      <c r="J1730"/>
      <c r="K1730"/>
      <c r="L1730"/>
      <c r="M1730"/>
    </row>
    <row r="1731" spans="1:13" x14ac:dyDescent="0.2">
      <c r="A1731" t="s">
        <v>1871</v>
      </c>
      <c r="B1731"/>
      <c r="C1731"/>
      <c r="D1731"/>
      <c r="E1731"/>
      <c r="F1731"/>
      <c r="G1731"/>
      <c r="H1731"/>
      <c r="I1731"/>
      <c r="J1731"/>
      <c r="K1731"/>
      <c r="L1731"/>
      <c r="M1731"/>
    </row>
    <row r="1732" spans="1:13" x14ac:dyDescent="0.2">
      <c r="A1732" t="s">
        <v>1872</v>
      </c>
      <c r="B1732"/>
      <c r="C1732"/>
      <c r="D1732"/>
      <c r="E1732"/>
      <c r="F1732"/>
      <c r="G1732"/>
      <c r="H1732"/>
      <c r="I1732"/>
      <c r="J1732"/>
      <c r="K1732"/>
      <c r="L1732"/>
      <c r="M1732"/>
    </row>
    <row r="1733" spans="1:13" x14ac:dyDescent="0.2">
      <c r="A1733" t="s">
        <v>1873</v>
      </c>
      <c r="B1733"/>
      <c r="C1733"/>
      <c r="D1733"/>
      <c r="E1733"/>
      <c r="F1733"/>
      <c r="G1733"/>
      <c r="H1733"/>
      <c r="I1733"/>
      <c r="J1733"/>
      <c r="K1733"/>
      <c r="L1733"/>
      <c r="M1733"/>
    </row>
    <row r="1734" spans="1:13" x14ac:dyDescent="0.2">
      <c r="A1734" t="s">
        <v>1874</v>
      </c>
      <c r="B1734"/>
      <c r="C1734"/>
      <c r="D1734"/>
      <c r="E1734"/>
      <c r="F1734"/>
      <c r="G1734"/>
      <c r="H1734"/>
      <c r="I1734"/>
      <c r="J1734"/>
      <c r="K1734"/>
      <c r="L1734"/>
      <c r="M1734"/>
    </row>
    <row r="1735" spans="1:13" x14ac:dyDescent="0.2">
      <c r="A1735" t="s">
        <v>1875</v>
      </c>
      <c r="B1735"/>
      <c r="C1735"/>
      <c r="D1735"/>
      <c r="E1735"/>
      <c r="F1735"/>
      <c r="G1735"/>
      <c r="H1735"/>
      <c r="I1735"/>
      <c r="J1735"/>
      <c r="K1735"/>
      <c r="L1735"/>
      <c r="M1735"/>
    </row>
    <row r="1736" spans="1:13" x14ac:dyDescent="0.2">
      <c r="A1736" t="s">
        <v>1876</v>
      </c>
      <c r="B1736"/>
      <c r="C1736"/>
      <c r="D1736"/>
      <c r="E1736"/>
      <c r="F1736"/>
      <c r="G1736"/>
      <c r="H1736"/>
      <c r="I1736"/>
      <c r="J1736"/>
      <c r="K1736"/>
      <c r="L1736"/>
      <c r="M1736"/>
    </row>
    <row r="1737" spans="1:13" x14ac:dyDescent="0.2">
      <c r="A1737" t="s">
        <v>1877</v>
      </c>
      <c r="B1737"/>
      <c r="C1737"/>
      <c r="D1737"/>
      <c r="E1737"/>
      <c r="F1737"/>
      <c r="G1737"/>
      <c r="H1737"/>
      <c r="I1737"/>
      <c r="J1737"/>
      <c r="K1737"/>
      <c r="L1737"/>
      <c r="M1737"/>
    </row>
    <row r="1738" spans="1:13" x14ac:dyDescent="0.2">
      <c r="A1738" t="s">
        <v>1878</v>
      </c>
      <c r="B1738"/>
      <c r="C1738"/>
      <c r="D1738"/>
      <c r="E1738"/>
      <c r="F1738"/>
      <c r="G1738"/>
      <c r="H1738"/>
      <c r="I1738"/>
      <c r="J1738"/>
      <c r="K1738"/>
      <c r="L1738"/>
      <c r="M1738"/>
    </row>
    <row r="1739" spans="1:13" x14ac:dyDescent="0.2">
      <c r="A1739" t="s">
        <v>1879</v>
      </c>
      <c r="B1739"/>
      <c r="C1739"/>
      <c r="D1739"/>
      <c r="E1739"/>
      <c r="F1739"/>
      <c r="G1739"/>
      <c r="H1739"/>
      <c r="I1739"/>
      <c r="J1739"/>
      <c r="K1739"/>
      <c r="L1739"/>
      <c r="M1739"/>
    </row>
    <row r="1740" spans="1:13" x14ac:dyDescent="0.2">
      <c r="A1740" t="s">
        <v>1880</v>
      </c>
      <c r="B1740"/>
      <c r="C1740"/>
      <c r="D1740"/>
      <c r="E1740"/>
      <c r="F1740"/>
      <c r="G1740"/>
      <c r="H1740"/>
      <c r="I1740"/>
      <c r="J1740"/>
      <c r="K1740"/>
      <c r="L1740"/>
      <c r="M1740"/>
    </row>
    <row r="1741" spans="1:13" x14ac:dyDescent="0.2">
      <c r="A1741" t="s">
        <v>1881</v>
      </c>
      <c r="B1741"/>
      <c r="C1741"/>
      <c r="D1741"/>
      <c r="E1741"/>
      <c r="F1741"/>
      <c r="G1741"/>
      <c r="H1741"/>
      <c r="I1741"/>
      <c r="J1741"/>
      <c r="K1741"/>
      <c r="L1741"/>
      <c r="M1741"/>
    </row>
    <row r="1742" spans="1:13" x14ac:dyDescent="0.2">
      <c r="A1742" t="s">
        <v>1882</v>
      </c>
      <c r="B1742"/>
      <c r="C1742"/>
      <c r="D1742"/>
      <c r="E1742"/>
      <c r="F1742"/>
      <c r="G1742"/>
      <c r="H1742"/>
      <c r="I1742"/>
      <c r="J1742"/>
      <c r="K1742"/>
      <c r="L1742"/>
      <c r="M1742"/>
    </row>
    <row r="1743" spans="1:13" x14ac:dyDescent="0.2">
      <c r="A1743" t="s">
        <v>1883</v>
      </c>
      <c r="B1743"/>
      <c r="C1743"/>
      <c r="D1743"/>
      <c r="E1743"/>
      <c r="F1743"/>
      <c r="G1743"/>
      <c r="H1743"/>
      <c r="I1743"/>
      <c r="J1743"/>
      <c r="K1743"/>
      <c r="L1743"/>
      <c r="M1743"/>
    </row>
    <row r="1744" spans="1:13" x14ac:dyDescent="0.2">
      <c r="A1744" t="s">
        <v>1884</v>
      </c>
      <c r="B1744"/>
      <c r="C1744"/>
      <c r="D1744"/>
      <c r="E1744"/>
      <c r="F1744"/>
      <c r="G1744"/>
      <c r="H1744"/>
      <c r="I1744"/>
      <c r="J1744"/>
      <c r="K1744"/>
      <c r="L1744"/>
      <c r="M1744"/>
    </row>
    <row r="1745" spans="1:13" x14ac:dyDescent="0.2">
      <c r="A1745" t="s">
        <v>1885</v>
      </c>
      <c r="B1745"/>
      <c r="C1745"/>
      <c r="D1745"/>
      <c r="E1745"/>
      <c r="F1745"/>
      <c r="G1745"/>
      <c r="H1745"/>
      <c r="I1745"/>
      <c r="J1745"/>
      <c r="K1745"/>
      <c r="L1745"/>
      <c r="M1745"/>
    </row>
    <row r="1746" spans="1:13" x14ac:dyDescent="0.2">
      <c r="A1746" t="s">
        <v>1886</v>
      </c>
      <c r="B1746"/>
      <c r="C1746"/>
      <c r="D1746"/>
      <c r="E1746"/>
      <c r="F1746"/>
      <c r="G1746"/>
      <c r="H1746"/>
      <c r="I1746"/>
      <c r="J1746"/>
      <c r="K1746"/>
      <c r="L1746"/>
      <c r="M1746"/>
    </row>
    <row r="1747" spans="1:13" x14ac:dyDescent="0.2">
      <c r="A1747" t="s">
        <v>1887</v>
      </c>
      <c r="B1747"/>
      <c r="C1747"/>
      <c r="D1747"/>
      <c r="E1747"/>
      <c r="F1747"/>
      <c r="G1747"/>
      <c r="H1747"/>
      <c r="I1747"/>
      <c r="J1747"/>
      <c r="K1747"/>
      <c r="L1747"/>
      <c r="M1747"/>
    </row>
    <row r="1748" spans="1:13" x14ac:dyDescent="0.2">
      <c r="A1748" t="s">
        <v>1888</v>
      </c>
      <c r="B1748"/>
      <c r="C1748"/>
      <c r="D1748"/>
      <c r="E1748"/>
      <c r="F1748"/>
      <c r="G1748"/>
      <c r="H1748"/>
      <c r="I1748"/>
      <c r="J1748"/>
      <c r="K1748"/>
      <c r="L1748"/>
      <c r="M1748"/>
    </row>
    <row r="1749" spans="1:13" x14ac:dyDescent="0.2">
      <c r="A1749" t="s">
        <v>1889</v>
      </c>
      <c r="B1749"/>
      <c r="C1749"/>
      <c r="D1749"/>
      <c r="E1749"/>
      <c r="F1749"/>
      <c r="G1749"/>
      <c r="H1749"/>
      <c r="I1749"/>
      <c r="J1749"/>
      <c r="K1749"/>
      <c r="L1749"/>
      <c r="M1749"/>
    </row>
    <row r="1750" spans="1:13" x14ac:dyDescent="0.2">
      <c r="A1750" t="s">
        <v>1890</v>
      </c>
      <c r="B1750"/>
      <c r="C1750"/>
      <c r="D1750"/>
      <c r="E1750"/>
      <c r="F1750"/>
      <c r="G1750"/>
      <c r="H1750"/>
      <c r="I1750"/>
      <c r="J1750"/>
      <c r="K1750"/>
      <c r="L1750"/>
      <c r="M1750"/>
    </row>
    <row r="1751" spans="1:13" x14ac:dyDescent="0.2">
      <c r="A1751" t="s">
        <v>1891</v>
      </c>
      <c r="B1751"/>
      <c r="C1751"/>
      <c r="D1751"/>
      <c r="E1751"/>
      <c r="F1751"/>
      <c r="G1751"/>
      <c r="H1751"/>
      <c r="I1751"/>
      <c r="J1751"/>
      <c r="K1751"/>
      <c r="L1751"/>
      <c r="M1751"/>
    </row>
    <row r="1752" spans="1:13" x14ac:dyDescent="0.2">
      <c r="A1752" t="s">
        <v>1892</v>
      </c>
      <c r="B1752"/>
      <c r="C1752"/>
      <c r="D1752"/>
      <c r="E1752"/>
      <c r="F1752"/>
      <c r="G1752"/>
      <c r="H1752"/>
      <c r="I1752"/>
      <c r="J1752"/>
      <c r="K1752"/>
      <c r="L1752"/>
      <c r="M1752"/>
    </row>
    <row r="1753" spans="1:13" x14ac:dyDescent="0.2">
      <c r="A1753" t="s">
        <v>1893</v>
      </c>
      <c r="B1753"/>
      <c r="C1753"/>
      <c r="D1753"/>
      <c r="E1753"/>
      <c r="F1753"/>
      <c r="G1753"/>
      <c r="H1753"/>
      <c r="I1753"/>
      <c r="J1753"/>
      <c r="K1753"/>
      <c r="L1753"/>
      <c r="M1753"/>
    </row>
    <row r="1754" spans="1:13" x14ac:dyDescent="0.2">
      <c r="A1754" t="s">
        <v>1894</v>
      </c>
      <c r="B1754"/>
      <c r="C1754"/>
      <c r="D1754"/>
      <c r="E1754"/>
      <c r="F1754"/>
      <c r="G1754"/>
      <c r="H1754"/>
      <c r="I1754"/>
      <c r="J1754"/>
      <c r="K1754"/>
      <c r="L1754"/>
      <c r="M1754"/>
    </row>
    <row r="1755" spans="1:13" x14ac:dyDescent="0.2">
      <c r="A1755" t="s">
        <v>1895</v>
      </c>
      <c r="B1755"/>
      <c r="C1755"/>
      <c r="D1755"/>
      <c r="E1755"/>
      <c r="F1755"/>
      <c r="G1755"/>
      <c r="H1755"/>
      <c r="I1755"/>
      <c r="J1755"/>
      <c r="K1755"/>
      <c r="L1755"/>
      <c r="M1755"/>
    </row>
    <row r="1756" spans="1:13" x14ac:dyDescent="0.2">
      <c r="A1756" t="s">
        <v>1896</v>
      </c>
      <c r="B1756"/>
      <c r="C1756"/>
      <c r="D1756"/>
      <c r="E1756"/>
      <c r="F1756"/>
      <c r="G1756"/>
      <c r="H1756"/>
      <c r="I1756"/>
      <c r="J1756"/>
      <c r="K1756"/>
      <c r="L1756"/>
      <c r="M1756"/>
    </row>
    <row r="1757" spans="1:13" x14ac:dyDescent="0.2">
      <c r="A1757" t="s">
        <v>1897</v>
      </c>
      <c r="B1757"/>
      <c r="C1757"/>
      <c r="D1757"/>
      <c r="E1757"/>
      <c r="F1757"/>
      <c r="G1757"/>
      <c r="H1757"/>
      <c r="I1757"/>
      <c r="J1757"/>
      <c r="K1757"/>
      <c r="L1757"/>
      <c r="M1757"/>
    </row>
    <row r="1758" spans="1:13" x14ac:dyDescent="0.2">
      <c r="A1758" t="s">
        <v>1898</v>
      </c>
      <c r="B1758"/>
      <c r="C1758"/>
      <c r="D1758"/>
      <c r="E1758"/>
      <c r="F1758"/>
      <c r="G1758"/>
      <c r="H1758"/>
      <c r="I1758"/>
      <c r="J1758"/>
      <c r="K1758"/>
      <c r="L1758"/>
      <c r="M1758"/>
    </row>
    <row r="1759" spans="1:13" x14ac:dyDescent="0.2">
      <c r="A1759" t="s">
        <v>1899</v>
      </c>
      <c r="B1759"/>
      <c r="C1759"/>
      <c r="D1759"/>
      <c r="E1759"/>
      <c r="F1759"/>
      <c r="G1759"/>
      <c r="H1759"/>
      <c r="I1759"/>
      <c r="J1759"/>
      <c r="K1759"/>
      <c r="L1759"/>
      <c r="M1759"/>
    </row>
    <row r="1760" spans="1:13" x14ac:dyDescent="0.2">
      <c r="A1760" t="s">
        <v>1900</v>
      </c>
      <c r="B1760"/>
      <c r="C1760"/>
      <c r="D1760"/>
      <c r="E1760"/>
      <c r="F1760"/>
      <c r="G1760"/>
      <c r="H1760"/>
      <c r="I1760"/>
      <c r="J1760"/>
      <c r="K1760"/>
      <c r="L1760"/>
      <c r="M1760"/>
    </row>
    <row r="1761" spans="1:13" x14ac:dyDescent="0.2">
      <c r="A1761" t="s">
        <v>1901</v>
      </c>
      <c r="B1761"/>
      <c r="C1761"/>
      <c r="D1761"/>
      <c r="E1761"/>
      <c r="F1761"/>
      <c r="G1761"/>
      <c r="H1761"/>
      <c r="I1761"/>
      <c r="J1761"/>
      <c r="K1761"/>
      <c r="L1761"/>
      <c r="M1761"/>
    </row>
    <row r="1762" spans="1:13" x14ac:dyDescent="0.2">
      <c r="A1762" t="s">
        <v>1902</v>
      </c>
      <c r="B1762"/>
      <c r="C1762"/>
      <c r="D1762"/>
      <c r="E1762"/>
      <c r="F1762"/>
      <c r="G1762"/>
      <c r="H1762"/>
      <c r="I1762"/>
      <c r="J1762"/>
      <c r="K1762"/>
      <c r="L1762"/>
      <c r="M1762"/>
    </row>
    <row r="1763" spans="1:13" x14ac:dyDescent="0.2">
      <c r="A1763" t="s">
        <v>1903</v>
      </c>
      <c r="B1763"/>
      <c r="C1763"/>
      <c r="D1763"/>
      <c r="E1763"/>
      <c r="F1763"/>
      <c r="G1763"/>
      <c r="H1763"/>
      <c r="I1763"/>
      <c r="J1763"/>
      <c r="K1763"/>
      <c r="L1763"/>
      <c r="M1763"/>
    </row>
    <row r="1764" spans="1:13" x14ac:dyDescent="0.2">
      <c r="A1764" t="s">
        <v>1904</v>
      </c>
      <c r="B1764"/>
      <c r="C1764"/>
      <c r="D1764"/>
      <c r="E1764"/>
      <c r="F1764"/>
      <c r="G1764"/>
      <c r="H1764"/>
      <c r="I1764"/>
      <c r="J1764"/>
      <c r="K1764"/>
      <c r="L1764"/>
      <c r="M1764"/>
    </row>
    <row r="1765" spans="1:13" x14ac:dyDescent="0.2">
      <c r="A1765" t="s">
        <v>1905</v>
      </c>
      <c r="B1765"/>
      <c r="C1765"/>
      <c r="D1765"/>
      <c r="E1765"/>
      <c r="F1765"/>
      <c r="G1765"/>
      <c r="H1765"/>
      <c r="I1765"/>
      <c r="J1765"/>
      <c r="K1765"/>
      <c r="L1765"/>
      <c r="M1765"/>
    </row>
    <row r="1766" spans="1:13" x14ac:dyDescent="0.2">
      <c r="A1766" t="s">
        <v>1906</v>
      </c>
      <c r="B1766"/>
      <c r="C1766"/>
      <c r="D1766"/>
      <c r="E1766"/>
      <c r="F1766"/>
      <c r="G1766"/>
      <c r="H1766"/>
      <c r="I1766"/>
      <c r="J1766"/>
      <c r="K1766"/>
      <c r="L1766"/>
      <c r="M1766"/>
    </row>
    <row r="1767" spans="1:13" x14ac:dyDescent="0.2">
      <c r="A1767" t="s">
        <v>1907</v>
      </c>
      <c r="B1767"/>
      <c r="C1767"/>
      <c r="D1767"/>
      <c r="E1767"/>
      <c r="F1767"/>
      <c r="G1767"/>
      <c r="H1767"/>
      <c r="I1767"/>
      <c r="J1767"/>
      <c r="K1767"/>
      <c r="L1767"/>
      <c r="M1767"/>
    </row>
    <row r="1768" spans="1:13" x14ac:dyDescent="0.2">
      <c r="A1768" t="s">
        <v>1908</v>
      </c>
      <c r="B1768"/>
      <c r="C1768"/>
      <c r="D1768"/>
      <c r="E1768"/>
      <c r="F1768"/>
      <c r="G1768"/>
      <c r="H1768"/>
      <c r="I1768"/>
      <c r="J1768"/>
      <c r="K1768"/>
      <c r="L1768"/>
      <c r="M1768"/>
    </row>
    <row r="1769" spans="1:13" x14ac:dyDescent="0.2">
      <c r="A1769" t="s">
        <v>1909</v>
      </c>
      <c r="B1769"/>
      <c r="C1769"/>
      <c r="D1769"/>
      <c r="E1769"/>
      <c r="F1769"/>
      <c r="G1769"/>
      <c r="H1769"/>
      <c r="I1769"/>
      <c r="J1769"/>
      <c r="K1769"/>
      <c r="L1769"/>
      <c r="M1769"/>
    </row>
    <row r="1770" spans="1:13" x14ac:dyDescent="0.2">
      <c r="A1770" t="s">
        <v>1910</v>
      </c>
      <c r="B1770"/>
      <c r="C1770"/>
      <c r="D1770"/>
      <c r="E1770"/>
      <c r="F1770"/>
      <c r="G1770"/>
      <c r="H1770"/>
      <c r="I1770"/>
      <c r="J1770"/>
      <c r="K1770"/>
      <c r="L1770"/>
      <c r="M1770"/>
    </row>
    <row r="1771" spans="1:13" x14ac:dyDescent="0.2">
      <c r="A1771" t="s">
        <v>1911</v>
      </c>
      <c r="B1771"/>
      <c r="C1771"/>
      <c r="D1771"/>
      <c r="E1771"/>
      <c r="F1771"/>
      <c r="G1771"/>
      <c r="H1771"/>
      <c r="I1771"/>
      <c r="J1771"/>
      <c r="K1771"/>
      <c r="L1771"/>
      <c r="M1771"/>
    </row>
    <row r="1772" spans="1:13" x14ac:dyDescent="0.2">
      <c r="A1772" t="s">
        <v>1912</v>
      </c>
      <c r="B1772"/>
      <c r="C1772"/>
      <c r="D1772"/>
      <c r="E1772"/>
      <c r="F1772"/>
      <c r="G1772"/>
      <c r="H1772"/>
      <c r="I1772"/>
      <c r="J1772"/>
      <c r="K1772"/>
      <c r="L1772"/>
      <c r="M1772"/>
    </row>
    <row r="1773" spans="1:13" x14ac:dyDescent="0.2">
      <c r="A1773" t="s">
        <v>1913</v>
      </c>
      <c r="B1773"/>
      <c r="C1773"/>
      <c r="D1773"/>
      <c r="E1773"/>
      <c r="F1773"/>
      <c r="G1773"/>
      <c r="H1773"/>
      <c r="I1773"/>
      <c r="J1773"/>
      <c r="K1773"/>
      <c r="L1773"/>
      <c r="M1773"/>
    </row>
    <row r="1774" spans="1:13" x14ac:dyDescent="0.2">
      <c r="A1774" t="s">
        <v>1914</v>
      </c>
      <c r="B1774"/>
      <c r="C1774"/>
      <c r="D1774"/>
      <c r="E1774"/>
      <c r="F1774"/>
      <c r="G1774"/>
      <c r="H1774"/>
      <c r="I1774"/>
      <c r="J1774"/>
      <c r="K1774"/>
      <c r="L1774"/>
      <c r="M1774"/>
    </row>
    <row r="1775" spans="1:13" x14ac:dyDescent="0.2">
      <c r="A1775" t="s">
        <v>1915</v>
      </c>
      <c r="B1775"/>
      <c r="C1775"/>
      <c r="D1775"/>
      <c r="E1775"/>
      <c r="F1775"/>
      <c r="G1775"/>
      <c r="H1775"/>
      <c r="I1775"/>
      <c r="J1775"/>
      <c r="K1775"/>
      <c r="L1775"/>
      <c r="M1775"/>
    </row>
    <row r="1776" spans="1:13" x14ac:dyDescent="0.2">
      <c r="A1776" t="s">
        <v>1916</v>
      </c>
      <c r="B1776"/>
      <c r="C1776"/>
      <c r="D1776"/>
      <c r="E1776"/>
      <c r="F1776"/>
      <c r="G1776"/>
      <c r="H1776"/>
      <c r="I1776"/>
      <c r="J1776"/>
      <c r="K1776"/>
      <c r="L1776"/>
      <c r="M1776"/>
    </row>
    <row r="1777" spans="1:13" x14ac:dyDescent="0.2">
      <c r="A1777" t="s">
        <v>1917</v>
      </c>
      <c r="B1777"/>
      <c r="C1777"/>
      <c r="D1777"/>
      <c r="E1777"/>
      <c r="F1777"/>
      <c r="G1777"/>
      <c r="H1777"/>
      <c r="I1777"/>
      <c r="J1777"/>
      <c r="K1777"/>
      <c r="L1777"/>
      <c r="M1777"/>
    </row>
    <row r="1778" spans="1:13" x14ac:dyDescent="0.2">
      <c r="A1778" t="s">
        <v>1918</v>
      </c>
      <c r="B1778"/>
      <c r="C1778"/>
      <c r="D1778"/>
      <c r="E1778"/>
      <c r="F1778"/>
      <c r="G1778"/>
      <c r="H1778"/>
      <c r="I1778"/>
      <c r="J1778"/>
      <c r="K1778"/>
      <c r="L1778"/>
      <c r="M1778"/>
    </row>
    <row r="1779" spans="1:13" x14ac:dyDescent="0.2">
      <c r="A1779" t="s">
        <v>1919</v>
      </c>
      <c r="B1779"/>
      <c r="C1779"/>
      <c r="D1779"/>
      <c r="E1779"/>
      <c r="F1779"/>
      <c r="G1779"/>
      <c r="H1779"/>
      <c r="I1779"/>
      <c r="J1779"/>
      <c r="K1779"/>
      <c r="L1779"/>
      <c r="M1779"/>
    </row>
    <row r="1780" spans="1:13" x14ac:dyDescent="0.2">
      <c r="A1780" t="s">
        <v>1920</v>
      </c>
      <c r="B1780"/>
      <c r="C1780"/>
      <c r="D1780"/>
      <c r="E1780"/>
      <c r="F1780"/>
      <c r="G1780"/>
      <c r="H1780"/>
      <c r="I1780"/>
      <c r="J1780"/>
      <c r="K1780"/>
      <c r="L1780"/>
      <c r="M1780"/>
    </row>
    <row r="1781" spans="1:13" x14ac:dyDescent="0.2">
      <c r="A1781" t="s">
        <v>1921</v>
      </c>
      <c r="B1781"/>
      <c r="C1781"/>
      <c r="D1781"/>
      <c r="E1781"/>
      <c r="F1781"/>
      <c r="G1781"/>
      <c r="H1781"/>
      <c r="I1781"/>
      <c r="J1781"/>
      <c r="K1781"/>
      <c r="L1781"/>
      <c r="M1781"/>
    </row>
    <row r="1782" spans="1:13" x14ac:dyDescent="0.2">
      <c r="A1782" t="s">
        <v>1922</v>
      </c>
      <c r="B1782"/>
      <c r="C1782"/>
      <c r="D1782"/>
      <c r="E1782"/>
      <c r="F1782"/>
      <c r="G1782"/>
      <c r="H1782"/>
      <c r="I1782"/>
      <c r="J1782"/>
      <c r="K1782"/>
      <c r="L1782"/>
      <c r="M1782"/>
    </row>
    <row r="1783" spans="1:13" x14ac:dyDescent="0.2">
      <c r="A1783" t="s">
        <v>1923</v>
      </c>
      <c r="B1783"/>
      <c r="C1783"/>
      <c r="D1783"/>
      <c r="E1783"/>
      <c r="F1783"/>
      <c r="G1783"/>
      <c r="H1783"/>
      <c r="I1783"/>
      <c r="J1783"/>
      <c r="K1783"/>
      <c r="L1783"/>
      <c r="M1783"/>
    </row>
    <row r="1784" spans="1:13" x14ac:dyDescent="0.2">
      <c r="A1784" t="s">
        <v>1924</v>
      </c>
      <c r="B1784"/>
      <c r="C1784"/>
      <c r="D1784"/>
      <c r="E1784"/>
      <c r="F1784"/>
      <c r="G1784"/>
      <c r="H1784"/>
      <c r="I1784"/>
      <c r="J1784"/>
      <c r="K1784"/>
      <c r="L1784"/>
      <c r="M1784"/>
    </row>
    <row r="1785" spans="1:13" x14ac:dyDescent="0.2">
      <c r="A1785" t="s">
        <v>1925</v>
      </c>
      <c r="B1785"/>
      <c r="C1785"/>
      <c r="D1785"/>
      <c r="E1785"/>
      <c r="F1785"/>
      <c r="G1785"/>
      <c r="H1785"/>
      <c r="I1785"/>
      <c r="J1785"/>
      <c r="K1785"/>
      <c r="L1785"/>
      <c r="M1785"/>
    </row>
    <row r="1786" spans="1:13" x14ac:dyDescent="0.2">
      <c r="A1786" t="s">
        <v>1926</v>
      </c>
      <c r="B1786"/>
      <c r="C1786"/>
      <c r="D1786"/>
      <c r="E1786"/>
      <c r="F1786"/>
      <c r="G1786"/>
      <c r="H1786"/>
      <c r="I1786"/>
      <c r="J1786"/>
      <c r="K1786"/>
      <c r="L1786"/>
      <c r="M1786"/>
    </row>
    <row r="1787" spans="1:13" x14ac:dyDescent="0.2">
      <c r="A1787" t="s">
        <v>1927</v>
      </c>
      <c r="B1787"/>
      <c r="C1787"/>
      <c r="D1787"/>
      <c r="E1787"/>
      <c r="F1787"/>
      <c r="G1787"/>
      <c r="H1787"/>
      <c r="I1787"/>
      <c r="J1787"/>
      <c r="K1787"/>
      <c r="L1787"/>
      <c r="M1787"/>
    </row>
    <row r="1788" spans="1:13" x14ac:dyDescent="0.2">
      <c r="A1788" t="s">
        <v>1928</v>
      </c>
      <c r="B1788"/>
      <c r="C1788"/>
      <c r="D1788"/>
      <c r="E1788"/>
      <c r="F1788"/>
      <c r="G1788"/>
      <c r="H1788"/>
      <c r="I1788"/>
      <c r="J1788"/>
      <c r="K1788"/>
      <c r="L1788"/>
      <c r="M1788"/>
    </row>
    <row r="1789" spans="1:13" x14ac:dyDescent="0.2">
      <c r="A1789" t="s">
        <v>1929</v>
      </c>
      <c r="B1789"/>
      <c r="C1789"/>
      <c r="D1789"/>
      <c r="E1789"/>
      <c r="F1789"/>
      <c r="G1789"/>
      <c r="H1789"/>
      <c r="I1789"/>
      <c r="J1789"/>
      <c r="K1789"/>
      <c r="L1789"/>
      <c r="M1789"/>
    </row>
    <row r="1790" spans="1:13" x14ac:dyDescent="0.2">
      <c r="A1790" t="s">
        <v>1930</v>
      </c>
      <c r="B1790"/>
      <c r="C1790"/>
      <c r="D1790"/>
      <c r="E1790"/>
      <c r="F1790"/>
      <c r="G1790"/>
      <c r="H1790"/>
      <c r="I1790"/>
      <c r="J1790"/>
      <c r="K1790"/>
      <c r="L1790"/>
      <c r="M1790"/>
    </row>
    <row r="1791" spans="1:13" x14ac:dyDescent="0.2">
      <c r="A1791" t="s">
        <v>1931</v>
      </c>
      <c r="B1791"/>
      <c r="C1791"/>
      <c r="D1791"/>
      <c r="E1791"/>
      <c r="F1791"/>
      <c r="G1791"/>
      <c r="H1791"/>
      <c r="I1791"/>
      <c r="J1791"/>
      <c r="K1791"/>
      <c r="L1791"/>
      <c r="M1791"/>
    </row>
    <row r="1792" spans="1:13" x14ac:dyDescent="0.2">
      <c r="A1792" t="s">
        <v>1932</v>
      </c>
      <c r="B1792"/>
      <c r="C1792"/>
      <c r="D1792"/>
      <c r="E1792"/>
      <c r="F1792"/>
      <c r="G1792"/>
      <c r="H1792"/>
      <c r="I1792"/>
      <c r="J1792"/>
      <c r="K1792"/>
      <c r="L1792"/>
      <c r="M1792"/>
    </row>
    <row r="1793" spans="1:13" x14ac:dyDescent="0.2">
      <c r="A1793" t="s">
        <v>1933</v>
      </c>
      <c r="B1793"/>
      <c r="C1793"/>
      <c r="D1793"/>
      <c r="E1793"/>
      <c r="F1793"/>
      <c r="G1793"/>
      <c r="H1793"/>
      <c r="I1793"/>
      <c r="J1793"/>
      <c r="K1793"/>
      <c r="L1793"/>
      <c r="M1793"/>
    </row>
    <row r="1794" spans="1:13" x14ac:dyDescent="0.2">
      <c r="A1794" t="s">
        <v>1934</v>
      </c>
      <c r="B1794"/>
      <c r="C1794"/>
      <c r="D1794"/>
      <c r="E1794"/>
      <c r="F1794"/>
      <c r="G1794"/>
      <c r="H1794"/>
      <c r="I1794"/>
      <c r="J1794"/>
      <c r="K1794"/>
      <c r="L1794"/>
      <c r="M1794"/>
    </row>
    <row r="1795" spans="1:13" x14ac:dyDescent="0.2">
      <c r="A1795" t="s">
        <v>1935</v>
      </c>
      <c r="B1795"/>
      <c r="C1795"/>
      <c r="D1795"/>
      <c r="E1795"/>
      <c r="F1795"/>
      <c r="G1795"/>
      <c r="H1795"/>
      <c r="I1795"/>
      <c r="J1795"/>
      <c r="K1795"/>
      <c r="L1795"/>
      <c r="M1795"/>
    </row>
    <row r="1796" spans="1:13" x14ac:dyDescent="0.2">
      <c r="A1796" t="s">
        <v>1936</v>
      </c>
      <c r="B1796"/>
      <c r="C1796"/>
      <c r="D1796"/>
      <c r="E1796"/>
      <c r="F1796"/>
      <c r="G1796"/>
      <c r="H1796"/>
      <c r="I1796"/>
      <c r="J1796"/>
      <c r="K1796"/>
      <c r="L1796"/>
      <c r="M1796"/>
    </row>
    <row r="1797" spans="1:13" x14ac:dyDescent="0.2">
      <c r="A1797" t="s">
        <v>1937</v>
      </c>
      <c r="B1797"/>
      <c r="C1797"/>
      <c r="D1797"/>
      <c r="E1797"/>
      <c r="F1797"/>
      <c r="G1797"/>
      <c r="H1797"/>
      <c r="I1797"/>
      <c r="J1797"/>
      <c r="K1797"/>
      <c r="L1797"/>
      <c r="M1797"/>
    </row>
    <row r="1798" spans="1:13" x14ac:dyDescent="0.2">
      <c r="A1798" t="s">
        <v>1938</v>
      </c>
      <c r="B1798"/>
      <c r="C1798"/>
      <c r="D1798"/>
      <c r="E1798"/>
      <c r="F1798"/>
      <c r="G1798"/>
      <c r="H1798"/>
      <c r="I1798"/>
      <c r="J1798"/>
      <c r="K1798"/>
      <c r="L1798"/>
      <c r="M1798"/>
    </row>
    <row r="1799" spans="1:13" x14ac:dyDescent="0.2">
      <c r="A1799" t="s">
        <v>1939</v>
      </c>
      <c r="B1799"/>
      <c r="C1799"/>
      <c r="D1799"/>
      <c r="E1799"/>
      <c r="F1799"/>
      <c r="G1799"/>
      <c r="H1799"/>
      <c r="I1799"/>
      <c r="J1799"/>
      <c r="K1799"/>
      <c r="L1799"/>
      <c r="M1799"/>
    </row>
    <row r="1800" spans="1:13" x14ac:dyDescent="0.2">
      <c r="A1800" t="s">
        <v>1940</v>
      </c>
      <c r="B1800"/>
      <c r="C1800"/>
      <c r="D1800"/>
      <c r="E1800"/>
      <c r="F1800"/>
      <c r="G1800"/>
      <c r="H1800"/>
      <c r="I1800"/>
      <c r="J1800"/>
      <c r="K1800"/>
      <c r="L1800"/>
      <c r="M1800"/>
    </row>
    <row r="1801" spans="1:13" x14ac:dyDescent="0.2">
      <c r="A1801" t="s">
        <v>1941</v>
      </c>
      <c r="B1801"/>
      <c r="C1801"/>
      <c r="D1801"/>
      <c r="E1801"/>
      <c r="F1801"/>
      <c r="G1801"/>
      <c r="H1801"/>
      <c r="I1801"/>
      <c r="J1801"/>
      <c r="K1801"/>
      <c r="L1801"/>
      <c r="M1801"/>
    </row>
    <row r="1802" spans="1:13" x14ac:dyDescent="0.2">
      <c r="A1802" t="s">
        <v>1942</v>
      </c>
      <c r="B1802"/>
      <c r="C1802"/>
      <c r="D1802"/>
      <c r="E1802"/>
      <c r="F1802"/>
      <c r="G1802"/>
      <c r="H1802"/>
      <c r="I1802"/>
      <c r="J1802"/>
      <c r="K1802"/>
      <c r="L1802"/>
      <c r="M1802"/>
    </row>
    <row r="1803" spans="1:13" x14ac:dyDescent="0.2">
      <c r="A1803" t="s">
        <v>1943</v>
      </c>
      <c r="B1803"/>
      <c r="C1803"/>
      <c r="D1803"/>
      <c r="E1803"/>
      <c r="F1803"/>
      <c r="G1803"/>
      <c r="H1803"/>
      <c r="I1803"/>
      <c r="J1803"/>
      <c r="K1803"/>
      <c r="L1803"/>
      <c r="M1803"/>
    </row>
    <row r="1804" spans="1:13" x14ac:dyDescent="0.2">
      <c r="A1804" t="s">
        <v>1944</v>
      </c>
      <c r="B1804"/>
      <c r="C1804"/>
      <c r="D1804"/>
      <c r="E1804"/>
      <c r="F1804"/>
      <c r="G1804"/>
      <c r="H1804"/>
      <c r="I1804"/>
      <c r="J1804"/>
      <c r="K1804"/>
      <c r="L1804"/>
      <c r="M1804"/>
    </row>
    <row r="1805" spans="1:13" x14ac:dyDescent="0.2">
      <c r="A1805" t="s">
        <v>1945</v>
      </c>
      <c r="B1805"/>
      <c r="C1805"/>
      <c r="D1805"/>
      <c r="E1805"/>
      <c r="F1805"/>
      <c r="G1805"/>
      <c r="H1805"/>
      <c r="I1805"/>
      <c r="J1805"/>
      <c r="K1805"/>
      <c r="L1805"/>
      <c r="M1805"/>
    </row>
    <row r="1806" spans="1:13" x14ac:dyDescent="0.2">
      <c r="A1806" t="s">
        <v>1946</v>
      </c>
      <c r="B1806"/>
      <c r="C1806"/>
      <c r="D1806"/>
      <c r="E1806"/>
      <c r="F1806"/>
      <c r="G1806"/>
      <c r="H1806"/>
      <c r="I1806"/>
      <c r="J1806"/>
      <c r="K1806"/>
      <c r="L1806"/>
      <c r="M1806"/>
    </row>
    <row r="1807" spans="1:13" x14ac:dyDescent="0.2">
      <c r="A1807" t="s">
        <v>1947</v>
      </c>
      <c r="B1807"/>
      <c r="C1807"/>
      <c r="D1807"/>
      <c r="E1807"/>
      <c r="F1807"/>
      <c r="G1807"/>
      <c r="H1807"/>
      <c r="I1807"/>
      <c r="J1807"/>
      <c r="K1807"/>
      <c r="L1807"/>
      <c r="M1807"/>
    </row>
    <row r="1808" spans="1:13" x14ac:dyDescent="0.2">
      <c r="A1808" t="s">
        <v>1948</v>
      </c>
      <c r="B1808"/>
      <c r="C1808"/>
      <c r="D1808"/>
      <c r="E1808"/>
      <c r="F1808"/>
      <c r="G1808"/>
      <c r="H1808"/>
      <c r="I1808"/>
      <c r="J1808"/>
      <c r="K1808"/>
      <c r="L1808"/>
      <c r="M1808"/>
    </row>
    <row r="1809" spans="1:13" x14ac:dyDescent="0.2">
      <c r="A1809" t="s">
        <v>1949</v>
      </c>
      <c r="B1809"/>
      <c r="C1809"/>
      <c r="D1809"/>
      <c r="E1809"/>
      <c r="F1809"/>
      <c r="G1809"/>
      <c r="H1809"/>
      <c r="I1809"/>
      <c r="J1809"/>
      <c r="K1809"/>
      <c r="L1809"/>
      <c r="M1809"/>
    </row>
    <row r="1810" spans="1:13" x14ac:dyDescent="0.2">
      <c r="A1810" t="s">
        <v>1950</v>
      </c>
      <c r="B1810"/>
      <c r="C1810"/>
      <c r="D1810"/>
      <c r="E1810"/>
      <c r="F1810"/>
      <c r="G1810"/>
      <c r="H1810"/>
      <c r="I1810"/>
      <c r="J1810"/>
      <c r="K1810"/>
      <c r="L1810"/>
      <c r="M1810"/>
    </row>
    <row r="1811" spans="1:13" x14ac:dyDescent="0.2">
      <c r="A1811" t="s">
        <v>1951</v>
      </c>
      <c r="B1811"/>
      <c r="C1811"/>
      <c r="D1811"/>
      <c r="E1811"/>
      <c r="F1811"/>
      <c r="G1811"/>
      <c r="H1811"/>
      <c r="I1811"/>
      <c r="J1811"/>
      <c r="K1811"/>
      <c r="L1811"/>
      <c r="M1811"/>
    </row>
    <row r="1812" spans="1:13" x14ac:dyDescent="0.2">
      <c r="A1812" t="s">
        <v>1952</v>
      </c>
      <c r="B1812"/>
      <c r="C1812"/>
      <c r="D1812"/>
      <c r="E1812"/>
      <c r="F1812"/>
      <c r="G1812"/>
      <c r="H1812"/>
      <c r="I1812"/>
      <c r="J1812"/>
      <c r="K1812"/>
      <c r="L1812"/>
      <c r="M1812"/>
    </row>
    <row r="1813" spans="1:13" x14ac:dyDescent="0.2">
      <c r="A1813" t="s">
        <v>1953</v>
      </c>
      <c r="B1813"/>
      <c r="C1813"/>
      <c r="D1813"/>
      <c r="E1813"/>
      <c r="F1813"/>
      <c r="G1813"/>
      <c r="H1813"/>
      <c r="I1813"/>
      <c r="J1813"/>
      <c r="K1813"/>
      <c r="L1813"/>
      <c r="M1813"/>
    </row>
    <row r="1814" spans="1:13" x14ac:dyDescent="0.2">
      <c r="A1814" t="s">
        <v>1954</v>
      </c>
      <c r="B1814"/>
      <c r="C1814"/>
      <c r="D1814"/>
      <c r="E1814"/>
      <c r="F1814"/>
      <c r="G1814"/>
      <c r="H1814"/>
      <c r="I1814"/>
      <c r="J1814"/>
      <c r="K1814"/>
      <c r="L1814"/>
      <c r="M1814"/>
    </row>
    <row r="1815" spans="1:13" x14ac:dyDescent="0.2">
      <c r="A1815" t="s">
        <v>1955</v>
      </c>
      <c r="B1815"/>
      <c r="C1815"/>
      <c r="D1815"/>
      <c r="E1815"/>
      <c r="F1815"/>
      <c r="G1815"/>
      <c r="H1815"/>
      <c r="I1815"/>
      <c r="J1815"/>
      <c r="K1815"/>
      <c r="L1815"/>
      <c r="M1815"/>
    </row>
    <row r="1816" spans="1:13" x14ac:dyDescent="0.2">
      <c r="A1816" t="s">
        <v>1956</v>
      </c>
      <c r="B1816"/>
      <c r="C1816"/>
      <c r="D1816"/>
      <c r="E1816"/>
      <c r="F1816"/>
      <c r="G1816"/>
      <c r="H1816"/>
      <c r="I1816"/>
      <c r="J1816"/>
      <c r="K1816"/>
      <c r="L1816"/>
      <c r="M1816"/>
    </row>
    <row r="1817" spans="1:13" x14ac:dyDescent="0.2">
      <c r="A1817" t="s">
        <v>1957</v>
      </c>
      <c r="B1817"/>
      <c r="C1817"/>
      <c r="D1817"/>
      <c r="E1817"/>
      <c r="F1817"/>
      <c r="G1817"/>
      <c r="H1817"/>
      <c r="I1817"/>
      <c r="J1817"/>
      <c r="K1817"/>
      <c r="L1817"/>
      <c r="M1817"/>
    </row>
    <row r="1818" spans="1:13" x14ac:dyDescent="0.2">
      <c r="A1818" t="s">
        <v>1958</v>
      </c>
      <c r="B1818"/>
      <c r="C1818"/>
      <c r="D1818"/>
      <c r="E1818"/>
      <c r="F1818"/>
      <c r="G1818"/>
      <c r="H1818"/>
      <c r="I1818"/>
      <c r="J1818"/>
      <c r="K1818"/>
      <c r="L1818"/>
      <c r="M1818"/>
    </row>
    <row r="1819" spans="1:13" x14ac:dyDescent="0.2">
      <c r="A1819" t="s">
        <v>1959</v>
      </c>
      <c r="B1819"/>
      <c r="C1819"/>
      <c r="D1819"/>
      <c r="E1819"/>
      <c r="F1819"/>
      <c r="G1819"/>
      <c r="H1819"/>
      <c r="I1819"/>
      <c r="J1819"/>
      <c r="K1819"/>
      <c r="L1819"/>
      <c r="M1819"/>
    </row>
    <row r="1820" spans="1:13" x14ac:dyDescent="0.2">
      <c r="A1820" t="s">
        <v>1960</v>
      </c>
      <c r="B1820"/>
      <c r="C1820"/>
      <c r="D1820"/>
      <c r="E1820"/>
      <c r="F1820"/>
      <c r="G1820"/>
      <c r="H1820"/>
      <c r="I1820"/>
      <c r="J1820"/>
      <c r="K1820"/>
      <c r="L1820"/>
      <c r="M1820"/>
    </row>
    <row r="1821" spans="1:13" x14ac:dyDescent="0.2">
      <c r="A1821" t="s">
        <v>1961</v>
      </c>
      <c r="B1821"/>
      <c r="C1821"/>
      <c r="D1821"/>
      <c r="E1821"/>
      <c r="F1821"/>
      <c r="G1821"/>
      <c r="H1821"/>
      <c r="I1821"/>
      <c r="J1821"/>
      <c r="K1821"/>
      <c r="L1821"/>
      <c r="M1821"/>
    </row>
    <row r="1822" spans="1:13" x14ac:dyDescent="0.2">
      <c r="A1822" t="s">
        <v>1962</v>
      </c>
      <c r="B1822"/>
      <c r="C1822"/>
      <c r="D1822"/>
      <c r="E1822"/>
      <c r="F1822"/>
      <c r="G1822"/>
      <c r="H1822"/>
      <c r="I1822"/>
      <c r="J1822"/>
      <c r="K1822"/>
      <c r="L1822"/>
      <c r="M1822"/>
    </row>
    <row r="1823" spans="1:13" x14ac:dyDescent="0.2">
      <c r="A1823" t="s">
        <v>1963</v>
      </c>
      <c r="B1823"/>
      <c r="C1823"/>
      <c r="D1823"/>
      <c r="E1823"/>
      <c r="F1823"/>
      <c r="G1823"/>
      <c r="H1823"/>
      <c r="I1823"/>
      <c r="J1823"/>
      <c r="K1823"/>
      <c r="L1823"/>
      <c r="M1823"/>
    </row>
    <row r="1824" spans="1:13" x14ac:dyDescent="0.2">
      <c r="A1824" t="s">
        <v>1964</v>
      </c>
      <c r="B1824"/>
      <c r="C1824"/>
      <c r="D1824"/>
      <c r="E1824"/>
      <c r="F1824"/>
      <c r="G1824"/>
      <c r="H1824"/>
      <c r="I1824"/>
      <c r="J1824"/>
      <c r="K1824"/>
      <c r="L1824"/>
      <c r="M1824"/>
    </row>
    <row r="1825" spans="1:13" x14ac:dyDescent="0.2">
      <c r="A1825" t="s">
        <v>1965</v>
      </c>
      <c r="B1825"/>
      <c r="C1825"/>
      <c r="D1825"/>
      <c r="E1825"/>
      <c r="F1825"/>
      <c r="G1825"/>
      <c r="H1825"/>
      <c r="I1825"/>
      <c r="J1825"/>
      <c r="K1825"/>
      <c r="L1825"/>
      <c r="M1825"/>
    </row>
    <row r="1826" spans="1:13" x14ac:dyDescent="0.2">
      <c r="A1826" t="s">
        <v>1966</v>
      </c>
      <c r="B1826"/>
      <c r="C1826"/>
      <c r="D1826"/>
      <c r="E1826"/>
      <c r="F1826"/>
      <c r="G1826"/>
      <c r="H1826"/>
      <c r="I1826"/>
      <c r="J1826"/>
      <c r="K1826"/>
      <c r="L1826"/>
      <c r="M1826"/>
    </row>
    <row r="1827" spans="1:13" x14ac:dyDescent="0.2">
      <c r="A1827" t="s">
        <v>1967</v>
      </c>
      <c r="B1827"/>
      <c r="C1827"/>
      <c r="D1827"/>
      <c r="E1827"/>
      <c r="F1827"/>
      <c r="G1827"/>
      <c r="H1827"/>
      <c r="I1827"/>
      <c r="J1827"/>
      <c r="K1827"/>
      <c r="L1827"/>
      <c r="M1827"/>
    </row>
    <row r="1828" spans="1:13" x14ac:dyDescent="0.2">
      <c r="A1828" t="s">
        <v>1968</v>
      </c>
      <c r="B1828"/>
      <c r="C1828"/>
      <c r="D1828"/>
      <c r="E1828"/>
      <c r="F1828"/>
      <c r="G1828"/>
      <c r="H1828"/>
      <c r="I1828"/>
      <c r="J1828"/>
      <c r="K1828"/>
      <c r="L1828"/>
      <c r="M1828"/>
    </row>
    <row r="1829" spans="1:13" x14ac:dyDescent="0.2">
      <c r="A1829" t="s">
        <v>1969</v>
      </c>
      <c r="B1829"/>
      <c r="C1829"/>
      <c r="D1829"/>
      <c r="E1829"/>
      <c r="F1829"/>
      <c r="G1829"/>
      <c r="H1829"/>
      <c r="I1829"/>
      <c r="J1829"/>
      <c r="K1829"/>
      <c r="L1829"/>
      <c r="M1829"/>
    </row>
    <row r="1830" spans="1:13" x14ac:dyDescent="0.2">
      <c r="A1830" t="s">
        <v>1970</v>
      </c>
      <c r="B1830"/>
      <c r="C1830"/>
      <c r="D1830"/>
      <c r="E1830"/>
      <c r="F1830"/>
      <c r="G1830"/>
      <c r="H1830"/>
      <c r="I1830"/>
      <c r="J1830"/>
      <c r="K1830"/>
      <c r="L1830"/>
      <c r="M1830"/>
    </row>
    <row r="1831" spans="1:13" x14ac:dyDescent="0.2">
      <c r="A1831" t="s">
        <v>1971</v>
      </c>
      <c r="B1831"/>
      <c r="C1831"/>
      <c r="D1831"/>
      <c r="E1831"/>
      <c r="F1831"/>
      <c r="G1831"/>
      <c r="H1831"/>
      <c r="I1831"/>
      <c r="J1831"/>
      <c r="K1831"/>
      <c r="L1831"/>
      <c r="M1831"/>
    </row>
    <row r="1832" spans="1:13" x14ac:dyDescent="0.2">
      <c r="A1832" t="s">
        <v>1972</v>
      </c>
      <c r="B1832"/>
      <c r="C1832"/>
      <c r="D1832"/>
      <c r="E1832"/>
      <c r="F1832"/>
      <c r="G1832"/>
      <c r="H1832"/>
      <c r="I1832"/>
      <c r="J1832"/>
      <c r="K1832"/>
      <c r="L1832"/>
      <c r="M1832"/>
    </row>
    <row r="1833" spans="1:13" x14ac:dyDescent="0.2">
      <c r="A1833" t="s">
        <v>1973</v>
      </c>
      <c r="B1833"/>
      <c r="C1833"/>
      <c r="D1833"/>
      <c r="E1833"/>
      <c r="F1833"/>
      <c r="G1833"/>
      <c r="H1833"/>
      <c r="I1833"/>
      <c r="J1833"/>
      <c r="K1833"/>
      <c r="L1833"/>
      <c r="M1833"/>
    </row>
    <row r="1834" spans="1:13" x14ac:dyDescent="0.2">
      <c r="A1834" t="s">
        <v>1974</v>
      </c>
      <c r="B1834"/>
      <c r="C1834"/>
      <c r="D1834"/>
      <c r="E1834"/>
      <c r="F1834"/>
      <c r="G1834"/>
      <c r="H1834"/>
      <c r="I1834"/>
      <c r="J1834"/>
      <c r="K1834"/>
      <c r="L1834"/>
      <c r="M1834"/>
    </row>
    <row r="1835" spans="1:13" x14ac:dyDescent="0.2">
      <c r="A1835" t="s">
        <v>1975</v>
      </c>
      <c r="B1835"/>
      <c r="C1835"/>
      <c r="D1835"/>
      <c r="E1835"/>
      <c r="F1835"/>
      <c r="G1835"/>
      <c r="H1835"/>
      <c r="I1835"/>
      <c r="J1835"/>
      <c r="K1835"/>
      <c r="L1835"/>
      <c r="M1835"/>
    </row>
    <row r="1836" spans="1:13" x14ac:dyDescent="0.2">
      <c r="A1836" t="s">
        <v>1976</v>
      </c>
      <c r="B1836"/>
      <c r="C1836"/>
      <c r="D1836"/>
      <c r="E1836"/>
      <c r="F1836"/>
      <c r="G1836"/>
      <c r="H1836"/>
      <c r="I1836"/>
      <c r="J1836"/>
      <c r="K1836"/>
      <c r="L1836"/>
      <c r="M1836"/>
    </row>
    <row r="1837" spans="1:13" x14ac:dyDescent="0.2">
      <c r="A1837" t="s">
        <v>1977</v>
      </c>
      <c r="B1837"/>
      <c r="C1837"/>
      <c r="D1837"/>
      <c r="E1837"/>
      <c r="F1837"/>
      <c r="G1837"/>
      <c r="H1837"/>
      <c r="I1837"/>
      <c r="J1837"/>
      <c r="K1837"/>
      <c r="L1837"/>
      <c r="M1837"/>
    </row>
    <row r="1838" spans="1:13" x14ac:dyDescent="0.2">
      <c r="A1838" t="s">
        <v>1978</v>
      </c>
      <c r="B1838"/>
      <c r="C1838"/>
      <c r="D1838"/>
      <c r="E1838"/>
      <c r="F1838"/>
      <c r="G1838"/>
      <c r="H1838"/>
      <c r="I1838"/>
      <c r="J1838"/>
      <c r="K1838"/>
      <c r="L1838"/>
      <c r="M1838"/>
    </row>
    <row r="1839" spans="1:13" x14ac:dyDescent="0.2">
      <c r="A1839" t="s">
        <v>1979</v>
      </c>
      <c r="B1839"/>
      <c r="C1839"/>
      <c r="D1839"/>
      <c r="E1839"/>
      <c r="F1839"/>
      <c r="G1839"/>
      <c r="H1839"/>
      <c r="I1839"/>
      <c r="J1839"/>
      <c r="K1839"/>
      <c r="L1839"/>
      <c r="M1839"/>
    </row>
    <row r="1840" spans="1:13" x14ac:dyDescent="0.2">
      <c r="A1840" t="s">
        <v>1980</v>
      </c>
      <c r="B1840"/>
      <c r="C1840"/>
      <c r="D1840"/>
      <c r="E1840"/>
      <c r="F1840"/>
      <c r="G1840"/>
      <c r="H1840"/>
      <c r="I1840"/>
      <c r="J1840"/>
      <c r="K1840"/>
      <c r="L1840"/>
      <c r="M1840"/>
    </row>
    <row r="1841" spans="1:13" x14ac:dyDescent="0.2">
      <c r="A1841" t="s">
        <v>1981</v>
      </c>
      <c r="B1841"/>
      <c r="C1841"/>
      <c r="D1841"/>
      <c r="E1841"/>
      <c r="F1841"/>
      <c r="G1841"/>
      <c r="H1841"/>
      <c r="I1841"/>
      <c r="J1841"/>
      <c r="K1841"/>
      <c r="L1841"/>
      <c r="M1841"/>
    </row>
    <row r="1842" spans="1:13" x14ac:dyDescent="0.2">
      <c r="A1842" t="s">
        <v>1982</v>
      </c>
      <c r="B1842"/>
      <c r="C1842"/>
      <c r="D1842"/>
      <c r="E1842"/>
      <c r="F1842"/>
      <c r="G1842"/>
      <c r="H1842"/>
      <c r="I1842"/>
      <c r="J1842"/>
      <c r="K1842"/>
      <c r="L1842"/>
      <c r="M1842"/>
    </row>
    <row r="1843" spans="1:13" x14ac:dyDescent="0.2">
      <c r="A1843" t="s">
        <v>1983</v>
      </c>
      <c r="B1843"/>
      <c r="C1843"/>
      <c r="D1843"/>
      <c r="E1843"/>
      <c r="F1843"/>
      <c r="G1843"/>
      <c r="H1843"/>
      <c r="I1843"/>
      <c r="J1843"/>
      <c r="K1843"/>
      <c r="L1843"/>
      <c r="M1843"/>
    </row>
    <row r="1844" spans="1:13" x14ac:dyDescent="0.2">
      <c r="A1844" t="s">
        <v>1984</v>
      </c>
      <c r="B1844"/>
      <c r="C1844"/>
      <c r="D1844"/>
      <c r="E1844"/>
      <c r="F1844"/>
      <c r="G1844"/>
      <c r="H1844"/>
      <c r="I1844"/>
      <c r="J1844"/>
      <c r="K1844"/>
      <c r="L1844"/>
      <c r="M1844"/>
    </row>
    <row r="1845" spans="1:13" x14ac:dyDescent="0.2">
      <c r="A1845" t="s">
        <v>1985</v>
      </c>
      <c r="B1845"/>
      <c r="C1845"/>
      <c r="D1845"/>
      <c r="E1845"/>
      <c r="F1845"/>
      <c r="G1845"/>
      <c r="H1845"/>
      <c r="I1845"/>
      <c r="J1845"/>
      <c r="K1845"/>
      <c r="L1845"/>
      <c r="M1845"/>
    </row>
    <row r="1846" spans="1:13" x14ac:dyDescent="0.2">
      <c r="A1846" t="s">
        <v>1986</v>
      </c>
      <c r="B1846"/>
      <c r="C1846"/>
      <c r="D1846"/>
      <c r="E1846"/>
      <c r="F1846"/>
      <c r="G1846"/>
      <c r="H1846"/>
      <c r="I1846"/>
      <c r="J1846"/>
      <c r="K1846"/>
      <c r="L1846"/>
      <c r="M1846"/>
    </row>
    <row r="1847" spans="1:13" x14ac:dyDescent="0.2">
      <c r="A1847" t="s">
        <v>1987</v>
      </c>
      <c r="B1847"/>
      <c r="C1847"/>
      <c r="D1847"/>
      <c r="E1847"/>
      <c r="F1847"/>
      <c r="G1847"/>
      <c r="H1847"/>
      <c r="I1847"/>
      <c r="J1847"/>
      <c r="K1847"/>
      <c r="L1847"/>
      <c r="M1847"/>
    </row>
    <row r="1848" spans="1:13" x14ac:dyDescent="0.2">
      <c r="A1848" t="s">
        <v>1988</v>
      </c>
      <c r="B1848"/>
      <c r="C1848"/>
      <c r="D1848"/>
      <c r="E1848"/>
      <c r="F1848"/>
      <c r="G1848"/>
      <c r="H1848"/>
      <c r="I1848"/>
      <c r="J1848"/>
      <c r="K1848"/>
      <c r="L1848"/>
      <c r="M1848"/>
    </row>
    <row r="1849" spans="1:13" x14ac:dyDescent="0.2">
      <c r="A1849" t="s">
        <v>1989</v>
      </c>
      <c r="B1849"/>
      <c r="C1849"/>
      <c r="D1849"/>
      <c r="E1849"/>
      <c r="F1849"/>
      <c r="G1849"/>
      <c r="H1849"/>
      <c r="I1849"/>
      <c r="J1849"/>
      <c r="K1849"/>
      <c r="L1849"/>
      <c r="M1849"/>
    </row>
    <row r="1850" spans="1:13" x14ac:dyDescent="0.2">
      <c r="A1850" t="s">
        <v>1990</v>
      </c>
      <c r="B1850"/>
      <c r="C1850"/>
      <c r="D1850"/>
      <c r="E1850"/>
      <c r="F1850"/>
      <c r="G1850"/>
      <c r="H1850"/>
      <c r="I1850"/>
      <c r="J1850"/>
      <c r="K1850"/>
      <c r="L1850"/>
      <c r="M1850"/>
    </row>
    <row r="1851" spans="1:13" x14ac:dyDescent="0.2">
      <c r="A1851" t="s">
        <v>1991</v>
      </c>
      <c r="B1851"/>
      <c r="C1851"/>
      <c r="D1851"/>
      <c r="E1851"/>
      <c r="F1851"/>
      <c r="G1851"/>
      <c r="H1851"/>
      <c r="I1851"/>
      <c r="J1851"/>
      <c r="K1851"/>
      <c r="L1851"/>
      <c r="M1851"/>
    </row>
    <row r="1852" spans="1:13" x14ac:dyDescent="0.2">
      <c r="A1852" t="s">
        <v>1992</v>
      </c>
      <c r="B1852"/>
      <c r="C1852"/>
      <c r="D1852"/>
      <c r="E1852"/>
      <c r="F1852"/>
      <c r="G1852"/>
      <c r="H1852"/>
      <c r="I1852"/>
      <c r="J1852"/>
      <c r="K1852"/>
      <c r="L1852"/>
      <c r="M1852"/>
    </row>
    <row r="1853" spans="1:13" x14ac:dyDescent="0.2">
      <c r="A1853" t="s">
        <v>1993</v>
      </c>
      <c r="B1853"/>
      <c r="C1853"/>
      <c r="D1853"/>
      <c r="E1853"/>
      <c r="F1853"/>
      <c r="G1853"/>
      <c r="H1853"/>
      <c r="I1853"/>
      <c r="J1853"/>
      <c r="K1853"/>
      <c r="L1853"/>
      <c r="M1853"/>
    </row>
    <row r="1854" spans="1:13" x14ac:dyDescent="0.2">
      <c r="A1854" t="s">
        <v>1994</v>
      </c>
      <c r="B1854"/>
      <c r="C1854"/>
      <c r="D1854"/>
      <c r="E1854"/>
      <c r="F1854"/>
      <c r="G1854"/>
      <c r="H1854"/>
      <c r="I1854"/>
      <c r="J1854"/>
      <c r="K1854"/>
      <c r="L1854"/>
      <c r="M1854"/>
    </row>
    <row r="1855" spans="1:13" x14ac:dyDescent="0.2">
      <c r="A1855" t="s">
        <v>1995</v>
      </c>
      <c r="B1855"/>
      <c r="C1855"/>
      <c r="D1855"/>
      <c r="E1855"/>
      <c r="F1855"/>
      <c r="G1855"/>
      <c r="H1855"/>
      <c r="I1855"/>
      <c r="J1855"/>
      <c r="K1855"/>
      <c r="L1855"/>
      <c r="M1855"/>
    </row>
    <row r="1856" spans="1:13" x14ac:dyDescent="0.2">
      <c r="A1856" t="s">
        <v>1996</v>
      </c>
      <c r="B1856"/>
      <c r="C1856"/>
      <c r="D1856"/>
      <c r="E1856"/>
      <c r="F1856"/>
      <c r="G1856"/>
      <c r="H1856"/>
      <c r="I1856"/>
      <c r="J1856"/>
      <c r="K1856"/>
      <c r="L1856"/>
      <c r="M1856"/>
    </row>
    <row r="1857" spans="1:13" x14ac:dyDescent="0.2">
      <c r="A1857" t="s">
        <v>1997</v>
      </c>
      <c r="B1857"/>
      <c r="C1857"/>
      <c r="D1857"/>
      <c r="E1857"/>
      <c r="F1857"/>
      <c r="G1857"/>
      <c r="H1857"/>
      <c r="I1857"/>
      <c r="J1857"/>
      <c r="K1857"/>
      <c r="L1857"/>
      <c r="M1857"/>
    </row>
    <row r="1858" spans="1:13" x14ac:dyDescent="0.2">
      <c r="A1858" t="s">
        <v>1998</v>
      </c>
      <c r="B1858"/>
      <c r="C1858"/>
      <c r="D1858"/>
      <c r="E1858"/>
      <c r="F1858"/>
      <c r="G1858"/>
      <c r="H1858"/>
      <c r="I1858"/>
      <c r="J1858"/>
      <c r="K1858"/>
      <c r="L1858"/>
      <c r="M1858"/>
    </row>
    <row r="1859" spans="1:13" x14ac:dyDescent="0.2">
      <c r="A1859" t="s">
        <v>1999</v>
      </c>
      <c r="B1859"/>
      <c r="C1859"/>
      <c r="D1859"/>
      <c r="E1859"/>
      <c r="F1859"/>
      <c r="G1859"/>
      <c r="H1859"/>
      <c r="I1859"/>
      <c r="J1859"/>
      <c r="K1859"/>
      <c r="L1859"/>
      <c r="M1859"/>
    </row>
    <row r="1860" spans="1:13" x14ac:dyDescent="0.2">
      <c r="A1860" t="s">
        <v>2000</v>
      </c>
      <c r="B1860"/>
      <c r="C1860"/>
      <c r="D1860"/>
      <c r="E1860"/>
      <c r="F1860"/>
      <c r="G1860"/>
      <c r="H1860"/>
      <c r="I1860"/>
      <c r="J1860"/>
      <c r="K1860"/>
      <c r="L1860"/>
      <c r="M1860"/>
    </row>
    <row r="1861" spans="1:13" x14ac:dyDescent="0.2">
      <c r="A1861" t="s">
        <v>2001</v>
      </c>
      <c r="B1861"/>
      <c r="C1861"/>
      <c r="D1861"/>
      <c r="E1861"/>
      <c r="F1861"/>
      <c r="G1861"/>
      <c r="H1861"/>
      <c r="I1861"/>
      <c r="J1861"/>
      <c r="K1861"/>
      <c r="L1861"/>
      <c r="M1861"/>
    </row>
    <row r="1862" spans="1:13" x14ac:dyDescent="0.2">
      <c r="A1862" t="s">
        <v>2002</v>
      </c>
      <c r="B1862"/>
      <c r="C1862"/>
      <c r="D1862"/>
      <c r="E1862"/>
      <c r="F1862"/>
      <c r="G1862"/>
      <c r="H1862"/>
      <c r="I1862"/>
      <c r="J1862"/>
      <c r="K1862"/>
      <c r="L1862"/>
      <c r="M1862"/>
    </row>
    <row r="1863" spans="1:13" x14ac:dyDescent="0.2">
      <c r="A1863" t="s">
        <v>2003</v>
      </c>
      <c r="B1863"/>
      <c r="C1863"/>
      <c r="D1863"/>
      <c r="E1863"/>
      <c r="F1863"/>
      <c r="G1863"/>
      <c r="H1863"/>
      <c r="I1863"/>
      <c r="J1863"/>
      <c r="K1863"/>
      <c r="L1863"/>
      <c r="M1863"/>
    </row>
    <row r="1864" spans="1:13" x14ac:dyDescent="0.2">
      <c r="A1864" t="s">
        <v>2004</v>
      </c>
      <c r="B1864"/>
      <c r="C1864"/>
      <c r="D1864"/>
      <c r="E1864"/>
      <c r="F1864"/>
      <c r="G1864"/>
      <c r="H1864"/>
      <c r="I1864"/>
      <c r="J1864"/>
      <c r="K1864"/>
      <c r="L1864"/>
      <c r="M1864"/>
    </row>
    <row r="1865" spans="1:13" x14ac:dyDescent="0.2">
      <c r="A1865" t="s">
        <v>2005</v>
      </c>
      <c r="B1865"/>
      <c r="C1865"/>
      <c r="D1865"/>
      <c r="E1865"/>
      <c r="F1865"/>
      <c r="G1865"/>
      <c r="H1865"/>
      <c r="I1865"/>
      <c r="J1865"/>
      <c r="K1865"/>
      <c r="L1865"/>
      <c r="M1865"/>
    </row>
    <row r="1866" spans="1:13" x14ac:dyDescent="0.2">
      <c r="A1866" t="s">
        <v>2006</v>
      </c>
      <c r="B1866"/>
      <c r="C1866"/>
      <c r="D1866"/>
      <c r="E1866"/>
      <c r="F1866"/>
      <c r="G1866"/>
      <c r="H1866"/>
      <c r="I1866"/>
      <c r="J1866"/>
      <c r="K1866"/>
      <c r="L1866"/>
      <c r="M1866"/>
    </row>
    <row r="1867" spans="1:13" x14ac:dyDescent="0.2">
      <c r="A1867" t="s">
        <v>2007</v>
      </c>
      <c r="B1867"/>
      <c r="C1867"/>
      <c r="D1867"/>
      <c r="E1867"/>
      <c r="F1867"/>
      <c r="G1867"/>
      <c r="H1867"/>
      <c r="I1867"/>
      <c r="J1867"/>
      <c r="K1867"/>
      <c r="L1867"/>
      <c r="M1867"/>
    </row>
    <row r="1868" spans="1:13" x14ac:dyDescent="0.2">
      <c r="A1868" t="s">
        <v>2008</v>
      </c>
      <c r="B1868"/>
      <c r="C1868"/>
      <c r="D1868"/>
      <c r="E1868"/>
      <c r="F1868"/>
      <c r="G1868"/>
      <c r="H1868"/>
      <c r="I1868"/>
      <c r="J1868"/>
      <c r="K1868"/>
      <c r="L1868"/>
      <c r="M1868"/>
    </row>
    <row r="1869" spans="1:13" x14ac:dyDescent="0.2">
      <c r="A1869" t="s">
        <v>2009</v>
      </c>
      <c r="B1869"/>
      <c r="C1869"/>
      <c r="D1869"/>
      <c r="E1869"/>
      <c r="F1869"/>
      <c r="G1869"/>
      <c r="H1869"/>
      <c r="I1869"/>
      <c r="J1869"/>
      <c r="K1869"/>
      <c r="L1869"/>
      <c r="M1869"/>
    </row>
    <row r="1870" spans="1:13" x14ac:dyDescent="0.2">
      <c r="A1870" t="s">
        <v>2010</v>
      </c>
      <c r="B1870"/>
      <c r="C1870"/>
      <c r="D1870"/>
      <c r="E1870"/>
      <c r="F1870"/>
      <c r="G1870"/>
      <c r="H1870"/>
      <c r="I1870"/>
      <c r="J1870"/>
      <c r="K1870"/>
      <c r="L1870"/>
      <c r="M1870"/>
    </row>
    <row r="1871" spans="1:13" x14ac:dyDescent="0.2">
      <c r="A1871" t="s">
        <v>2011</v>
      </c>
      <c r="B1871"/>
      <c r="C1871"/>
      <c r="D1871"/>
      <c r="E1871"/>
      <c r="F1871"/>
      <c r="G1871"/>
      <c r="H1871"/>
      <c r="I1871"/>
      <c r="J1871"/>
      <c r="K1871"/>
      <c r="L1871"/>
      <c r="M1871"/>
    </row>
    <row r="1872" spans="1:13" x14ac:dyDescent="0.2">
      <c r="A1872" t="s">
        <v>2012</v>
      </c>
      <c r="B1872"/>
      <c r="C1872"/>
      <c r="D1872"/>
      <c r="E1872"/>
      <c r="F1872"/>
      <c r="G1872"/>
      <c r="H1872"/>
      <c r="I1872"/>
      <c r="J1872"/>
      <c r="K1872"/>
      <c r="L1872"/>
      <c r="M1872"/>
    </row>
    <row r="1873" spans="1:13" x14ac:dyDescent="0.2">
      <c r="A1873" t="s">
        <v>2013</v>
      </c>
      <c r="B1873"/>
      <c r="C1873"/>
      <c r="D1873"/>
      <c r="E1873"/>
      <c r="F1873"/>
      <c r="G1873"/>
      <c r="H1873"/>
      <c r="I1873"/>
      <c r="J1873"/>
      <c r="K1873"/>
      <c r="L1873"/>
      <c r="M1873"/>
    </row>
    <row r="1874" spans="1:13" x14ac:dyDescent="0.2">
      <c r="A1874" t="s">
        <v>2014</v>
      </c>
      <c r="B1874"/>
      <c r="C1874"/>
      <c r="D1874"/>
      <c r="E1874"/>
      <c r="F1874"/>
      <c r="G1874"/>
      <c r="H1874"/>
      <c r="I1874"/>
      <c r="J1874"/>
      <c r="K1874"/>
      <c r="L1874"/>
      <c r="M1874"/>
    </row>
    <row r="1875" spans="1:13" x14ac:dyDescent="0.2">
      <c r="A1875" t="s">
        <v>2015</v>
      </c>
      <c r="B1875"/>
      <c r="C1875"/>
      <c r="D1875"/>
      <c r="E1875"/>
      <c r="F1875"/>
      <c r="G1875"/>
      <c r="H1875"/>
      <c r="I1875"/>
      <c r="J1875"/>
      <c r="K1875"/>
      <c r="L1875"/>
      <c r="M1875"/>
    </row>
    <row r="1876" spans="1:13" x14ac:dyDescent="0.2">
      <c r="A1876" t="s">
        <v>2016</v>
      </c>
      <c r="B1876"/>
      <c r="C1876"/>
      <c r="D1876"/>
      <c r="E1876"/>
      <c r="F1876"/>
      <c r="G1876"/>
      <c r="H1876"/>
      <c r="I1876"/>
      <c r="J1876"/>
      <c r="K1876"/>
      <c r="L1876"/>
      <c r="M1876"/>
    </row>
    <row r="1877" spans="1:13" x14ac:dyDescent="0.2">
      <c r="A1877" t="s">
        <v>2017</v>
      </c>
      <c r="B1877"/>
      <c r="C1877"/>
      <c r="D1877"/>
      <c r="E1877"/>
      <c r="F1877"/>
      <c r="G1877"/>
      <c r="H1877"/>
      <c r="I1877"/>
      <c r="J1877"/>
      <c r="K1877"/>
      <c r="L1877"/>
      <c r="M1877"/>
    </row>
    <row r="1878" spans="1:13" x14ac:dyDescent="0.2">
      <c r="A1878" t="s">
        <v>2018</v>
      </c>
      <c r="B1878"/>
      <c r="C1878"/>
      <c r="D1878"/>
      <c r="E1878"/>
      <c r="F1878"/>
      <c r="G1878"/>
      <c r="H1878"/>
      <c r="I1878"/>
      <c r="J1878"/>
      <c r="K1878"/>
      <c r="L1878"/>
      <c r="M1878"/>
    </row>
    <row r="1879" spans="1:13" x14ac:dyDescent="0.2">
      <c r="A1879" t="s">
        <v>2019</v>
      </c>
      <c r="B1879"/>
      <c r="C1879"/>
      <c r="D1879"/>
      <c r="E1879"/>
      <c r="F1879"/>
      <c r="G1879"/>
      <c r="H1879"/>
      <c r="I1879"/>
      <c r="J1879"/>
      <c r="K1879"/>
      <c r="L1879"/>
      <c r="M1879"/>
    </row>
    <row r="1880" spans="1:13" x14ac:dyDescent="0.2">
      <c r="A1880" t="s">
        <v>2020</v>
      </c>
      <c r="B1880"/>
      <c r="C1880"/>
      <c r="D1880"/>
      <c r="E1880"/>
      <c r="F1880"/>
      <c r="G1880"/>
      <c r="H1880"/>
      <c r="I1880"/>
      <c r="J1880"/>
      <c r="K1880"/>
      <c r="L1880"/>
      <c r="M1880"/>
    </row>
    <row r="1881" spans="1:13" x14ac:dyDescent="0.2">
      <c r="A1881" t="s">
        <v>2021</v>
      </c>
      <c r="B1881"/>
      <c r="C1881"/>
      <c r="D1881"/>
      <c r="E1881"/>
      <c r="F1881"/>
      <c r="G1881"/>
      <c r="H1881"/>
      <c r="I1881"/>
      <c r="J1881"/>
      <c r="K1881"/>
      <c r="L1881"/>
      <c r="M1881"/>
    </row>
    <row r="1882" spans="1:13" x14ac:dyDescent="0.2">
      <c r="A1882" t="s">
        <v>2022</v>
      </c>
      <c r="B1882"/>
      <c r="C1882"/>
      <c r="D1882"/>
      <c r="E1882"/>
      <c r="F1882"/>
      <c r="G1882"/>
      <c r="H1882"/>
      <c r="I1882"/>
      <c r="J1882"/>
      <c r="K1882"/>
      <c r="L1882"/>
      <c r="M1882"/>
    </row>
    <row r="1883" spans="1:13" x14ac:dyDescent="0.2">
      <c r="A1883" t="s">
        <v>2023</v>
      </c>
      <c r="B1883"/>
      <c r="C1883"/>
      <c r="D1883"/>
      <c r="E1883"/>
      <c r="F1883"/>
      <c r="G1883"/>
      <c r="H1883"/>
      <c r="I1883"/>
      <c r="J1883"/>
      <c r="K1883"/>
      <c r="L1883"/>
      <c r="M1883"/>
    </row>
    <row r="1884" spans="1:13" x14ac:dyDescent="0.2">
      <c r="A1884" t="s">
        <v>2024</v>
      </c>
      <c r="B1884"/>
      <c r="C1884"/>
      <c r="D1884"/>
      <c r="E1884"/>
      <c r="F1884"/>
      <c r="G1884"/>
      <c r="H1884"/>
      <c r="I1884"/>
      <c r="J1884"/>
      <c r="K1884"/>
      <c r="L1884"/>
      <c r="M1884"/>
    </row>
    <row r="1885" spans="1:13" x14ac:dyDescent="0.2">
      <c r="A1885" t="s">
        <v>2025</v>
      </c>
      <c r="B1885"/>
      <c r="C1885"/>
      <c r="D1885"/>
      <c r="E1885"/>
      <c r="F1885"/>
      <c r="G1885"/>
      <c r="H1885"/>
      <c r="I1885"/>
      <c r="J1885"/>
      <c r="K1885"/>
      <c r="L1885"/>
      <c r="M1885"/>
    </row>
    <row r="1886" spans="1:13" x14ac:dyDescent="0.2">
      <c r="A1886" t="s">
        <v>2026</v>
      </c>
      <c r="B1886"/>
      <c r="C1886"/>
      <c r="D1886"/>
      <c r="E1886"/>
      <c r="F1886"/>
      <c r="G1886"/>
      <c r="H1886"/>
      <c r="I1886"/>
      <c r="J1886"/>
      <c r="K1886"/>
      <c r="L1886"/>
      <c r="M1886"/>
    </row>
    <row r="1887" spans="1:13" x14ac:dyDescent="0.2">
      <c r="A1887" t="s">
        <v>2027</v>
      </c>
      <c r="B1887"/>
      <c r="C1887"/>
      <c r="D1887"/>
      <c r="E1887"/>
      <c r="F1887"/>
      <c r="G1887"/>
      <c r="H1887"/>
      <c r="I1887"/>
      <c r="J1887"/>
      <c r="K1887"/>
      <c r="L1887"/>
      <c r="M1887"/>
    </row>
    <row r="1888" spans="1:13" x14ac:dyDescent="0.2">
      <c r="A1888" t="s">
        <v>2028</v>
      </c>
      <c r="B1888"/>
      <c r="C1888"/>
      <c r="D1888"/>
      <c r="E1888"/>
      <c r="F1888"/>
      <c r="G1888"/>
      <c r="H1888"/>
      <c r="I1888"/>
      <c r="J1888"/>
      <c r="K1888"/>
      <c r="L1888"/>
      <c r="M1888"/>
    </row>
    <row r="1889" spans="1:13" x14ac:dyDescent="0.2">
      <c r="A1889" t="s">
        <v>2029</v>
      </c>
      <c r="B1889"/>
      <c r="C1889"/>
      <c r="D1889"/>
      <c r="E1889"/>
      <c r="F1889"/>
      <c r="G1889"/>
      <c r="H1889"/>
      <c r="I1889"/>
      <c r="J1889"/>
      <c r="K1889"/>
      <c r="L1889"/>
      <c r="M1889"/>
    </row>
    <row r="1890" spans="1:13" x14ac:dyDescent="0.2">
      <c r="A1890" t="s">
        <v>2030</v>
      </c>
      <c r="B1890"/>
      <c r="C1890"/>
      <c r="D1890"/>
      <c r="E1890"/>
      <c r="F1890"/>
      <c r="G1890"/>
      <c r="H1890"/>
      <c r="I1890"/>
      <c r="J1890"/>
      <c r="K1890"/>
      <c r="L1890"/>
      <c r="M1890"/>
    </row>
    <row r="1891" spans="1:13" x14ac:dyDescent="0.2">
      <c r="A1891" t="s">
        <v>2031</v>
      </c>
      <c r="B1891"/>
      <c r="C1891"/>
      <c r="D1891"/>
      <c r="E1891"/>
      <c r="F1891"/>
      <c r="G1891"/>
      <c r="H1891"/>
      <c r="I1891"/>
      <c r="J1891"/>
      <c r="K1891"/>
      <c r="L1891"/>
      <c r="M1891"/>
    </row>
    <row r="1892" spans="1:13" x14ac:dyDescent="0.2">
      <c r="A1892" t="s">
        <v>2032</v>
      </c>
      <c r="B1892"/>
      <c r="C1892"/>
      <c r="D1892"/>
      <c r="E1892"/>
      <c r="F1892"/>
      <c r="G1892"/>
      <c r="H1892"/>
      <c r="I1892"/>
      <c r="J1892"/>
      <c r="K1892"/>
      <c r="L1892"/>
      <c r="M1892"/>
    </row>
    <row r="1893" spans="1:13" x14ac:dyDescent="0.2">
      <c r="A1893" t="s">
        <v>2033</v>
      </c>
      <c r="B1893"/>
      <c r="C1893"/>
      <c r="D1893"/>
      <c r="E1893"/>
      <c r="F1893"/>
      <c r="G1893"/>
      <c r="H1893"/>
      <c r="I1893"/>
      <c r="J1893"/>
      <c r="K1893"/>
      <c r="L1893"/>
      <c r="M1893"/>
    </row>
    <row r="1894" spans="1:13" x14ac:dyDescent="0.2">
      <c r="A1894" t="s">
        <v>2034</v>
      </c>
      <c r="B1894"/>
      <c r="C1894"/>
      <c r="D1894"/>
      <c r="E1894"/>
      <c r="F1894"/>
      <c r="G1894"/>
      <c r="H1894"/>
      <c r="I1894"/>
      <c r="J1894"/>
      <c r="K1894"/>
      <c r="L1894"/>
      <c r="M1894"/>
    </row>
    <row r="1895" spans="1:13" x14ac:dyDescent="0.2">
      <c r="A1895" t="s">
        <v>2035</v>
      </c>
      <c r="B1895"/>
      <c r="C1895"/>
      <c r="D1895"/>
      <c r="E1895"/>
      <c r="F1895"/>
      <c r="G1895"/>
      <c r="H1895"/>
      <c r="I1895"/>
      <c r="J1895"/>
      <c r="K1895"/>
      <c r="L1895"/>
      <c r="M1895"/>
    </row>
    <row r="1896" spans="1:13" x14ac:dyDescent="0.2">
      <c r="A1896" t="s">
        <v>2036</v>
      </c>
      <c r="B1896"/>
      <c r="C1896"/>
      <c r="D1896"/>
      <c r="E1896"/>
      <c r="F1896"/>
      <c r="G1896"/>
      <c r="H1896"/>
      <c r="I1896"/>
      <c r="J1896"/>
      <c r="K1896"/>
      <c r="L1896"/>
      <c r="M1896"/>
    </row>
    <row r="1897" spans="1:13" x14ac:dyDescent="0.2">
      <c r="A1897" t="s">
        <v>2037</v>
      </c>
      <c r="B1897"/>
      <c r="C1897"/>
      <c r="D1897"/>
      <c r="E1897"/>
      <c r="F1897"/>
      <c r="G1897"/>
      <c r="H1897"/>
      <c r="I1897"/>
      <c r="J1897"/>
      <c r="K1897"/>
      <c r="L1897"/>
      <c r="M1897"/>
    </row>
    <row r="1898" spans="1:13" x14ac:dyDescent="0.2">
      <c r="A1898" t="s">
        <v>2038</v>
      </c>
      <c r="B1898"/>
      <c r="C1898"/>
      <c r="D1898"/>
      <c r="E1898"/>
      <c r="F1898"/>
      <c r="G1898"/>
      <c r="H1898"/>
      <c r="I1898"/>
      <c r="J1898"/>
      <c r="K1898"/>
      <c r="L1898"/>
      <c r="M1898"/>
    </row>
    <row r="1899" spans="1:13" x14ac:dyDescent="0.2">
      <c r="A1899" t="s">
        <v>2039</v>
      </c>
      <c r="B1899"/>
      <c r="C1899"/>
      <c r="D1899"/>
      <c r="E1899"/>
      <c r="F1899"/>
      <c r="G1899"/>
      <c r="H1899"/>
      <c r="I1899"/>
      <c r="J1899"/>
      <c r="K1899"/>
      <c r="L1899"/>
      <c r="M1899"/>
    </row>
    <row r="1900" spans="1:13" x14ac:dyDescent="0.2">
      <c r="A1900" t="s">
        <v>2040</v>
      </c>
      <c r="B1900"/>
      <c r="C1900"/>
      <c r="D1900"/>
      <c r="E1900"/>
      <c r="F1900"/>
      <c r="G1900"/>
      <c r="H1900"/>
      <c r="I1900"/>
      <c r="J1900"/>
      <c r="K1900"/>
      <c r="L1900"/>
      <c r="M1900"/>
    </row>
    <row r="1901" spans="1:13" x14ac:dyDescent="0.2">
      <c r="A1901" t="s">
        <v>2041</v>
      </c>
      <c r="B1901"/>
      <c r="C1901"/>
      <c r="D1901"/>
      <c r="E1901"/>
      <c r="F1901"/>
      <c r="G1901"/>
      <c r="H1901"/>
      <c r="I1901"/>
      <c r="J1901"/>
      <c r="K1901"/>
      <c r="L1901"/>
      <c r="M1901"/>
    </row>
    <row r="1902" spans="1:13" x14ac:dyDescent="0.2">
      <c r="A1902" t="s">
        <v>2042</v>
      </c>
      <c r="B1902"/>
      <c r="C1902"/>
      <c r="D1902"/>
      <c r="E1902"/>
      <c r="F1902"/>
      <c r="G1902"/>
      <c r="H1902"/>
      <c r="I1902"/>
      <c r="J1902"/>
      <c r="K1902"/>
      <c r="L1902"/>
      <c r="M1902"/>
    </row>
    <row r="1903" spans="1:13" x14ac:dyDescent="0.2">
      <c r="A1903" t="s">
        <v>2043</v>
      </c>
      <c r="B1903"/>
      <c r="C1903"/>
      <c r="D1903"/>
      <c r="E1903"/>
      <c r="F1903"/>
      <c r="G1903"/>
      <c r="H1903"/>
      <c r="I1903"/>
      <c r="J1903"/>
      <c r="K1903"/>
      <c r="L1903"/>
      <c r="M1903"/>
    </row>
    <row r="1904" spans="1:13" x14ac:dyDescent="0.2">
      <c r="A1904" t="s">
        <v>2044</v>
      </c>
      <c r="B1904"/>
      <c r="C1904"/>
      <c r="D1904"/>
      <c r="E1904"/>
      <c r="F1904"/>
      <c r="G1904"/>
      <c r="H1904"/>
      <c r="I1904"/>
      <c r="J1904"/>
      <c r="K1904"/>
      <c r="L1904"/>
      <c r="M1904"/>
    </row>
    <row r="1905" spans="1:13" x14ac:dyDescent="0.2">
      <c r="A1905" t="s">
        <v>2045</v>
      </c>
      <c r="B1905"/>
      <c r="C1905"/>
      <c r="D1905"/>
      <c r="E1905"/>
      <c r="F1905"/>
      <c r="G1905"/>
      <c r="H1905"/>
      <c r="I1905"/>
      <c r="J1905"/>
      <c r="K1905"/>
      <c r="L1905"/>
      <c r="M1905"/>
    </row>
    <row r="1906" spans="1:13" x14ac:dyDescent="0.2">
      <c r="A1906" t="s">
        <v>2046</v>
      </c>
      <c r="B1906"/>
      <c r="C1906"/>
      <c r="D1906"/>
      <c r="E1906"/>
      <c r="F1906"/>
      <c r="G1906"/>
      <c r="H1906"/>
      <c r="I1906"/>
      <c r="J1906"/>
      <c r="K1906"/>
      <c r="L1906"/>
      <c r="M1906"/>
    </row>
    <row r="1907" spans="1:13" x14ac:dyDescent="0.2">
      <c r="A1907" t="s">
        <v>2047</v>
      </c>
      <c r="B1907"/>
      <c r="C1907"/>
      <c r="D1907"/>
      <c r="E1907"/>
      <c r="F1907"/>
      <c r="G1907"/>
      <c r="H1907"/>
      <c r="I1907"/>
      <c r="J1907"/>
      <c r="K1907"/>
      <c r="L1907"/>
      <c r="M1907"/>
    </row>
    <row r="1908" spans="1:13" x14ac:dyDescent="0.2">
      <c r="A1908" t="s">
        <v>2048</v>
      </c>
      <c r="B1908"/>
      <c r="C1908"/>
      <c r="D1908"/>
      <c r="E1908"/>
      <c r="F1908"/>
      <c r="G1908"/>
      <c r="H1908"/>
      <c r="I1908"/>
      <c r="J1908"/>
      <c r="K1908"/>
      <c r="L1908"/>
      <c r="M1908"/>
    </row>
    <row r="1909" spans="1:13" x14ac:dyDescent="0.2">
      <c r="A1909" t="s">
        <v>2049</v>
      </c>
      <c r="B1909"/>
      <c r="C1909"/>
      <c r="D1909"/>
      <c r="E1909"/>
      <c r="F1909"/>
      <c r="G1909"/>
      <c r="H1909"/>
      <c r="I1909"/>
      <c r="J1909"/>
      <c r="K1909"/>
      <c r="L1909"/>
      <c r="M1909"/>
    </row>
    <row r="1910" spans="1:13" x14ac:dyDescent="0.2">
      <c r="A1910" t="s">
        <v>2050</v>
      </c>
      <c r="B1910"/>
      <c r="C1910"/>
      <c r="D1910"/>
      <c r="E1910"/>
      <c r="F1910"/>
      <c r="G1910"/>
      <c r="H1910"/>
      <c r="I1910"/>
      <c r="J1910"/>
      <c r="K1910"/>
      <c r="L1910"/>
      <c r="M1910"/>
    </row>
    <row r="1911" spans="1:13" x14ac:dyDescent="0.2">
      <c r="A1911" t="s">
        <v>2051</v>
      </c>
      <c r="B1911"/>
      <c r="C1911"/>
      <c r="D1911"/>
      <c r="E1911"/>
      <c r="F1911"/>
      <c r="G1911"/>
      <c r="H1911"/>
      <c r="I1911"/>
      <c r="J1911"/>
      <c r="K1911"/>
      <c r="L1911"/>
      <c r="M1911"/>
    </row>
    <row r="1912" spans="1:13" x14ac:dyDescent="0.2">
      <c r="A1912" t="s">
        <v>2052</v>
      </c>
      <c r="B1912"/>
      <c r="C1912"/>
      <c r="D1912"/>
      <c r="E1912"/>
      <c r="F1912"/>
      <c r="G1912"/>
      <c r="H1912"/>
      <c r="I1912"/>
      <c r="J1912"/>
      <c r="K1912"/>
      <c r="L1912"/>
      <c r="M1912"/>
    </row>
    <row r="1913" spans="1:13" x14ac:dyDescent="0.2">
      <c r="A1913" t="s">
        <v>2053</v>
      </c>
      <c r="B1913"/>
      <c r="C1913"/>
      <c r="D1913"/>
      <c r="E1913"/>
      <c r="F1913"/>
      <c r="G1913"/>
      <c r="H1913"/>
      <c r="I1913"/>
      <c r="J1913"/>
      <c r="K1913"/>
      <c r="L1913"/>
      <c r="M1913"/>
    </row>
    <row r="1914" spans="1:13" x14ac:dyDescent="0.2">
      <c r="A1914" t="s">
        <v>2054</v>
      </c>
      <c r="B1914"/>
      <c r="C1914"/>
      <c r="D1914"/>
      <c r="E1914"/>
      <c r="F1914"/>
      <c r="G1914"/>
      <c r="H1914"/>
      <c r="I1914"/>
      <c r="J1914"/>
      <c r="K1914"/>
      <c r="L1914"/>
      <c r="M1914"/>
    </row>
    <row r="1915" spans="1:13" x14ac:dyDescent="0.2">
      <c r="A1915" t="s">
        <v>2055</v>
      </c>
      <c r="B1915"/>
      <c r="C1915"/>
      <c r="D1915"/>
      <c r="E1915"/>
      <c r="F1915"/>
      <c r="G1915"/>
      <c r="H1915"/>
      <c r="I1915"/>
      <c r="J1915"/>
      <c r="K1915"/>
      <c r="L1915"/>
      <c r="M1915"/>
    </row>
    <row r="1916" spans="1:13" x14ac:dyDescent="0.2">
      <c r="A1916" t="s">
        <v>2056</v>
      </c>
      <c r="B1916"/>
      <c r="C1916"/>
      <c r="D1916"/>
      <c r="E1916"/>
      <c r="F1916"/>
      <c r="G1916"/>
      <c r="H1916"/>
      <c r="I1916"/>
      <c r="J1916"/>
      <c r="K1916"/>
      <c r="L1916"/>
      <c r="M1916"/>
    </row>
    <row r="1917" spans="1:13" x14ac:dyDescent="0.2">
      <c r="A1917" t="s">
        <v>2057</v>
      </c>
      <c r="B1917"/>
      <c r="C1917"/>
      <c r="D1917"/>
      <c r="E1917"/>
      <c r="F1917"/>
      <c r="G1917"/>
      <c r="H1917"/>
      <c r="I1917"/>
      <c r="J1917"/>
      <c r="K1917"/>
      <c r="L1917"/>
      <c r="M1917"/>
    </row>
    <row r="1918" spans="1:13" x14ac:dyDescent="0.2">
      <c r="A1918" t="s">
        <v>2058</v>
      </c>
      <c r="B1918"/>
      <c r="C1918"/>
      <c r="D1918"/>
      <c r="E1918"/>
      <c r="F1918"/>
      <c r="G1918"/>
      <c r="H1918"/>
      <c r="I1918"/>
      <c r="J1918"/>
      <c r="K1918"/>
      <c r="L1918"/>
      <c r="M1918"/>
    </row>
    <row r="1919" spans="1:13" x14ac:dyDescent="0.2">
      <c r="A1919" t="s">
        <v>2059</v>
      </c>
      <c r="B1919"/>
      <c r="C1919"/>
      <c r="D1919"/>
      <c r="E1919"/>
      <c r="F1919"/>
      <c r="G1919"/>
      <c r="H1919"/>
      <c r="I1919"/>
      <c r="J1919"/>
      <c r="K1919"/>
      <c r="L1919"/>
      <c r="M1919"/>
    </row>
    <row r="1920" spans="1:13" x14ac:dyDescent="0.2">
      <c r="A1920" t="s">
        <v>2060</v>
      </c>
      <c r="B1920"/>
      <c r="C1920"/>
      <c r="D1920"/>
      <c r="E1920"/>
      <c r="F1920"/>
      <c r="G1920"/>
      <c r="H1920"/>
      <c r="I1920"/>
      <c r="J1920"/>
      <c r="K1920"/>
      <c r="L1920"/>
      <c r="M1920"/>
    </row>
    <row r="1921" spans="1:13" x14ac:dyDescent="0.2">
      <c r="A1921" t="s">
        <v>2061</v>
      </c>
      <c r="B1921"/>
      <c r="C1921"/>
      <c r="D1921"/>
      <c r="E1921"/>
      <c r="F1921"/>
      <c r="G1921"/>
      <c r="H1921"/>
      <c r="I1921"/>
      <c r="J1921"/>
      <c r="K1921"/>
      <c r="L1921"/>
      <c r="M1921"/>
    </row>
    <row r="1922" spans="1:13" x14ac:dyDescent="0.2">
      <c r="A1922" t="s">
        <v>2062</v>
      </c>
      <c r="B1922"/>
      <c r="C1922"/>
      <c r="D1922"/>
      <c r="E1922"/>
      <c r="F1922"/>
      <c r="G1922"/>
      <c r="H1922"/>
      <c r="I1922"/>
      <c r="J1922"/>
      <c r="K1922"/>
      <c r="L1922"/>
      <c r="M1922"/>
    </row>
    <row r="1923" spans="1:13" x14ac:dyDescent="0.2">
      <c r="A1923" t="s">
        <v>2063</v>
      </c>
      <c r="B1923"/>
      <c r="C1923"/>
      <c r="D1923"/>
      <c r="E1923"/>
      <c r="F1923"/>
      <c r="G1923"/>
      <c r="H1923"/>
      <c r="I1923"/>
      <c r="J1923"/>
      <c r="K1923"/>
      <c r="L1923"/>
      <c r="M1923"/>
    </row>
    <row r="1924" spans="1:13" x14ac:dyDescent="0.2">
      <c r="A1924" t="s">
        <v>2064</v>
      </c>
      <c r="B1924"/>
      <c r="C1924"/>
      <c r="D1924"/>
      <c r="E1924"/>
      <c r="F1924"/>
      <c r="G1924"/>
      <c r="H1924"/>
      <c r="I1924"/>
      <c r="J1924"/>
      <c r="K1924"/>
      <c r="L1924"/>
      <c r="M1924"/>
    </row>
    <row r="1925" spans="1:13" x14ac:dyDescent="0.2">
      <c r="A1925" t="s">
        <v>2065</v>
      </c>
      <c r="B1925"/>
      <c r="C1925"/>
      <c r="D1925"/>
      <c r="E1925"/>
      <c r="F1925"/>
      <c r="G1925"/>
      <c r="H1925"/>
      <c r="I1925"/>
      <c r="J1925"/>
      <c r="K1925"/>
      <c r="L1925"/>
      <c r="M1925"/>
    </row>
    <row r="1926" spans="1:13" x14ac:dyDescent="0.2">
      <c r="A1926" t="s">
        <v>2066</v>
      </c>
      <c r="B1926"/>
      <c r="C1926"/>
      <c r="D1926"/>
      <c r="E1926"/>
      <c r="F1926"/>
      <c r="G1926"/>
      <c r="H1926"/>
      <c r="I1926"/>
      <c r="J1926"/>
      <c r="K1926"/>
      <c r="L1926"/>
      <c r="M1926"/>
    </row>
    <row r="1927" spans="1:13" x14ac:dyDescent="0.2">
      <c r="A1927" t="s">
        <v>2067</v>
      </c>
      <c r="B1927"/>
      <c r="C1927"/>
      <c r="D1927"/>
      <c r="E1927"/>
      <c r="F1927"/>
      <c r="G1927"/>
      <c r="H1927"/>
      <c r="I1927"/>
      <c r="J1927"/>
      <c r="K1927"/>
      <c r="L1927"/>
      <c r="M1927"/>
    </row>
    <row r="1928" spans="1:13" x14ac:dyDescent="0.2">
      <c r="A1928" t="s">
        <v>2068</v>
      </c>
      <c r="B1928"/>
      <c r="C1928"/>
      <c r="D1928"/>
      <c r="E1928"/>
      <c r="F1928"/>
      <c r="G1928"/>
      <c r="H1928"/>
      <c r="I1928"/>
      <c r="J1928"/>
      <c r="K1928"/>
      <c r="L1928"/>
      <c r="M1928"/>
    </row>
    <row r="1929" spans="1:13" x14ac:dyDescent="0.2">
      <c r="A1929" t="s">
        <v>2069</v>
      </c>
      <c r="B1929"/>
      <c r="C1929"/>
      <c r="D1929"/>
      <c r="E1929"/>
      <c r="F1929"/>
      <c r="G1929"/>
      <c r="H1929"/>
      <c r="I1929"/>
      <c r="J1929"/>
      <c r="K1929"/>
      <c r="L1929"/>
      <c r="M1929"/>
    </row>
    <row r="1930" spans="1:13" x14ac:dyDescent="0.2">
      <c r="A1930" t="s">
        <v>2070</v>
      </c>
      <c r="B1930"/>
      <c r="C1930"/>
      <c r="D1930"/>
      <c r="E1930"/>
      <c r="F1930"/>
      <c r="G1930"/>
      <c r="H1930"/>
      <c r="I1930"/>
      <c r="J1930"/>
      <c r="K1930"/>
      <c r="L1930"/>
      <c r="M1930"/>
    </row>
    <row r="1931" spans="1:13" x14ac:dyDescent="0.2">
      <c r="A1931" t="s">
        <v>2071</v>
      </c>
      <c r="B1931"/>
      <c r="C1931"/>
      <c r="D1931"/>
      <c r="E1931"/>
      <c r="F1931"/>
      <c r="G1931"/>
      <c r="H1931"/>
      <c r="I1931"/>
      <c r="J1931"/>
      <c r="K1931"/>
      <c r="L1931"/>
      <c r="M1931"/>
    </row>
    <row r="1932" spans="1:13" x14ac:dyDescent="0.2">
      <c r="A1932" t="s">
        <v>2072</v>
      </c>
      <c r="B1932"/>
      <c r="C1932"/>
      <c r="D1932"/>
      <c r="E1932"/>
      <c r="F1932"/>
      <c r="G1932"/>
      <c r="H1932"/>
      <c r="I1932"/>
      <c r="J1932"/>
      <c r="K1932"/>
      <c r="L1932"/>
      <c r="M1932"/>
    </row>
    <row r="1933" spans="1:13" x14ac:dyDescent="0.2">
      <c r="A1933" t="s">
        <v>2073</v>
      </c>
      <c r="B1933"/>
      <c r="C1933"/>
      <c r="D1933"/>
      <c r="E1933"/>
      <c r="F1933"/>
      <c r="G1933"/>
      <c r="H1933"/>
      <c r="I1933"/>
      <c r="J1933"/>
      <c r="K1933"/>
      <c r="L1933"/>
      <c r="M1933"/>
    </row>
    <row r="1934" spans="1:13" x14ac:dyDescent="0.2">
      <c r="A1934" t="s">
        <v>2074</v>
      </c>
      <c r="B1934"/>
      <c r="C1934"/>
      <c r="D1934"/>
      <c r="E1934"/>
      <c r="F1934"/>
      <c r="G1934"/>
      <c r="H1934"/>
      <c r="I1934"/>
      <c r="J1934"/>
      <c r="K1934"/>
      <c r="L1934"/>
      <c r="M1934"/>
    </row>
    <row r="1935" spans="1:13" x14ac:dyDescent="0.2">
      <c r="A1935" t="s">
        <v>2075</v>
      </c>
      <c r="B1935"/>
      <c r="C1935"/>
      <c r="D1935"/>
      <c r="E1935"/>
      <c r="F1935"/>
      <c r="G1935"/>
      <c r="H1935"/>
      <c r="I1935"/>
      <c r="J1935"/>
      <c r="K1935"/>
      <c r="L1935"/>
      <c r="M1935"/>
    </row>
    <row r="1936" spans="1:13" x14ac:dyDescent="0.2">
      <c r="A1936" t="s">
        <v>2076</v>
      </c>
      <c r="B1936"/>
      <c r="C1936"/>
      <c r="D1936"/>
      <c r="E1936"/>
      <c r="F1936"/>
      <c r="G1936"/>
      <c r="H1936"/>
      <c r="I1936"/>
      <c r="J1936"/>
      <c r="K1936"/>
      <c r="L1936"/>
      <c r="M1936"/>
    </row>
    <row r="1937" spans="1:13" x14ac:dyDescent="0.2">
      <c r="A1937" t="s">
        <v>2077</v>
      </c>
      <c r="B1937"/>
      <c r="C1937"/>
      <c r="D1937"/>
      <c r="E1937"/>
      <c r="F1937"/>
      <c r="G1937"/>
      <c r="H1937"/>
      <c r="I1937"/>
      <c r="J1937"/>
      <c r="K1937"/>
      <c r="L1937"/>
      <c r="M1937"/>
    </row>
    <row r="1938" spans="1:13" x14ac:dyDescent="0.2">
      <c r="A1938" t="s">
        <v>2078</v>
      </c>
      <c r="B1938"/>
      <c r="C1938"/>
      <c r="D1938"/>
      <c r="E1938"/>
      <c r="F1938"/>
      <c r="G1938"/>
      <c r="H1938"/>
      <c r="I1938"/>
      <c r="J1938"/>
      <c r="K1938"/>
      <c r="L1938"/>
      <c r="M1938"/>
    </row>
    <row r="1939" spans="1:13" x14ac:dyDescent="0.2">
      <c r="A1939" t="s">
        <v>2079</v>
      </c>
      <c r="B1939"/>
      <c r="C1939"/>
      <c r="D1939"/>
      <c r="E1939"/>
      <c r="F1939"/>
      <c r="G1939"/>
      <c r="H1939"/>
      <c r="I1939"/>
      <c r="J1939"/>
      <c r="K1939"/>
      <c r="L1939"/>
      <c r="M1939"/>
    </row>
    <row r="1940" spans="1:13" x14ac:dyDescent="0.2">
      <c r="A1940" t="s">
        <v>2080</v>
      </c>
      <c r="B1940"/>
      <c r="C1940"/>
      <c r="D1940"/>
      <c r="E1940"/>
      <c r="F1940"/>
      <c r="G1940"/>
      <c r="H1940"/>
      <c r="I1940"/>
      <c r="J1940"/>
      <c r="K1940"/>
      <c r="L1940"/>
      <c r="M1940"/>
    </row>
    <row r="1941" spans="1:13" x14ac:dyDescent="0.2">
      <c r="A1941" t="s">
        <v>2081</v>
      </c>
      <c r="B1941"/>
      <c r="C1941"/>
      <c r="D1941"/>
      <c r="E1941"/>
      <c r="F1941"/>
      <c r="G1941"/>
      <c r="H1941"/>
      <c r="I1941"/>
      <c r="J1941"/>
      <c r="K1941"/>
      <c r="L1941"/>
      <c r="M1941"/>
    </row>
    <row r="1942" spans="1:13" x14ac:dyDescent="0.2">
      <c r="A1942" t="s">
        <v>2082</v>
      </c>
      <c r="B1942"/>
      <c r="C1942"/>
      <c r="D1942"/>
      <c r="E1942"/>
      <c r="F1942"/>
      <c r="G1942"/>
      <c r="H1942"/>
      <c r="I1942"/>
      <c r="J1942"/>
      <c r="K1942"/>
      <c r="L1942"/>
      <c r="M1942"/>
    </row>
    <row r="1943" spans="1:13" x14ac:dyDescent="0.2">
      <c r="A1943" t="s">
        <v>2083</v>
      </c>
      <c r="B1943"/>
      <c r="C1943"/>
      <c r="D1943"/>
      <c r="E1943"/>
      <c r="F1943"/>
      <c r="G1943"/>
      <c r="H1943"/>
      <c r="I1943"/>
      <c r="J1943"/>
      <c r="K1943"/>
      <c r="L1943"/>
      <c r="M1943"/>
    </row>
    <row r="1944" spans="1:13" x14ac:dyDescent="0.2">
      <c r="A1944" t="s">
        <v>2084</v>
      </c>
      <c r="B1944"/>
      <c r="C1944"/>
      <c r="D1944"/>
      <c r="E1944"/>
      <c r="F1944"/>
      <c r="G1944"/>
      <c r="H1944"/>
      <c r="I1944"/>
      <c r="J1944"/>
      <c r="K1944"/>
      <c r="L1944"/>
      <c r="M1944"/>
    </row>
    <row r="1945" spans="1:13" x14ac:dyDescent="0.2">
      <c r="A1945" t="s">
        <v>2085</v>
      </c>
      <c r="B1945"/>
      <c r="C1945"/>
      <c r="D1945"/>
      <c r="E1945"/>
      <c r="F1945"/>
      <c r="G1945"/>
      <c r="H1945"/>
      <c r="I1945"/>
      <c r="J1945"/>
      <c r="K1945"/>
      <c r="L1945"/>
      <c r="M1945"/>
    </row>
    <row r="1946" spans="1:13" x14ac:dyDescent="0.2">
      <c r="A1946" t="s">
        <v>2086</v>
      </c>
      <c r="B1946"/>
      <c r="C1946"/>
      <c r="D1946"/>
      <c r="E1946"/>
      <c r="F1946"/>
      <c r="G1946"/>
      <c r="H1946"/>
      <c r="I1946"/>
      <c r="J1946"/>
      <c r="K1946"/>
      <c r="L1946"/>
      <c r="M1946"/>
    </row>
    <row r="1947" spans="1:13" x14ac:dyDescent="0.2">
      <c r="A1947" t="s">
        <v>2087</v>
      </c>
      <c r="B1947"/>
      <c r="C1947"/>
      <c r="D1947"/>
      <c r="E1947"/>
      <c r="F1947"/>
      <c r="G1947"/>
      <c r="H1947"/>
      <c r="I1947"/>
      <c r="J1947"/>
      <c r="K1947"/>
      <c r="L1947"/>
      <c r="M1947"/>
    </row>
    <row r="1948" spans="1:13" x14ac:dyDescent="0.2">
      <c r="A1948" t="s">
        <v>2088</v>
      </c>
      <c r="B1948"/>
      <c r="C1948"/>
      <c r="D1948"/>
      <c r="E1948"/>
      <c r="F1948"/>
      <c r="G1948"/>
      <c r="H1948"/>
      <c r="I1948"/>
      <c r="J1948"/>
      <c r="K1948"/>
      <c r="L1948"/>
      <c r="M1948"/>
    </row>
    <row r="1949" spans="1:13" x14ac:dyDescent="0.2">
      <c r="A1949" t="s">
        <v>2089</v>
      </c>
      <c r="B1949"/>
      <c r="C1949"/>
      <c r="D1949"/>
      <c r="E1949"/>
      <c r="F1949"/>
      <c r="G1949"/>
      <c r="H1949"/>
      <c r="I1949"/>
      <c r="J1949"/>
      <c r="K1949"/>
      <c r="L1949"/>
      <c r="M1949"/>
    </row>
    <row r="1950" spans="1:13" x14ac:dyDescent="0.2">
      <c r="A1950" t="s">
        <v>2090</v>
      </c>
      <c r="B1950"/>
      <c r="C1950"/>
      <c r="D1950"/>
      <c r="E1950"/>
      <c r="F1950"/>
      <c r="G1950"/>
      <c r="H1950"/>
      <c r="I1950"/>
      <c r="J1950"/>
      <c r="K1950"/>
      <c r="L1950"/>
      <c r="M1950"/>
    </row>
    <row r="1951" spans="1:13" x14ac:dyDescent="0.2">
      <c r="A1951" t="s">
        <v>2091</v>
      </c>
      <c r="B1951"/>
      <c r="C1951"/>
      <c r="D1951"/>
      <c r="E1951"/>
      <c r="F1951"/>
      <c r="G1951"/>
      <c r="H1951"/>
      <c r="I1951"/>
      <c r="J1951"/>
      <c r="K1951"/>
      <c r="L1951"/>
      <c r="M1951"/>
    </row>
    <row r="1952" spans="1:13" x14ac:dyDescent="0.2">
      <c r="A1952" t="s">
        <v>2092</v>
      </c>
      <c r="B1952"/>
      <c r="C1952"/>
      <c r="D1952"/>
      <c r="E1952"/>
      <c r="F1952"/>
      <c r="G1952"/>
      <c r="H1952"/>
      <c r="I1952"/>
      <c r="J1952"/>
      <c r="K1952"/>
      <c r="L1952"/>
      <c r="M1952"/>
    </row>
    <row r="1953" spans="1:13" x14ac:dyDescent="0.2">
      <c r="A1953" t="s">
        <v>2093</v>
      </c>
      <c r="B1953"/>
      <c r="C1953"/>
      <c r="D1953"/>
      <c r="E1953"/>
      <c r="F1953"/>
      <c r="G1953"/>
      <c r="H1953"/>
      <c r="I1953"/>
      <c r="J1953"/>
      <c r="K1953"/>
      <c r="L1953"/>
      <c r="M1953"/>
    </row>
    <row r="1954" spans="1:13" x14ac:dyDescent="0.2">
      <c r="A1954" t="s">
        <v>2094</v>
      </c>
      <c r="B1954"/>
      <c r="C1954"/>
      <c r="D1954"/>
      <c r="E1954"/>
      <c r="F1954"/>
      <c r="G1954"/>
      <c r="H1954"/>
      <c r="I1954"/>
      <c r="J1954"/>
      <c r="K1954"/>
      <c r="L1954"/>
      <c r="M1954"/>
    </row>
    <row r="1955" spans="1:13" x14ac:dyDescent="0.2">
      <c r="A1955" t="s">
        <v>2095</v>
      </c>
      <c r="B1955"/>
      <c r="C1955"/>
      <c r="D1955"/>
      <c r="E1955"/>
      <c r="F1955"/>
      <c r="G1955"/>
      <c r="H1955"/>
      <c r="I1955"/>
      <c r="J1955"/>
      <c r="K1955"/>
      <c r="L1955"/>
      <c r="M1955"/>
    </row>
    <row r="1956" spans="1:13" x14ac:dyDescent="0.2">
      <c r="A1956" t="s">
        <v>2096</v>
      </c>
      <c r="B1956"/>
      <c r="C1956"/>
      <c r="D1956"/>
      <c r="E1956"/>
      <c r="F1956"/>
      <c r="G1956"/>
      <c r="H1956"/>
      <c r="I1956"/>
      <c r="J1956"/>
      <c r="K1956"/>
      <c r="L1956"/>
      <c r="M1956"/>
    </row>
    <row r="1957" spans="1:13" x14ac:dyDescent="0.2">
      <c r="A1957" t="s">
        <v>2097</v>
      </c>
      <c r="B1957"/>
      <c r="C1957"/>
      <c r="D1957"/>
      <c r="E1957"/>
      <c r="F1957"/>
      <c r="G1957"/>
      <c r="H1957"/>
      <c r="I1957"/>
      <c r="J1957"/>
      <c r="K1957"/>
      <c r="L1957"/>
      <c r="M1957"/>
    </row>
    <row r="1958" spans="1:13" x14ac:dyDescent="0.2">
      <c r="A1958" t="s">
        <v>2098</v>
      </c>
      <c r="B1958"/>
      <c r="C1958"/>
      <c r="D1958"/>
      <c r="E1958"/>
      <c r="F1958"/>
      <c r="G1958"/>
      <c r="H1958"/>
      <c r="I1958"/>
      <c r="J1958"/>
      <c r="K1958"/>
      <c r="L1958"/>
      <c r="M1958"/>
    </row>
    <row r="1959" spans="1:13" x14ac:dyDescent="0.2">
      <c r="A1959" t="s">
        <v>2099</v>
      </c>
      <c r="B1959"/>
      <c r="C1959"/>
      <c r="D1959"/>
      <c r="E1959"/>
      <c r="F1959"/>
      <c r="G1959"/>
      <c r="H1959"/>
      <c r="I1959"/>
      <c r="J1959"/>
      <c r="K1959"/>
      <c r="L1959"/>
      <c r="M1959"/>
    </row>
    <row r="1960" spans="1:13" x14ac:dyDescent="0.2">
      <c r="A1960" t="s">
        <v>2100</v>
      </c>
      <c r="B1960"/>
      <c r="C1960"/>
      <c r="D1960"/>
      <c r="E1960"/>
      <c r="F1960"/>
      <c r="G1960"/>
      <c r="H1960"/>
      <c r="I1960"/>
      <c r="J1960"/>
      <c r="K1960"/>
      <c r="L1960"/>
      <c r="M1960"/>
    </row>
    <row r="1961" spans="1:13" x14ac:dyDescent="0.2">
      <c r="A1961" t="s">
        <v>2101</v>
      </c>
      <c r="B1961"/>
      <c r="C1961"/>
      <c r="D1961"/>
      <c r="E1961"/>
      <c r="F1961"/>
      <c r="G1961"/>
      <c r="H1961"/>
      <c r="I1961"/>
      <c r="J1961"/>
      <c r="K1961"/>
      <c r="L1961"/>
      <c r="M1961"/>
    </row>
    <row r="1962" spans="1:13" x14ac:dyDescent="0.2">
      <c r="A1962" t="s">
        <v>2102</v>
      </c>
      <c r="B1962"/>
      <c r="C1962"/>
      <c r="D1962"/>
      <c r="E1962"/>
      <c r="F1962"/>
      <c r="G1962"/>
      <c r="H1962"/>
      <c r="I1962"/>
      <c r="J1962"/>
      <c r="K1962"/>
      <c r="L1962"/>
      <c r="M1962"/>
    </row>
    <row r="1963" spans="1:13" x14ac:dyDescent="0.2">
      <c r="A1963" t="s">
        <v>2103</v>
      </c>
      <c r="B1963"/>
      <c r="C1963"/>
      <c r="D1963"/>
      <c r="E1963"/>
      <c r="F1963"/>
      <c r="G1963"/>
      <c r="H1963"/>
      <c r="I1963"/>
      <c r="J1963"/>
      <c r="K1963"/>
      <c r="L1963"/>
      <c r="M1963"/>
    </row>
    <row r="1964" spans="1:13" x14ac:dyDescent="0.2">
      <c r="A1964" t="s">
        <v>2104</v>
      </c>
      <c r="B1964"/>
      <c r="C1964"/>
      <c r="D1964"/>
      <c r="E1964"/>
      <c r="F1964"/>
      <c r="G1964"/>
      <c r="H1964"/>
      <c r="I1964"/>
      <c r="J1964"/>
      <c r="K1964"/>
      <c r="L1964"/>
      <c r="M1964"/>
    </row>
    <row r="1965" spans="1:13" x14ac:dyDescent="0.2">
      <c r="A1965" t="s">
        <v>2105</v>
      </c>
      <c r="B1965"/>
      <c r="C1965"/>
      <c r="D1965"/>
      <c r="E1965"/>
      <c r="F1965"/>
      <c r="G1965"/>
      <c r="H1965"/>
      <c r="I1965"/>
      <c r="J1965"/>
      <c r="K1965"/>
      <c r="L1965"/>
      <c r="M1965"/>
    </row>
    <row r="1966" spans="1:13" x14ac:dyDescent="0.2">
      <c r="A1966" t="s">
        <v>2106</v>
      </c>
      <c r="B1966"/>
      <c r="C1966"/>
      <c r="D1966"/>
      <c r="E1966"/>
      <c r="F1966"/>
      <c r="G1966"/>
      <c r="H1966"/>
      <c r="I1966"/>
      <c r="J1966"/>
      <c r="K1966"/>
      <c r="L1966"/>
      <c r="M1966"/>
    </row>
    <row r="1967" spans="1:13" x14ac:dyDescent="0.2">
      <c r="A1967" t="s">
        <v>2107</v>
      </c>
      <c r="B1967"/>
      <c r="C1967"/>
      <c r="D1967"/>
      <c r="E1967"/>
      <c r="F1967"/>
      <c r="G1967"/>
      <c r="H1967"/>
      <c r="I1967"/>
      <c r="J1967"/>
      <c r="K1967"/>
      <c r="L1967"/>
      <c r="M1967"/>
    </row>
    <row r="1968" spans="1:13" x14ac:dyDescent="0.2">
      <c r="A1968" t="s">
        <v>2108</v>
      </c>
      <c r="B1968"/>
      <c r="C1968"/>
      <c r="D1968"/>
      <c r="E1968"/>
      <c r="F1968"/>
      <c r="G1968"/>
      <c r="H1968"/>
      <c r="I1968"/>
      <c r="J1968"/>
      <c r="K1968"/>
      <c r="L1968"/>
      <c r="M1968"/>
    </row>
    <row r="1969" spans="1:13" x14ac:dyDescent="0.2">
      <c r="A1969" t="s">
        <v>2109</v>
      </c>
      <c r="B1969"/>
      <c r="C1969"/>
      <c r="D1969"/>
      <c r="E1969"/>
      <c r="F1969"/>
      <c r="G1969"/>
      <c r="H1969"/>
      <c r="I1969"/>
      <c r="J1969"/>
      <c r="K1969"/>
      <c r="L1969"/>
      <c r="M1969"/>
    </row>
    <row r="1970" spans="1:13" x14ac:dyDescent="0.2">
      <c r="A1970" t="s">
        <v>2110</v>
      </c>
      <c r="B1970"/>
      <c r="C1970"/>
      <c r="D1970"/>
      <c r="E1970"/>
      <c r="F1970"/>
      <c r="G1970"/>
      <c r="H1970"/>
      <c r="I1970"/>
      <c r="J1970"/>
      <c r="K1970"/>
      <c r="L1970"/>
      <c r="M1970"/>
    </row>
    <row r="1971" spans="1:13" x14ac:dyDescent="0.2">
      <c r="A1971" t="s">
        <v>2111</v>
      </c>
      <c r="B1971"/>
      <c r="C1971"/>
      <c r="D1971"/>
      <c r="E1971"/>
      <c r="F1971"/>
      <c r="G1971"/>
      <c r="H1971"/>
      <c r="I1971"/>
      <c r="J1971"/>
      <c r="K1971"/>
      <c r="L1971"/>
      <c r="M1971"/>
    </row>
    <row r="1972" spans="1:13" x14ac:dyDescent="0.2">
      <c r="A1972" t="s">
        <v>2112</v>
      </c>
      <c r="B1972"/>
      <c r="C1972"/>
      <c r="D1972"/>
      <c r="E1972"/>
      <c r="F1972"/>
      <c r="G1972"/>
      <c r="H1972"/>
      <c r="I1972"/>
      <c r="J1972"/>
      <c r="K1972"/>
      <c r="L1972"/>
      <c r="M1972"/>
    </row>
    <row r="1973" spans="1:13" x14ac:dyDescent="0.2">
      <c r="A1973" t="s">
        <v>2113</v>
      </c>
      <c r="B1973"/>
      <c r="C1973"/>
      <c r="D1973"/>
      <c r="E1973"/>
      <c r="F1973"/>
      <c r="G1973"/>
      <c r="H1973"/>
      <c r="I1973"/>
      <c r="J1973"/>
      <c r="K1973"/>
      <c r="L1973"/>
      <c r="M1973"/>
    </row>
    <row r="1974" spans="1:13" x14ac:dyDescent="0.2">
      <c r="A1974" t="s">
        <v>2114</v>
      </c>
      <c r="B1974"/>
      <c r="C1974"/>
      <c r="D1974"/>
      <c r="E1974"/>
      <c r="F1974"/>
      <c r="G1974"/>
      <c r="H1974"/>
      <c r="I1974"/>
      <c r="J1974"/>
      <c r="K1974"/>
      <c r="L1974"/>
      <c r="M1974"/>
    </row>
    <row r="1975" spans="1:13" x14ac:dyDescent="0.2">
      <c r="A1975" t="s">
        <v>2115</v>
      </c>
      <c r="B1975"/>
      <c r="C1975"/>
      <c r="D1975"/>
      <c r="E1975"/>
      <c r="F1975"/>
      <c r="G1975"/>
      <c r="H1975"/>
      <c r="I1975"/>
      <c r="J1975"/>
      <c r="K1975"/>
      <c r="L1975"/>
      <c r="M1975"/>
    </row>
    <row r="1976" spans="1:13" x14ac:dyDescent="0.2">
      <c r="A1976" t="s">
        <v>2116</v>
      </c>
      <c r="B1976"/>
      <c r="C1976"/>
      <c r="D1976"/>
      <c r="E1976"/>
      <c r="F1976"/>
      <c r="G1976"/>
      <c r="H1976"/>
      <c r="I1976"/>
      <c r="J1976"/>
      <c r="K1976"/>
      <c r="L1976"/>
      <c r="M1976"/>
    </row>
    <row r="1977" spans="1:13" x14ac:dyDescent="0.2">
      <c r="A1977" t="s">
        <v>2117</v>
      </c>
      <c r="B1977"/>
      <c r="C1977"/>
      <c r="D1977"/>
      <c r="E1977"/>
      <c r="F1977"/>
      <c r="G1977"/>
      <c r="H1977"/>
      <c r="I1977"/>
      <c r="J1977"/>
      <c r="K1977"/>
      <c r="L1977"/>
      <c r="M1977"/>
    </row>
    <row r="1978" spans="1:13" x14ac:dyDescent="0.2">
      <c r="A1978" t="s">
        <v>2118</v>
      </c>
      <c r="B1978"/>
      <c r="C1978"/>
      <c r="D1978"/>
      <c r="E1978"/>
      <c r="F1978"/>
      <c r="G1978"/>
      <c r="H1978"/>
      <c r="I1978"/>
      <c r="J1978"/>
      <c r="K1978"/>
      <c r="L1978"/>
      <c r="M1978"/>
    </row>
    <row r="1979" spans="1:13" x14ac:dyDescent="0.2">
      <c r="A1979" t="s">
        <v>2119</v>
      </c>
      <c r="B1979"/>
      <c r="C1979"/>
      <c r="D1979"/>
      <c r="E1979"/>
      <c r="F1979"/>
      <c r="G1979"/>
      <c r="H1979"/>
      <c r="I1979"/>
      <c r="J1979"/>
      <c r="K1979"/>
      <c r="L1979"/>
      <c r="M1979"/>
    </row>
    <row r="1980" spans="1:13" x14ac:dyDescent="0.2">
      <c r="A1980" t="s">
        <v>2120</v>
      </c>
      <c r="B1980"/>
      <c r="C1980"/>
      <c r="D1980"/>
      <c r="E1980"/>
      <c r="F1980"/>
      <c r="G1980"/>
      <c r="H1980"/>
      <c r="I1980"/>
      <c r="J1980"/>
      <c r="K1980"/>
      <c r="L1980"/>
      <c r="M1980"/>
    </row>
    <row r="1981" spans="1:13" x14ac:dyDescent="0.2">
      <c r="A1981" t="s">
        <v>2121</v>
      </c>
      <c r="B1981"/>
      <c r="C1981"/>
      <c r="D1981"/>
      <c r="E1981"/>
      <c r="F1981"/>
      <c r="G1981"/>
      <c r="H1981"/>
      <c r="I1981"/>
      <c r="J1981"/>
      <c r="K1981"/>
      <c r="L1981"/>
      <c r="M1981"/>
    </row>
    <row r="1982" spans="1:13" x14ac:dyDescent="0.2">
      <c r="A1982" t="s">
        <v>2122</v>
      </c>
      <c r="B1982"/>
      <c r="C1982"/>
      <c r="D1982"/>
      <c r="E1982"/>
      <c r="F1982"/>
      <c r="G1982"/>
      <c r="H1982"/>
      <c r="I1982"/>
      <c r="J1982"/>
      <c r="K1982"/>
      <c r="L1982"/>
      <c r="M1982"/>
    </row>
    <row r="1983" spans="1:13" x14ac:dyDescent="0.2">
      <c r="A1983" t="s">
        <v>2123</v>
      </c>
      <c r="B1983"/>
      <c r="C1983"/>
      <c r="D1983"/>
      <c r="E1983"/>
      <c r="F1983"/>
      <c r="G1983"/>
      <c r="H1983"/>
      <c r="I1983"/>
      <c r="J1983"/>
      <c r="K1983"/>
      <c r="L1983"/>
      <c r="M1983"/>
    </row>
    <row r="1984" spans="1:13" x14ac:dyDescent="0.2">
      <c r="A1984" t="s">
        <v>2124</v>
      </c>
      <c r="B1984"/>
      <c r="C1984"/>
      <c r="D1984"/>
      <c r="E1984"/>
      <c r="F1984"/>
      <c r="G1984"/>
      <c r="H1984"/>
      <c r="I1984"/>
      <c r="J1984"/>
      <c r="K1984"/>
      <c r="L1984"/>
      <c r="M1984"/>
    </row>
    <row r="1985" spans="1:13" x14ac:dyDescent="0.2">
      <c r="A1985" t="s">
        <v>2125</v>
      </c>
      <c r="B1985"/>
      <c r="C1985"/>
      <c r="D1985"/>
      <c r="E1985"/>
      <c r="F1985"/>
      <c r="G1985"/>
      <c r="H1985"/>
      <c r="I1985"/>
      <c r="J1985"/>
      <c r="K1985"/>
      <c r="L1985"/>
      <c r="M1985"/>
    </row>
    <row r="1986" spans="1:13" x14ac:dyDescent="0.2">
      <c r="A1986" t="s">
        <v>2126</v>
      </c>
      <c r="B1986"/>
      <c r="C1986"/>
      <c r="D1986"/>
      <c r="E1986"/>
      <c r="F1986"/>
      <c r="G1986"/>
      <c r="H1986"/>
      <c r="I1986"/>
      <c r="J1986"/>
      <c r="K1986"/>
      <c r="L1986"/>
      <c r="M1986"/>
    </row>
    <row r="1987" spans="1:13" x14ac:dyDescent="0.2">
      <c r="A1987" t="s">
        <v>2127</v>
      </c>
      <c r="B1987"/>
      <c r="C1987"/>
      <c r="D1987"/>
      <c r="E1987"/>
      <c r="F1987"/>
      <c r="G1987"/>
      <c r="H1987"/>
      <c r="I1987"/>
      <c r="J1987"/>
      <c r="K1987"/>
      <c r="L1987"/>
      <c r="M1987"/>
    </row>
    <row r="1988" spans="1:13" x14ac:dyDescent="0.2">
      <c r="A1988" t="s">
        <v>2128</v>
      </c>
      <c r="B1988"/>
      <c r="C1988"/>
      <c r="D1988"/>
      <c r="E1988"/>
      <c r="F1988"/>
      <c r="G1988"/>
      <c r="H1988"/>
      <c r="I1988"/>
      <c r="J1988"/>
      <c r="K1988"/>
      <c r="L1988"/>
      <c r="M1988"/>
    </row>
    <row r="1989" spans="1:13" x14ac:dyDescent="0.2">
      <c r="A1989" t="s">
        <v>2129</v>
      </c>
      <c r="B1989"/>
      <c r="C1989"/>
      <c r="D1989"/>
      <c r="E1989"/>
      <c r="F1989"/>
      <c r="G1989"/>
      <c r="H1989"/>
      <c r="I1989"/>
      <c r="J1989"/>
      <c r="K1989"/>
      <c r="L1989"/>
      <c r="M1989"/>
    </row>
    <row r="1990" spans="1:13" x14ac:dyDescent="0.2">
      <c r="A1990" t="s">
        <v>2130</v>
      </c>
      <c r="B1990"/>
      <c r="C1990"/>
      <c r="D1990"/>
      <c r="E1990"/>
      <c r="F1990"/>
      <c r="G1990"/>
      <c r="H1990"/>
      <c r="I1990"/>
      <c r="J1990"/>
      <c r="K1990"/>
      <c r="L1990"/>
      <c r="M1990"/>
    </row>
    <row r="1991" spans="1:13" x14ac:dyDescent="0.2">
      <c r="A1991" t="s">
        <v>2131</v>
      </c>
      <c r="B1991"/>
      <c r="C1991"/>
      <c r="D1991"/>
      <c r="E1991"/>
      <c r="F1991"/>
      <c r="G1991"/>
      <c r="H1991"/>
      <c r="I1991"/>
      <c r="J1991"/>
      <c r="K1991"/>
      <c r="L1991"/>
      <c r="M1991"/>
    </row>
    <row r="1992" spans="1:13" x14ac:dyDescent="0.2">
      <c r="A1992" t="s">
        <v>2132</v>
      </c>
      <c r="B1992"/>
      <c r="C1992"/>
      <c r="D1992"/>
      <c r="E1992"/>
      <c r="F1992"/>
      <c r="G1992"/>
      <c r="H1992"/>
      <c r="I1992"/>
      <c r="J1992"/>
      <c r="K1992"/>
      <c r="L1992"/>
      <c r="M1992"/>
    </row>
    <row r="1993" spans="1:13" x14ac:dyDescent="0.2">
      <c r="A1993" t="s">
        <v>2133</v>
      </c>
      <c r="B1993"/>
      <c r="C1993"/>
      <c r="D1993"/>
      <c r="E1993"/>
      <c r="F1993"/>
      <c r="G1993"/>
      <c r="H1993"/>
      <c r="I1993"/>
      <c r="J1993"/>
      <c r="K1993"/>
      <c r="L1993"/>
      <c r="M1993"/>
    </row>
    <row r="1994" spans="1:13" x14ac:dyDescent="0.2">
      <c r="A1994" t="s">
        <v>2134</v>
      </c>
      <c r="B1994"/>
      <c r="C1994"/>
      <c r="D1994"/>
      <c r="E1994"/>
      <c r="F1994"/>
      <c r="G1994"/>
      <c r="H1994"/>
      <c r="I1994"/>
      <c r="J1994"/>
      <c r="K1994"/>
      <c r="L1994"/>
      <c r="M1994"/>
    </row>
    <row r="1995" spans="1:13" x14ac:dyDescent="0.2">
      <c r="A1995" t="s">
        <v>2135</v>
      </c>
      <c r="B1995"/>
      <c r="C1995"/>
      <c r="D1995"/>
      <c r="E1995"/>
      <c r="F1995"/>
      <c r="G1995"/>
      <c r="H1995"/>
      <c r="I1995"/>
      <c r="J1995"/>
      <c r="K1995"/>
      <c r="L1995"/>
      <c r="M1995"/>
    </row>
    <row r="1996" spans="1:13" x14ac:dyDescent="0.2">
      <c r="A1996" t="s">
        <v>2136</v>
      </c>
      <c r="B1996"/>
      <c r="C1996"/>
      <c r="D1996"/>
      <c r="E1996"/>
      <c r="F1996"/>
      <c r="G1996"/>
      <c r="H1996"/>
      <c r="I1996"/>
      <c r="J1996"/>
      <c r="K1996"/>
      <c r="L1996"/>
      <c r="M1996"/>
    </row>
    <row r="1997" spans="1:13" x14ac:dyDescent="0.2">
      <c r="A1997" t="s">
        <v>2137</v>
      </c>
      <c r="B1997"/>
      <c r="C1997"/>
      <c r="D1997"/>
      <c r="E1997"/>
      <c r="F1997"/>
      <c r="G1997"/>
      <c r="H1997"/>
      <c r="I1997"/>
      <c r="J1997"/>
      <c r="K1997"/>
      <c r="L1997"/>
      <c r="M1997"/>
    </row>
    <row r="1998" spans="1:13" x14ac:dyDescent="0.2">
      <c r="A1998" t="s">
        <v>2138</v>
      </c>
      <c r="B1998"/>
      <c r="C1998"/>
      <c r="D1998"/>
      <c r="E1998"/>
      <c r="F1998"/>
      <c r="G1998"/>
      <c r="H1998"/>
      <c r="I1998"/>
      <c r="J1998"/>
      <c r="K1998"/>
      <c r="L1998"/>
      <c r="M1998"/>
    </row>
    <row r="1999" spans="1:13" x14ac:dyDescent="0.2">
      <c r="A1999" t="s">
        <v>2139</v>
      </c>
      <c r="B1999"/>
      <c r="C1999"/>
      <c r="D1999"/>
      <c r="E1999"/>
      <c r="F1999"/>
      <c r="G1999"/>
      <c r="H1999"/>
      <c r="I1999"/>
      <c r="J1999"/>
      <c r="K1999"/>
      <c r="L1999"/>
      <c r="M1999"/>
    </row>
    <row r="2000" spans="1:13" x14ac:dyDescent="0.2">
      <c r="A2000" t="s">
        <v>2140</v>
      </c>
      <c r="B2000"/>
      <c r="C2000"/>
      <c r="D2000"/>
      <c r="E2000"/>
      <c r="F2000"/>
      <c r="G2000"/>
      <c r="H2000"/>
      <c r="I2000"/>
      <c r="J2000"/>
      <c r="K2000"/>
      <c r="L2000"/>
      <c r="M2000"/>
    </row>
    <row r="2001" spans="1:13" x14ac:dyDescent="0.2">
      <c r="A2001" t="s">
        <v>2141</v>
      </c>
      <c r="B2001"/>
      <c r="C2001"/>
      <c r="D2001"/>
      <c r="E2001"/>
      <c r="F2001"/>
      <c r="G2001"/>
      <c r="H2001"/>
      <c r="I2001"/>
      <c r="J2001"/>
      <c r="K2001"/>
      <c r="L2001"/>
      <c r="M2001"/>
    </row>
    <row r="2002" spans="1:13" x14ac:dyDescent="0.2">
      <c r="A2002" t="s">
        <v>2142</v>
      </c>
      <c r="B2002"/>
      <c r="C2002"/>
      <c r="D2002"/>
      <c r="E2002"/>
      <c r="F2002"/>
      <c r="G2002"/>
      <c r="H2002"/>
      <c r="I2002"/>
      <c r="J2002"/>
      <c r="K2002"/>
      <c r="L2002"/>
      <c r="M2002"/>
    </row>
    <row r="2003" spans="1:13" x14ac:dyDescent="0.2">
      <c r="A2003" t="s">
        <v>2143</v>
      </c>
      <c r="B2003"/>
      <c r="C2003"/>
      <c r="D2003"/>
      <c r="E2003"/>
      <c r="F2003"/>
      <c r="G2003"/>
      <c r="H2003"/>
      <c r="I2003"/>
      <c r="J2003"/>
      <c r="K2003"/>
      <c r="L2003"/>
      <c r="M2003"/>
    </row>
    <row r="2004" spans="1:13" x14ac:dyDescent="0.2">
      <c r="A2004" t="s">
        <v>2144</v>
      </c>
      <c r="B2004"/>
      <c r="C2004"/>
      <c r="D2004"/>
      <c r="E2004"/>
      <c r="F2004"/>
      <c r="G2004"/>
      <c r="H2004"/>
      <c r="I2004"/>
      <c r="J2004"/>
      <c r="K2004"/>
      <c r="L2004"/>
      <c r="M200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71A7B-304F-4B80-B9E3-492ED845AC13}">
  <dimension ref="A1:I17"/>
  <sheetViews>
    <sheetView workbookViewId="0">
      <selection activeCell="E43" sqref="E43"/>
    </sheetView>
  </sheetViews>
  <sheetFormatPr baseColWidth="10" defaultRowHeight="12.75" x14ac:dyDescent="0.2"/>
  <cols>
    <col min="2" max="2" width="4.5703125" customWidth="1"/>
    <col min="4" max="4" width="5.28515625" customWidth="1"/>
    <col min="6" max="6" width="5.85546875" customWidth="1"/>
    <col min="7" max="7" width="19.5703125" bestFit="1" customWidth="1"/>
    <col min="9" max="9" width="15.28515625" bestFit="1" customWidth="1"/>
  </cols>
  <sheetData>
    <row r="1" spans="1:9" ht="13.5" thickBot="1" x14ac:dyDescent="0.25">
      <c r="A1" s="28" t="s">
        <v>134</v>
      </c>
      <c r="B1" s="11"/>
      <c r="C1" s="31" t="s">
        <v>132</v>
      </c>
      <c r="D1" s="11"/>
      <c r="E1" s="28" t="s">
        <v>130</v>
      </c>
      <c r="F1" s="11"/>
      <c r="G1" s="28" t="s">
        <v>136</v>
      </c>
      <c r="H1" s="11"/>
      <c r="I1" s="31" t="s">
        <v>126</v>
      </c>
    </row>
    <row r="2" spans="1:9" x14ac:dyDescent="0.2">
      <c r="A2" s="29" t="s">
        <v>3</v>
      </c>
      <c r="B2" s="11"/>
      <c r="C2" s="28" t="s">
        <v>2</v>
      </c>
      <c r="D2" s="11"/>
      <c r="E2" s="29" t="s">
        <v>6</v>
      </c>
      <c r="F2" s="11"/>
      <c r="G2" s="29" t="s">
        <v>4</v>
      </c>
      <c r="H2" s="11"/>
      <c r="I2" s="29" t="s">
        <v>0</v>
      </c>
    </row>
    <row r="3" spans="1:9" ht="13.5" thickBot="1" x14ac:dyDescent="0.25">
      <c r="A3" s="30" t="s">
        <v>121</v>
      </c>
      <c r="B3" s="11"/>
      <c r="C3" s="32" t="s">
        <v>15</v>
      </c>
      <c r="D3" s="11"/>
      <c r="E3" s="30" t="s">
        <v>1</v>
      </c>
      <c r="F3" s="11"/>
      <c r="G3" s="29" t="s">
        <v>9</v>
      </c>
      <c r="H3" s="11"/>
      <c r="I3" s="29" t="s">
        <v>5</v>
      </c>
    </row>
    <row r="4" spans="1:9" ht="13.5" thickBot="1" x14ac:dyDescent="0.25">
      <c r="A4" s="11"/>
      <c r="B4" s="11"/>
      <c r="C4" s="30" t="s">
        <v>21</v>
      </c>
      <c r="D4" s="11"/>
      <c r="E4" s="11"/>
      <c r="F4" s="11"/>
      <c r="G4" s="29" t="s">
        <v>20</v>
      </c>
      <c r="H4" s="11"/>
      <c r="I4" s="29" t="s">
        <v>72</v>
      </c>
    </row>
    <row r="5" spans="1:9" ht="13.5" thickBot="1" x14ac:dyDescent="0.25">
      <c r="A5" s="11"/>
      <c r="B5" s="11"/>
      <c r="C5" s="11"/>
      <c r="D5" s="11"/>
      <c r="E5" s="11"/>
      <c r="F5" s="11"/>
      <c r="G5" s="30" t="s">
        <v>22</v>
      </c>
      <c r="H5" s="11"/>
      <c r="I5" s="29" t="s">
        <v>62</v>
      </c>
    </row>
    <row r="6" spans="1:9" x14ac:dyDescent="0.2">
      <c r="A6" s="11"/>
      <c r="B6" s="11"/>
      <c r="C6" s="11"/>
      <c r="D6" s="11"/>
      <c r="E6" s="11"/>
      <c r="F6" s="11"/>
      <c r="G6" s="11"/>
      <c r="H6" s="11"/>
      <c r="I6" s="29" t="s">
        <v>49</v>
      </c>
    </row>
    <row r="7" spans="1:9" x14ac:dyDescent="0.2">
      <c r="A7" s="11"/>
      <c r="B7" s="11"/>
      <c r="C7" s="11"/>
      <c r="D7" s="11"/>
      <c r="E7" s="11"/>
      <c r="F7" s="11"/>
      <c r="G7" s="11"/>
      <c r="H7" s="11"/>
      <c r="I7" s="29" t="s">
        <v>63</v>
      </c>
    </row>
    <row r="8" spans="1:9" x14ac:dyDescent="0.2">
      <c r="A8" s="11"/>
      <c r="B8" s="11"/>
      <c r="C8" s="11"/>
      <c r="D8" s="11"/>
      <c r="E8" s="11"/>
      <c r="F8" s="11"/>
      <c r="G8" s="11"/>
      <c r="H8" s="11"/>
      <c r="I8" s="29" t="s">
        <v>66</v>
      </c>
    </row>
    <row r="9" spans="1:9" x14ac:dyDescent="0.2">
      <c r="A9" s="11"/>
      <c r="B9" s="11"/>
      <c r="C9" s="11"/>
      <c r="D9" s="11"/>
      <c r="E9" s="11"/>
      <c r="F9" s="11"/>
      <c r="G9" s="11"/>
      <c r="H9" s="11"/>
      <c r="I9" s="29" t="s">
        <v>60</v>
      </c>
    </row>
    <row r="10" spans="1:9" x14ac:dyDescent="0.2">
      <c r="A10" s="11"/>
      <c r="B10" s="11"/>
      <c r="C10" s="11"/>
      <c r="D10" s="11"/>
      <c r="E10" s="11"/>
      <c r="F10" s="11"/>
      <c r="G10" s="11"/>
      <c r="H10" s="11"/>
      <c r="I10" s="29" t="s">
        <v>57</v>
      </c>
    </row>
    <row r="11" spans="1:9" x14ac:dyDescent="0.2">
      <c r="A11" s="11"/>
      <c r="B11" s="11"/>
      <c r="C11" s="11"/>
      <c r="D11" s="11"/>
      <c r="E11" s="11"/>
      <c r="F11" s="11"/>
      <c r="G11" s="11"/>
      <c r="H11" s="11"/>
      <c r="I11" s="29" t="s">
        <v>64</v>
      </c>
    </row>
    <row r="12" spans="1:9" x14ac:dyDescent="0.2">
      <c r="A12" s="11"/>
      <c r="B12" s="11"/>
      <c r="C12" s="11"/>
      <c r="D12" s="11"/>
      <c r="E12" s="11"/>
      <c r="F12" s="11"/>
      <c r="G12" s="11"/>
      <c r="H12" s="11"/>
      <c r="I12" s="29" t="s">
        <v>59</v>
      </c>
    </row>
    <row r="13" spans="1:9" x14ac:dyDescent="0.2">
      <c r="A13" s="11"/>
      <c r="B13" s="11"/>
      <c r="C13" s="11"/>
      <c r="D13" s="11"/>
      <c r="E13" s="11"/>
      <c r="F13" s="11"/>
      <c r="G13" s="11"/>
      <c r="H13" s="11"/>
      <c r="I13" s="29" t="s">
        <v>71</v>
      </c>
    </row>
    <row r="14" spans="1:9" x14ac:dyDescent="0.2">
      <c r="A14" s="11"/>
      <c r="B14" s="11"/>
      <c r="C14" s="11"/>
      <c r="D14" s="11"/>
      <c r="E14" s="11"/>
      <c r="F14" s="11"/>
      <c r="G14" s="11"/>
      <c r="H14" s="11"/>
      <c r="I14" s="29" t="s">
        <v>68</v>
      </c>
    </row>
    <row r="15" spans="1:9" x14ac:dyDescent="0.2">
      <c r="A15" s="11"/>
      <c r="B15" s="11"/>
      <c r="C15" s="11"/>
      <c r="D15" s="11"/>
      <c r="E15" s="11"/>
      <c r="F15" s="11"/>
      <c r="G15" s="11"/>
      <c r="H15" s="11"/>
      <c r="I15" s="29" t="s">
        <v>70</v>
      </c>
    </row>
    <row r="16" spans="1:9" x14ac:dyDescent="0.2">
      <c r="A16" s="11"/>
      <c r="B16" s="11"/>
      <c r="C16" s="11"/>
      <c r="D16" s="11"/>
      <c r="E16" s="11"/>
      <c r="F16" s="11"/>
      <c r="G16" s="11"/>
      <c r="H16" s="11"/>
      <c r="I16" s="29" t="s">
        <v>65</v>
      </c>
    </row>
    <row r="17" spans="1:9" ht="13.5" thickBot="1" x14ac:dyDescent="0.25">
      <c r="A17" s="11"/>
      <c r="B17" s="11"/>
      <c r="C17" s="11"/>
      <c r="D17" s="11"/>
      <c r="E17" s="11"/>
      <c r="F17" s="11"/>
      <c r="G17" s="11"/>
      <c r="H17" s="11"/>
      <c r="I17" s="30" t="s">
        <v>67</v>
      </c>
    </row>
  </sheetData>
  <sortState xmlns:xlrd2="http://schemas.microsoft.com/office/spreadsheetml/2017/richdata2" ref="A3">
    <sortCondition ref="A2:A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Dashboard</vt:lpstr>
      <vt:lpstr>Documentación</vt:lpstr>
      <vt:lpstr>Storytelling</vt:lpstr>
      <vt:lpstr>Preguntas + formulas</vt:lpstr>
      <vt:lpstr>Dataset - Casos covid 19</vt:lpstr>
      <vt:lpstr>Tablas dinamicas</vt:lpstr>
      <vt:lpstr>Dataset original</vt:lpstr>
      <vt:lpstr>Hoja aux - validacion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Rami</dc:creator>
  <cp:lastModifiedBy>Ramiro Moreno</cp:lastModifiedBy>
  <dcterms:created xsi:type="dcterms:W3CDTF">2025-01-17T14:13:58Z</dcterms:created>
  <dcterms:modified xsi:type="dcterms:W3CDTF">2025-06-09T22:21:14Z</dcterms:modified>
</cp:coreProperties>
</file>